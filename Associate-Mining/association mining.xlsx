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8a2f63442d1b73b/Desktop/Study Material/Trim 5/DMUL/"/>
    </mc:Choice>
  </mc:AlternateContent>
  <xr:revisionPtr revIDLastSave="0" documentId="8_{14FC1B5E-C193-4D7A-BDA0-25879E4EB80D}" xr6:coauthVersionLast="47" xr6:coauthVersionMax="47" xr10:uidLastSave="{00000000-0000-0000-0000-000000000000}"/>
  <bookViews>
    <workbookView xWindow="-110" yWindow="-110" windowWidth="19420" windowHeight="10300" xr2:uid="{FBCE7A19-3F88-425B-A9CB-25B22AD098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3" i="1" l="1"/>
  <c r="P13" i="1"/>
  <c r="N9" i="1"/>
  <c r="N4" i="1"/>
  <c r="L13" i="1"/>
  <c r="L10" i="1"/>
  <c r="L9" i="1"/>
  <c r="L8" i="1"/>
  <c r="I9" i="1"/>
  <c r="I8" i="1"/>
  <c r="I7" i="1"/>
  <c r="I6" i="1"/>
  <c r="I5" i="1"/>
  <c r="I4" i="1"/>
  <c r="I3" i="1"/>
</calcChain>
</file>

<file path=xl/sharedStrings.xml><?xml version="1.0" encoding="utf-8"?>
<sst xmlns="http://schemas.openxmlformats.org/spreadsheetml/2006/main" count="50" uniqueCount="30">
  <si>
    <t>milk</t>
  </si>
  <si>
    <t>bread</t>
  </si>
  <si>
    <t>curd</t>
  </si>
  <si>
    <t>veggies</t>
  </si>
  <si>
    <t>T2</t>
  </si>
  <si>
    <t>T1</t>
  </si>
  <si>
    <t>T3</t>
  </si>
  <si>
    <t>cheese</t>
  </si>
  <si>
    <t>T4</t>
  </si>
  <si>
    <t>rice</t>
  </si>
  <si>
    <t>atta</t>
  </si>
  <si>
    <t>T5</t>
  </si>
  <si>
    <t>Support</t>
  </si>
  <si>
    <t>Milk</t>
  </si>
  <si>
    <t>Curd</t>
  </si>
  <si>
    <t>milk+curd</t>
  </si>
  <si>
    <t>curd+veggies</t>
  </si>
  <si>
    <t>milk+veggies</t>
  </si>
  <si>
    <t>milk+curd+veggies</t>
  </si>
  <si>
    <t xml:space="preserve">confidence </t>
  </si>
  <si>
    <t>support of (milk and curd)/support of milk</t>
  </si>
  <si>
    <t>confidence</t>
  </si>
  <si>
    <t>support of (curd and milk)/support of curd</t>
  </si>
  <si>
    <t>Lift</t>
  </si>
  <si>
    <t>p(milk and curd)/p(milk)*p(curd)</t>
  </si>
  <si>
    <t>positively dependent</t>
  </si>
  <si>
    <t>!milk</t>
  </si>
  <si>
    <t>!curd</t>
  </si>
  <si>
    <t>sum(row)</t>
  </si>
  <si>
    <t>sum(col)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</si>
</sst>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43F2B-25F1-4D97-A56A-CDC6C7FF041B}">
  <dimension ref="A2:P14"/>
  <sheetViews>
    <sheetView tabSelected="1" workbookViewId="0">
      <selection activeCell="E14" sqref="E14"/>
    </sheetView>
  </sheetViews>
  <sheetFormatPr defaultRowHeight="14.5" x14ac:dyDescent="0.35"/>
  <cols>
    <col min="11" max="11" width="17.81640625" customWidth="1"/>
    <col min="13" max="13" width="11.81640625" customWidth="1"/>
  </cols>
  <sheetData>
    <row r="2" spans="1:16" x14ac:dyDescent="0.35">
      <c r="A2" t="s">
        <v>5</v>
      </c>
      <c r="B2" t="s">
        <v>0</v>
      </c>
      <c r="C2" t="s">
        <v>1</v>
      </c>
      <c r="D2" t="s">
        <v>2</v>
      </c>
      <c r="H2" t="s">
        <v>12</v>
      </c>
    </row>
    <row r="3" spans="1:16" x14ac:dyDescent="0.35">
      <c r="A3" t="s">
        <v>4</v>
      </c>
      <c r="B3" t="s">
        <v>0</v>
      </c>
      <c r="C3" t="s">
        <v>3</v>
      </c>
      <c r="D3" t="s">
        <v>2</v>
      </c>
      <c r="H3" t="s">
        <v>13</v>
      </c>
      <c r="I3">
        <f>3/5*100</f>
        <v>60</v>
      </c>
      <c r="K3" t="s">
        <v>0</v>
      </c>
      <c r="L3">
        <v>60</v>
      </c>
      <c r="M3" t="s">
        <v>19</v>
      </c>
      <c r="N3" t="s">
        <v>20</v>
      </c>
    </row>
    <row r="4" spans="1:16" x14ac:dyDescent="0.35">
      <c r="A4" t="s">
        <v>6</v>
      </c>
      <c r="B4" t="s">
        <v>0</v>
      </c>
      <c r="C4" t="s">
        <v>2</v>
      </c>
      <c r="D4" t="s">
        <v>7</v>
      </c>
      <c r="H4" t="s">
        <v>1</v>
      </c>
      <c r="I4">
        <f>1/5*100</f>
        <v>20</v>
      </c>
      <c r="K4" t="s">
        <v>2</v>
      </c>
      <c r="L4">
        <v>80</v>
      </c>
      <c r="N4">
        <f>0.6/0.6*100</f>
        <v>100</v>
      </c>
    </row>
    <row r="5" spans="1:16" x14ac:dyDescent="0.35">
      <c r="A5" t="s">
        <v>8</v>
      </c>
      <c r="B5" t="s">
        <v>9</v>
      </c>
      <c r="C5" t="s">
        <v>3</v>
      </c>
      <c r="D5" t="s">
        <v>10</v>
      </c>
      <c r="H5" t="s">
        <v>14</v>
      </c>
      <c r="I5">
        <f>4/5*100</f>
        <v>80</v>
      </c>
      <c r="K5" t="s">
        <v>3</v>
      </c>
      <c r="L5">
        <v>60</v>
      </c>
    </row>
    <row r="6" spans="1:16" x14ac:dyDescent="0.35">
      <c r="A6" t="s">
        <v>11</v>
      </c>
      <c r="B6" t="s">
        <v>9</v>
      </c>
      <c r="C6" t="s">
        <v>3</v>
      </c>
      <c r="D6" t="s">
        <v>7</v>
      </c>
      <c r="E6" t="s">
        <v>2</v>
      </c>
      <c r="F6" t="s">
        <v>10</v>
      </c>
      <c r="H6" t="s">
        <v>3</v>
      </c>
      <c r="I6">
        <f>3/5*100</f>
        <v>60</v>
      </c>
    </row>
    <row r="7" spans="1:16" x14ac:dyDescent="0.35">
      <c r="H7" t="s">
        <v>7</v>
      </c>
      <c r="I7">
        <f>2/5*100</f>
        <v>40</v>
      </c>
      <c r="M7" t="s">
        <v>21</v>
      </c>
      <c r="N7" t="s">
        <v>22</v>
      </c>
    </row>
    <row r="8" spans="1:16" x14ac:dyDescent="0.35">
      <c r="H8" t="s">
        <v>9</v>
      </c>
      <c r="I8">
        <f>2/5*100</f>
        <v>40</v>
      </c>
      <c r="K8" t="s">
        <v>15</v>
      </c>
      <c r="L8">
        <f>3/5*100</f>
        <v>60</v>
      </c>
    </row>
    <row r="9" spans="1:16" x14ac:dyDescent="0.35">
      <c r="C9" t="s">
        <v>2</v>
      </c>
      <c r="D9" t="s">
        <v>27</v>
      </c>
      <c r="E9" t="s">
        <v>28</v>
      </c>
      <c r="H9" t="s">
        <v>10</v>
      </c>
      <c r="I9">
        <f>2/5*100</f>
        <v>40</v>
      </c>
      <c r="K9" t="s">
        <v>16</v>
      </c>
      <c r="L9">
        <f>2/5*100</f>
        <v>40</v>
      </c>
      <c r="N9">
        <f>0.6/0.8*100</f>
        <v>74.999999999999986</v>
      </c>
    </row>
    <row r="10" spans="1:16" x14ac:dyDescent="0.35">
      <c r="B10" t="s">
        <v>0</v>
      </c>
      <c r="C10">
        <v>3</v>
      </c>
      <c r="D10">
        <v>0</v>
      </c>
      <c r="E10">
        <v>3</v>
      </c>
      <c r="K10" t="s">
        <v>17</v>
      </c>
      <c r="L10">
        <f>1/5*100</f>
        <v>20</v>
      </c>
    </row>
    <row r="11" spans="1:16" x14ac:dyDescent="0.35">
      <c r="B11" t="s">
        <v>26</v>
      </c>
      <c r="C11">
        <v>1</v>
      </c>
      <c r="D11">
        <v>1</v>
      </c>
      <c r="E11">
        <v>2</v>
      </c>
    </row>
    <row r="12" spans="1:16" x14ac:dyDescent="0.35">
      <c r="B12" t="s">
        <v>29</v>
      </c>
      <c r="C12">
        <v>4</v>
      </c>
      <c r="D12">
        <v>1</v>
      </c>
      <c r="E12">
        <v>5</v>
      </c>
      <c r="N12" t="s">
        <v>23</v>
      </c>
      <c r="O12" t="s">
        <v>24</v>
      </c>
    </row>
    <row r="13" spans="1:16" x14ac:dyDescent="0.35">
      <c r="K13" t="s">
        <v>18</v>
      </c>
      <c r="L13">
        <f>1/5*100</f>
        <v>20</v>
      </c>
      <c r="O13">
        <f>0.6/(0.6*0.8)</f>
        <v>1.25</v>
      </c>
      <c r="P13">
        <f>O13*100</f>
        <v>125</v>
      </c>
    </row>
    <row r="14" spans="1:16" x14ac:dyDescent="0.35">
      <c r="O14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Bhujade</dc:creator>
  <cp:lastModifiedBy>Rahul Bhujade</cp:lastModifiedBy>
  <dcterms:created xsi:type="dcterms:W3CDTF">2023-12-12T12:21:09Z</dcterms:created>
  <dcterms:modified xsi:type="dcterms:W3CDTF">2023-12-12T12:53:55Z</dcterms:modified>
</cp:coreProperties>
</file>