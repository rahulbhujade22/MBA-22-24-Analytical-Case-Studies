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e8a2f63442d1b73b/Desktop/Study Material/Trim4/Predictive Analytics/"/>
    </mc:Choice>
  </mc:AlternateContent>
  <xr:revisionPtr revIDLastSave="9" documentId="13_ncr:1_{8C27D93B-782E-4A79-9042-29D3CD74C7F7}" xr6:coauthVersionLast="47" xr6:coauthVersionMax="47" xr10:uidLastSave="{6ABE6035-6BA0-42A7-AB55-197DA89DECF6}"/>
  <bookViews>
    <workbookView xWindow="-110" yWindow="-110" windowWidth="19420" windowHeight="10300" firstSheet="4" activeTab="8" xr2:uid="{00000000-000D-0000-FFFF-FFFF00000000}"/>
  </bookViews>
  <sheets>
    <sheet name="PivotTable" sheetId="2" r:id="rId1"/>
    <sheet name="SMA_3year" sheetId="1" r:id="rId2"/>
    <sheet name="SMA_4year" sheetId="3" r:id="rId3"/>
    <sheet name="SMA_5year" sheetId="11" r:id="rId4"/>
    <sheet name="WMA_3year" sheetId="13" r:id="rId5"/>
    <sheet name="WMA_4year" sheetId="4" r:id="rId6"/>
    <sheet name="WMA_6year" sheetId="14" r:id="rId7"/>
    <sheet name="Leastsquare" sheetId="5" r:id="rId8"/>
    <sheet name="SE Smoothing (0.45)" sheetId="7" r:id="rId9"/>
    <sheet name="SE Smoothing (0.5)" sheetId="8" r:id="rId10"/>
    <sheet name="SE Smoothing (0.55)" sheetId="9" r:id="rId11"/>
    <sheet name="SE Smoothing (0.6)" sheetId="10" r:id="rId12"/>
    <sheet name="SE Smoothing (0.65)" sheetId="6" r:id="rId13"/>
    <sheet name="Results" sheetId="15" r:id="rId14"/>
  </sheet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2" i="7"/>
  <c r="C5" i="4"/>
  <c r="C4" i="4"/>
  <c r="C3" i="13"/>
  <c r="E3" i="1"/>
  <c r="F4" i="3"/>
  <c r="C4" i="3"/>
  <c r="C5" i="14"/>
  <c r="J5" i="14"/>
  <c r="J3" i="14"/>
  <c r="J4" i="14" s="1"/>
  <c r="C83" i="14"/>
  <c r="D83" i="14" s="1"/>
  <c r="C82" i="14"/>
  <c r="D82" i="14" s="1"/>
  <c r="C81" i="14"/>
  <c r="D81" i="14" s="1"/>
  <c r="C80" i="14"/>
  <c r="D80" i="14" s="1"/>
  <c r="D79" i="14"/>
  <c r="F79" i="14" s="1"/>
  <c r="G79" i="14" s="1"/>
  <c r="C79" i="14"/>
  <c r="D78" i="14"/>
  <c r="F78" i="14" s="1"/>
  <c r="G78" i="14" s="1"/>
  <c r="C78" i="14"/>
  <c r="F77" i="14"/>
  <c r="G77" i="14" s="1"/>
  <c r="D77" i="14"/>
  <c r="E77" i="14" s="1"/>
  <c r="C77" i="14"/>
  <c r="C76" i="14"/>
  <c r="D76" i="14" s="1"/>
  <c r="C75" i="14"/>
  <c r="D75" i="14" s="1"/>
  <c r="C74" i="14"/>
  <c r="D74" i="14" s="1"/>
  <c r="C73" i="14"/>
  <c r="D73" i="14" s="1"/>
  <c r="C72" i="14"/>
  <c r="D72" i="14" s="1"/>
  <c r="D71" i="14"/>
  <c r="E71" i="14" s="1"/>
  <c r="C71" i="14"/>
  <c r="D70" i="14"/>
  <c r="F70" i="14" s="1"/>
  <c r="G70" i="14" s="1"/>
  <c r="C70" i="14"/>
  <c r="C69" i="14"/>
  <c r="D69" i="14" s="1"/>
  <c r="C68" i="14"/>
  <c r="D68" i="14" s="1"/>
  <c r="C67" i="14"/>
  <c r="D67" i="14" s="1"/>
  <c r="C66" i="14"/>
  <c r="D66" i="14" s="1"/>
  <c r="C65" i="14"/>
  <c r="D65" i="14" s="1"/>
  <c r="C64" i="14"/>
  <c r="D64" i="14" s="1"/>
  <c r="D63" i="14"/>
  <c r="F63" i="14" s="1"/>
  <c r="G63" i="14" s="1"/>
  <c r="C63" i="14"/>
  <c r="D62" i="14"/>
  <c r="F62" i="14" s="1"/>
  <c r="G62" i="14" s="1"/>
  <c r="C62" i="14"/>
  <c r="C61" i="14"/>
  <c r="D61" i="14" s="1"/>
  <c r="C60" i="14"/>
  <c r="D60" i="14" s="1"/>
  <c r="C59" i="14"/>
  <c r="D59" i="14" s="1"/>
  <c r="F58" i="14"/>
  <c r="G58" i="14" s="1"/>
  <c r="E58" i="14"/>
  <c r="D58" i="14"/>
  <c r="C58" i="14"/>
  <c r="C57" i="14"/>
  <c r="D57" i="14" s="1"/>
  <c r="C56" i="14"/>
  <c r="D56" i="14" s="1"/>
  <c r="D55" i="14"/>
  <c r="E55" i="14" s="1"/>
  <c r="C55" i="14"/>
  <c r="D54" i="14"/>
  <c r="F54" i="14" s="1"/>
  <c r="G54" i="14" s="1"/>
  <c r="C54" i="14"/>
  <c r="C53" i="14"/>
  <c r="D53" i="14" s="1"/>
  <c r="C52" i="14"/>
  <c r="D52" i="14" s="1"/>
  <c r="C51" i="14"/>
  <c r="D51" i="14" s="1"/>
  <c r="F50" i="14"/>
  <c r="G50" i="14" s="1"/>
  <c r="E50" i="14"/>
  <c r="D50" i="14"/>
  <c r="C50" i="14"/>
  <c r="C49" i="14"/>
  <c r="D49" i="14" s="1"/>
  <c r="C48" i="14"/>
  <c r="D48" i="14" s="1"/>
  <c r="D47" i="14"/>
  <c r="E47" i="14" s="1"/>
  <c r="C47" i="14"/>
  <c r="D46" i="14"/>
  <c r="F46" i="14" s="1"/>
  <c r="G46" i="14" s="1"/>
  <c r="C46" i="14"/>
  <c r="C45" i="14"/>
  <c r="D45" i="14" s="1"/>
  <c r="C44" i="14"/>
  <c r="D44" i="14" s="1"/>
  <c r="C43" i="14"/>
  <c r="D43" i="14" s="1"/>
  <c r="F42" i="14"/>
  <c r="G42" i="14" s="1"/>
  <c r="E42" i="14"/>
  <c r="D42" i="14"/>
  <c r="C42" i="14"/>
  <c r="C41" i="14"/>
  <c r="D41" i="14" s="1"/>
  <c r="C40" i="14"/>
  <c r="D40" i="14" s="1"/>
  <c r="D39" i="14"/>
  <c r="E39" i="14" s="1"/>
  <c r="C39" i="14"/>
  <c r="D38" i="14"/>
  <c r="F38" i="14" s="1"/>
  <c r="G38" i="14" s="1"/>
  <c r="C38" i="14"/>
  <c r="C37" i="14"/>
  <c r="D37" i="14" s="1"/>
  <c r="C36" i="14"/>
  <c r="D36" i="14" s="1"/>
  <c r="C35" i="14"/>
  <c r="D35" i="14" s="1"/>
  <c r="F34" i="14"/>
  <c r="G34" i="14" s="1"/>
  <c r="E34" i="14"/>
  <c r="D34" i="14"/>
  <c r="C34" i="14"/>
  <c r="C33" i="14"/>
  <c r="D33" i="14" s="1"/>
  <c r="C32" i="14"/>
  <c r="D32" i="14" s="1"/>
  <c r="D31" i="14"/>
  <c r="F31" i="14" s="1"/>
  <c r="G31" i="14" s="1"/>
  <c r="C31" i="14"/>
  <c r="E30" i="14"/>
  <c r="D30" i="14"/>
  <c r="F30" i="14" s="1"/>
  <c r="G30" i="14" s="1"/>
  <c r="C30" i="14"/>
  <c r="C29" i="14"/>
  <c r="D29" i="14" s="1"/>
  <c r="C28" i="14"/>
  <c r="D28" i="14" s="1"/>
  <c r="C27" i="14"/>
  <c r="D27" i="14" s="1"/>
  <c r="F26" i="14"/>
  <c r="G26" i="14" s="1"/>
  <c r="E26" i="14"/>
  <c r="D26" i="14"/>
  <c r="C26" i="14"/>
  <c r="C25" i="14"/>
  <c r="D25" i="14" s="1"/>
  <c r="C24" i="14"/>
  <c r="D24" i="14" s="1"/>
  <c r="D23" i="14"/>
  <c r="E23" i="14" s="1"/>
  <c r="C23" i="14"/>
  <c r="E22" i="14"/>
  <c r="D22" i="14"/>
  <c r="F22" i="14" s="1"/>
  <c r="G22" i="14" s="1"/>
  <c r="C22" i="14"/>
  <c r="C21" i="14"/>
  <c r="D21" i="14" s="1"/>
  <c r="C20" i="14"/>
  <c r="D20" i="14" s="1"/>
  <c r="D19" i="14"/>
  <c r="F19" i="14" s="1"/>
  <c r="G19" i="14" s="1"/>
  <c r="C19" i="14"/>
  <c r="F18" i="14"/>
  <c r="G18" i="14" s="1"/>
  <c r="E18" i="14"/>
  <c r="D18" i="14"/>
  <c r="C18" i="14"/>
  <c r="C17" i="14"/>
  <c r="D17" i="14" s="1"/>
  <c r="C16" i="14"/>
  <c r="D16" i="14" s="1"/>
  <c r="D15" i="14"/>
  <c r="E15" i="14" s="1"/>
  <c r="C15" i="14"/>
  <c r="E14" i="14"/>
  <c r="D14" i="14"/>
  <c r="F14" i="14" s="1"/>
  <c r="G14" i="14" s="1"/>
  <c r="C14" i="14"/>
  <c r="C13" i="14"/>
  <c r="D13" i="14" s="1"/>
  <c r="C12" i="14"/>
  <c r="D12" i="14" s="1"/>
  <c r="D11" i="14"/>
  <c r="F11" i="14" s="1"/>
  <c r="G11" i="14" s="1"/>
  <c r="C11" i="14"/>
  <c r="F10" i="14"/>
  <c r="G10" i="14" s="1"/>
  <c r="E10" i="14"/>
  <c r="D10" i="14"/>
  <c r="C10" i="14"/>
  <c r="C9" i="14"/>
  <c r="D9" i="14" s="1"/>
  <c r="C8" i="14"/>
  <c r="D8" i="14" s="1"/>
  <c r="F7" i="14"/>
  <c r="G7" i="14" s="1"/>
  <c r="E7" i="14"/>
  <c r="D7" i="14"/>
  <c r="C7" i="14"/>
  <c r="I6" i="14"/>
  <c r="J7" i="14" s="1"/>
  <c r="C6" i="14"/>
  <c r="D6" i="14" s="1"/>
  <c r="F5" i="14"/>
  <c r="G5" i="14" s="1"/>
  <c r="E5" i="14"/>
  <c r="D5" i="14"/>
  <c r="J5" i="13"/>
  <c r="J3" i="13"/>
  <c r="C83" i="13"/>
  <c r="D83" i="13" s="1"/>
  <c r="C82" i="13"/>
  <c r="D82" i="13" s="1"/>
  <c r="C81" i="13"/>
  <c r="D81" i="13" s="1"/>
  <c r="E80" i="13"/>
  <c r="D80" i="13"/>
  <c r="F80" i="13" s="1"/>
  <c r="G80" i="13" s="1"/>
  <c r="C80" i="13"/>
  <c r="D79" i="13"/>
  <c r="F79" i="13" s="1"/>
  <c r="G79" i="13" s="1"/>
  <c r="C79" i="13"/>
  <c r="F78" i="13"/>
  <c r="G78" i="13" s="1"/>
  <c r="E78" i="13"/>
  <c r="D78" i="13"/>
  <c r="C78" i="13"/>
  <c r="C77" i="13"/>
  <c r="D77" i="13" s="1"/>
  <c r="C76" i="13"/>
  <c r="D76" i="13" s="1"/>
  <c r="F75" i="13"/>
  <c r="G75" i="13" s="1"/>
  <c r="E75" i="13"/>
  <c r="D75" i="13"/>
  <c r="C75" i="13"/>
  <c r="C74" i="13"/>
  <c r="D74" i="13" s="1"/>
  <c r="C73" i="13"/>
  <c r="D73" i="13" s="1"/>
  <c r="D72" i="13"/>
  <c r="F72" i="13" s="1"/>
  <c r="G72" i="13" s="1"/>
  <c r="C72" i="13"/>
  <c r="D71" i="13"/>
  <c r="F71" i="13" s="1"/>
  <c r="G71" i="13" s="1"/>
  <c r="C71" i="13"/>
  <c r="F70" i="13"/>
  <c r="G70" i="13" s="1"/>
  <c r="E70" i="13"/>
  <c r="D70" i="13"/>
  <c r="C70" i="13"/>
  <c r="C69" i="13"/>
  <c r="D69" i="13" s="1"/>
  <c r="C68" i="13"/>
  <c r="D68" i="13" s="1"/>
  <c r="F67" i="13"/>
  <c r="G67" i="13" s="1"/>
  <c r="E67" i="13"/>
  <c r="D67" i="13"/>
  <c r="C67" i="13"/>
  <c r="C66" i="13"/>
  <c r="D66" i="13" s="1"/>
  <c r="C65" i="13"/>
  <c r="D65" i="13" s="1"/>
  <c r="D64" i="13"/>
  <c r="F64" i="13" s="1"/>
  <c r="G64" i="13" s="1"/>
  <c r="C64" i="13"/>
  <c r="D63" i="13"/>
  <c r="F63" i="13" s="1"/>
  <c r="G63" i="13" s="1"/>
  <c r="C63" i="13"/>
  <c r="F62" i="13"/>
  <c r="G62" i="13" s="1"/>
  <c r="E62" i="13"/>
  <c r="D62" i="13"/>
  <c r="C62" i="13"/>
  <c r="C61" i="13"/>
  <c r="D61" i="13" s="1"/>
  <c r="C60" i="13"/>
  <c r="D60" i="13" s="1"/>
  <c r="F59" i="13"/>
  <c r="G59" i="13" s="1"/>
  <c r="E59" i="13"/>
  <c r="D59" i="13"/>
  <c r="C59" i="13"/>
  <c r="C58" i="13"/>
  <c r="D58" i="13" s="1"/>
  <c r="C57" i="13"/>
  <c r="D57" i="13" s="1"/>
  <c r="D56" i="13"/>
  <c r="F56" i="13" s="1"/>
  <c r="G56" i="13" s="1"/>
  <c r="C56" i="13"/>
  <c r="D55" i="13"/>
  <c r="F55" i="13" s="1"/>
  <c r="G55" i="13" s="1"/>
  <c r="C55" i="13"/>
  <c r="F54" i="13"/>
  <c r="G54" i="13" s="1"/>
  <c r="E54" i="13"/>
  <c r="D54" i="13"/>
  <c r="C54" i="13"/>
  <c r="C53" i="13"/>
  <c r="D53" i="13" s="1"/>
  <c r="C52" i="13"/>
  <c r="D52" i="13" s="1"/>
  <c r="F51" i="13"/>
  <c r="G51" i="13" s="1"/>
  <c r="E51" i="13"/>
  <c r="D51" i="13"/>
  <c r="C51" i="13"/>
  <c r="C50" i="13"/>
  <c r="D50" i="13" s="1"/>
  <c r="C49" i="13"/>
  <c r="D49" i="13" s="1"/>
  <c r="D48" i="13"/>
  <c r="F48" i="13" s="1"/>
  <c r="G48" i="13" s="1"/>
  <c r="C48" i="13"/>
  <c r="D47" i="13"/>
  <c r="F47" i="13" s="1"/>
  <c r="G47" i="13" s="1"/>
  <c r="C47" i="13"/>
  <c r="F46" i="13"/>
  <c r="G46" i="13" s="1"/>
  <c r="E46" i="13"/>
  <c r="D46" i="13"/>
  <c r="C46" i="13"/>
  <c r="C45" i="13"/>
  <c r="D45" i="13" s="1"/>
  <c r="C44" i="13"/>
  <c r="D44" i="13" s="1"/>
  <c r="F43" i="13"/>
  <c r="G43" i="13" s="1"/>
  <c r="E43" i="13"/>
  <c r="D43" i="13"/>
  <c r="C43" i="13"/>
  <c r="C42" i="13"/>
  <c r="D42" i="13" s="1"/>
  <c r="C41" i="13"/>
  <c r="D41" i="13" s="1"/>
  <c r="D40" i="13"/>
  <c r="F40" i="13" s="1"/>
  <c r="G40" i="13" s="1"/>
  <c r="C40" i="13"/>
  <c r="D39" i="13"/>
  <c r="F39" i="13" s="1"/>
  <c r="G39" i="13" s="1"/>
  <c r="C39" i="13"/>
  <c r="F38" i="13"/>
  <c r="G38" i="13" s="1"/>
  <c r="E38" i="13"/>
  <c r="D38" i="13"/>
  <c r="C38" i="13"/>
  <c r="C37" i="13"/>
  <c r="D37" i="13" s="1"/>
  <c r="C36" i="13"/>
  <c r="D36" i="13" s="1"/>
  <c r="F35" i="13"/>
  <c r="G35" i="13" s="1"/>
  <c r="E35" i="13"/>
  <c r="D35" i="13"/>
  <c r="C35" i="13"/>
  <c r="C34" i="13"/>
  <c r="D34" i="13" s="1"/>
  <c r="C33" i="13"/>
  <c r="D33" i="13" s="1"/>
  <c r="D32" i="13"/>
  <c r="F32" i="13" s="1"/>
  <c r="G32" i="13" s="1"/>
  <c r="C32" i="13"/>
  <c r="D31" i="13"/>
  <c r="F31" i="13" s="1"/>
  <c r="G31" i="13" s="1"/>
  <c r="C31" i="13"/>
  <c r="F30" i="13"/>
  <c r="G30" i="13" s="1"/>
  <c r="E30" i="13"/>
  <c r="D30" i="13"/>
  <c r="C30" i="13"/>
  <c r="C29" i="13"/>
  <c r="D29" i="13" s="1"/>
  <c r="C28" i="13"/>
  <c r="D28" i="13" s="1"/>
  <c r="F27" i="13"/>
  <c r="G27" i="13" s="1"/>
  <c r="E27" i="13"/>
  <c r="D27" i="13"/>
  <c r="C27" i="13"/>
  <c r="C26" i="13"/>
  <c r="D26" i="13" s="1"/>
  <c r="C25" i="13"/>
  <c r="D25" i="13" s="1"/>
  <c r="D24" i="13"/>
  <c r="F24" i="13" s="1"/>
  <c r="G24" i="13" s="1"/>
  <c r="C24" i="13"/>
  <c r="D23" i="13"/>
  <c r="F23" i="13" s="1"/>
  <c r="G23" i="13" s="1"/>
  <c r="C23" i="13"/>
  <c r="F22" i="13"/>
  <c r="G22" i="13" s="1"/>
  <c r="E22" i="13"/>
  <c r="D22" i="13"/>
  <c r="C22" i="13"/>
  <c r="C21" i="13"/>
  <c r="D21" i="13" s="1"/>
  <c r="C20" i="13"/>
  <c r="D20" i="13" s="1"/>
  <c r="F19" i="13"/>
  <c r="G19" i="13" s="1"/>
  <c r="E19" i="13"/>
  <c r="D19" i="13"/>
  <c r="C19" i="13"/>
  <c r="C18" i="13"/>
  <c r="D18" i="13" s="1"/>
  <c r="C17" i="13"/>
  <c r="D17" i="13" s="1"/>
  <c r="D16" i="13"/>
  <c r="F16" i="13" s="1"/>
  <c r="G16" i="13" s="1"/>
  <c r="C16" i="13"/>
  <c r="D15" i="13"/>
  <c r="F15" i="13" s="1"/>
  <c r="G15" i="13" s="1"/>
  <c r="C15" i="13"/>
  <c r="F14" i="13"/>
  <c r="G14" i="13" s="1"/>
  <c r="E14" i="13"/>
  <c r="D14" i="13"/>
  <c r="C14" i="13"/>
  <c r="C13" i="13"/>
  <c r="D13" i="13" s="1"/>
  <c r="C12" i="13"/>
  <c r="D12" i="13" s="1"/>
  <c r="F11" i="13"/>
  <c r="G11" i="13" s="1"/>
  <c r="E11" i="13"/>
  <c r="D11" i="13"/>
  <c r="C11" i="13"/>
  <c r="C10" i="13"/>
  <c r="D10" i="13" s="1"/>
  <c r="C9" i="13"/>
  <c r="D9" i="13" s="1"/>
  <c r="D8" i="13"/>
  <c r="F8" i="13" s="1"/>
  <c r="G8" i="13" s="1"/>
  <c r="C8" i="13"/>
  <c r="C7" i="13"/>
  <c r="D7" i="13" s="1"/>
  <c r="I6" i="13"/>
  <c r="J7" i="13" s="1"/>
  <c r="C6" i="13"/>
  <c r="D6" i="13" s="1"/>
  <c r="C5" i="13"/>
  <c r="D5" i="13" s="1"/>
  <c r="D4" i="13"/>
  <c r="F4" i="13" s="1"/>
  <c r="G4" i="13" s="1"/>
  <c r="C4" i="13"/>
  <c r="D3" i="13"/>
  <c r="J5" i="11"/>
  <c r="J3" i="11"/>
  <c r="C83" i="11"/>
  <c r="D83" i="11" s="1"/>
  <c r="C82" i="11"/>
  <c r="D82" i="11" s="1"/>
  <c r="C81" i="11"/>
  <c r="D81" i="11" s="1"/>
  <c r="C80" i="11"/>
  <c r="D80" i="11" s="1"/>
  <c r="D79" i="11"/>
  <c r="F79" i="11" s="1"/>
  <c r="G79" i="11" s="1"/>
  <c r="C79" i="11"/>
  <c r="C78" i="11"/>
  <c r="D78" i="11" s="1"/>
  <c r="F77" i="11"/>
  <c r="G77" i="11" s="1"/>
  <c r="D77" i="11"/>
  <c r="E77" i="11" s="1"/>
  <c r="C77" i="11"/>
  <c r="C76" i="11"/>
  <c r="D76" i="11" s="1"/>
  <c r="D75" i="11"/>
  <c r="F75" i="11" s="1"/>
  <c r="G75" i="11" s="1"/>
  <c r="C75" i="11"/>
  <c r="C74" i="11"/>
  <c r="D74" i="11" s="1"/>
  <c r="C73" i="11"/>
  <c r="D73" i="11" s="1"/>
  <c r="C72" i="11"/>
  <c r="D72" i="11" s="1"/>
  <c r="D71" i="11"/>
  <c r="F71" i="11" s="1"/>
  <c r="G71" i="11" s="1"/>
  <c r="C71" i="11"/>
  <c r="C70" i="11"/>
  <c r="D70" i="11" s="1"/>
  <c r="F69" i="11"/>
  <c r="G69" i="11" s="1"/>
  <c r="D69" i="11"/>
  <c r="E69" i="11" s="1"/>
  <c r="C69" i="11"/>
  <c r="C68" i="11"/>
  <c r="D68" i="11" s="1"/>
  <c r="D67" i="11"/>
  <c r="F67" i="11" s="1"/>
  <c r="G67" i="11" s="1"/>
  <c r="C67" i="11"/>
  <c r="C66" i="11"/>
  <c r="D66" i="11" s="1"/>
  <c r="C65" i="11"/>
  <c r="D65" i="11" s="1"/>
  <c r="C64" i="11"/>
  <c r="D64" i="11" s="1"/>
  <c r="D63" i="11"/>
  <c r="F63" i="11" s="1"/>
  <c r="G63" i="11" s="1"/>
  <c r="C63" i="11"/>
  <c r="C62" i="11"/>
  <c r="D62" i="11" s="1"/>
  <c r="F61" i="11"/>
  <c r="G61" i="11" s="1"/>
  <c r="D61" i="11"/>
  <c r="E61" i="11" s="1"/>
  <c r="C61" i="11"/>
  <c r="C60" i="11"/>
  <c r="D60" i="11" s="1"/>
  <c r="F59" i="11"/>
  <c r="G59" i="11" s="1"/>
  <c r="D59" i="11"/>
  <c r="E59" i="11" s="1"/>
  <c r="C59" i="11"/>
  <c r="C58" i="11"/>
  <c r="D58" i="11" s="1"/>
  <c r="C57" i="11"/>
  <c r="D57" i="11" s="1"/>
  <c r="C56" i="11"/>
  <c r="D56" i="11" s="1"/>
  <c r="D55" i="11"/>
  <c r="F55" i="11" s="1"/>
  <c r="G55" i="11" s="1"/>
  <c r="C55" i="11"/>
  <c r="C54" i="11"/>
  <c r="D54" i="11" s="1"/>
  <c r="F53" i="11"/>
  <c r="G53" i="11" s="1"/>
  <c r="D53" i="11"/>
  <c r="E53" i="11" s="1"/>
  <c r="C53" i="11"/>
  <c r="C52" i="11"/>
  <c r="D52" i="11" s="1"/>
  <c r="F51" i="11"/>
  <c r="G51" i="11" s="1"/>
  <c r="D51" i="11"/>
  <c r="E51" i="11" s="1"/>
  <c r="C51" i="11"/>
  <c r="C50" i="11"/>
  <c r="D50" i="11" s="1"/>
  <c r="C49" i="11"/>
  <c r="D49" i="11" s="1"/>
  <c r="C48" i="11"/>
  <c r="D48" i="11" s="1"/>
  <c r="D47" i="11"/>
  <c r="F47" i="11" s="1"/>
  <c r="G47" i="11" s="1"/>
  <c r="C47" i="11"/>
  <c r="D46" i="11"/>
  <c r="F46" i="11" s="1"/>
  <c r="G46" i="11" s="1"/>
  <c r="C46" i="11"/>
  <c r="D45" i="11"/>
  <c r="E45" i="11" s="1"/>
  <c r="C45" i="11"/>
  <c r="C44" i="11"/>
  <c r="D44" i="11" s="1"/>
  <c r="C43" i="11"/>
  <c r="D43" i="11" s="1"/>
  <c r="C42" i="11"/>
  <c r="D42" i="11" s="1"/>
  <c r="C41" i="11"/>
  <c r="D41" i="11" s="1"/>
  <c r="C40" i="11"/>
  <c r="D40" i="11" s="1"/>
  <c r="D39" i="11"/>
  <c r="F39" i="11" s="1"/>
  <c r="G39" i="11" s="1"/>
  <c r="C39" i="11"/>
  <c r="D38" i="11"/>
  <c r="F38" i="11" s="1"/>
  <c r="G38" i="11" s="1"/>
  <c r="C38" i="11"/>
  <c r="F37" i="11"/>
  <c r="G37" i="11" s="1"/>
  <c r="D37" i="11"/>
  <c r="E37" i="11" s="1"/>
  <c r="C37" i="11"/>
  <c r="C36" i="11"/>
  <c r="D36" i="11" s="1"/>
  <c r="C35" i="11"/>
  <c r="D35" i="11" s="1"/>
  <c r="C34" i="11"/>
  <c r="D34" i="11" s="1"/>
  <c r="C33" i="11"/>
  <c r="D33" i="11" s="1"/>
  <c r="C32" i="11"/>
  <c r="D32" i="11" s="1"/>
  <c r="D31" i="11"/>
  <c r="F31" i="11" s="1"/>
  <c r="G31" i="11" s="1"/>
  <c r="C31" i="11"/>
  <c r="D30" i="11"/>
  <c r="F30" i="11" s="1"/>
  <c r="G30" i="11" s="1"/>
  <c r="C30" i="11"/>
  <c r="F29" i="11"/>
  <c r="G29" i="11" s="1"/>
  <c r="D29" i="11"/>
  <c r="E29" i="11" s="1"/>
  <c r="C29" i="11"/>
  <c r="C28" i="11"/>
  <c r="D28" i="11" s="1"/>
  <c r="C27" i="11"/>
  <c r="D27" i="11" s="1"/>
  <c r="C26" i="11"/>
  <c r="D26" i="11" s="1"/>
  <c r="C25" i="11"/>
  <c r="D25" i="11" s="1"/>
  <c r="C24" i="11"/>
  <c r="D24" i="11" s="1"/>
  <c r="D23" i="11"/>
  <c r="F23" i="11" s="1"/>
  <c r="G23" i="11" s="1"/>
  <c r="C23" i="11"/>
  <c r="D22" i="11"/>
  <c r="F22" i="11" s="1"/>
  <c r="G22" i="11" s="1"/>
  <c r="C22" i="11"/>
  <c r="F21" i="11"/>
  <c r="G21" i="11" s="1"/>
  <c r="D21" i="11"/>
  <c r="E21" i="11" s="1"/>
  <c r="C21" i="11"/>
  <c r="C20" i="11"/>
  <c r="D20" i="11" s="1"/>
  <c r="C19" i="11"/>
  <c r="D19" i="11" s="1"/>
  <c r="C18" i="11"/>
  <c r="D18" i="11" s="1"/>
  <c r="C17" i="11"/>
  <c r="D17" i="11" s="1"/>
  <c r="E16" i="11"/>
  <c r="D16" i="11"/>
  <c r="F16" i="11" s="1"/>
  <c r="G16" i="11" s="1"/>
  <c r="C16" i="11"/>
  <c r="D15" i="11"/>
  <c r="F15" i="11" s="1"/>
  <c r="G15" i="11" s="1"/>
  <c r="C15" i="11"/>
  <c r="D14" i="11"/>
  <c r="F14" i="11" s="1"/>
  <c r="G14" i="11" s="1"/>
  <c r="C14" i="11"/>
  <c r="D13" i="11"/>
  <c r="E13" i="11" s="1"/>
  <c r="C13" i="11"/>
  <c r="C12" i="11"/>
  <c r="D12" i="11" s="1"/>
  <c r="C11" i="11"/>
  <c r="D11" i="11" s="1"/>
  <c r="C10" i="11"/>
  <c r="D10" i="11" s="1"/>
  <c r="C9" i="11"/>
  <c r="D9" i="11" s="1"/>
  <c r="E8" i="11"/>
  <c r="D8" i="11"/>
  <c r="F8" i="11" s="1"/>
  <c r="G8" i="11" s="1"/>
  <c r="C8" i="11"/>
  <c r="C7" i="11"/>
  <c r="D7" i="11" s="1"/>
  <c r="I6" i="11"/>
  <c r="J7" i="11" s="1"/>
  <c r="C6" i="11"/>
  <c r="D6" i="11" s="1"/>
  <c r="G5" i="11"/>
  <c r="F5" i="11"/>
  <c r="D5" i="11"/>
  <c r="E5" i="11" s="1"/>
  <c r="C5" i="11"/>
  <c r="E4" i="11"/>
  <c r="D4" i="11"/>
  <c r="F4" i="11" s="1"/>
  <c r="G4" i="11" s="1"/>
  <c r="C4" i="11"/>
  <c r="E66" i="14" l="1"/>
  <c r="F66" i="14"/>
  <c r="G66" i="14" s="1"/>
  <c r="F36" i="14"/>
  <c r="G36" i="14" s="1"/>
  <c r="E36" i="14"/>
  <c r="F56" i="14"/>
  <c r="G56" i="14" s="1"/>
  <c r="E56" i="14"/>
  <c r="E61" i="14"/>
  <c r="F61" i="14"/>
  <c r="G61" i="14" s="1"/>
  <c r="F67" i="14"/>
  <c r="G67" i="14" s="1"/>
  <c r="E67" i="14"/>
  <c r="F73" i="14"/>
  <c r="G73" i="14" s="1"/>
  <c r="E73" i="14"/>
  <c r="F6" i="14"/>
  <c r="G6" i="14" s="1"/>
  <c r="E6" i="14"/>
  <c r="F72" i="14"/>
  <c r="G72" i="14" s="1"/>
  <c r="E72" i="14"/>
  <c r="F32" i="14"/>
  <c r="G32" i="14" s="1"/>
  <c r="E32" i="14"/>
  <c r="F51" i="14"/>
  <c r="G51" i="14" s="1"/>
  <c r="E51" i="14"/>
  <c r="F28" i="14"/>
  <c r="G28" i="14" s="1"/>
  <c r="E28" i="14"/>
  <c r="F33" i="14"/>
  <c r="G33" i="14" s="1"/>
  <c r="E33" i="14"/>
  <c r="F52" i="14"/>
  <c r="G52" i="14" s="1"/>
  <c r="E52" i="14"/>
  <c r="E69" i="14"/>
  <c r="F69" i="14"/>
  <c r="G69" i="14" s="1"/>
  <c r="F75" i="14"/>
  <c r="G75" i="14" s="1"/>
  <c r="E75" i="14"/>
  <c r="F74" i="14"/>
  <c r="G74" i="14" s="1"/>
  <c r="E74" i="14"/>
  <c r="F24" i="14"/>
  <c r="G24" i="14" s="1"/>
  <c r="E24" i="14"/>
  <c r="E29" i="14"/>
  <c r="F29" i="14"/>
  <c r="G29" i="14" s="1"/>
  <c r="F48" i="14"/>
  <c r="G48" i="14" s="1"/>
  <c r="E48" i="14"/>
  <c r="E53" i="14"/>
  <c r="F53" i="14"/>
  <c r="G53" i="14" s="1"/>
  <c r="F76" i="14"/>
  <c r="G76" i="14" s="1"/>
  <c r="E76" i="14"/>
  <c r="F80" i="14"/>
  <c r="G80" i="14" s="1"/>
  <c r="E80" i="14"/>
  <c r="F35" i="14"/>
  <c r="G35" i="14" s="1"/>
  <c r="E35" i="14"/>
  <c r="F57" i="14"/>
  <c r="G57" i="14" s="1"/>
  <c r="E57" i="14"/>
  <c r="F16" i="14"/>
  <c r="G16" i="14" s="1"/>
  <c r="E16" i="14"/>
  <c r="F20" i="14"/>
  <c r="G20" i="14" s="1"/>
  <c r="E20" i="14"/>
  <c r="F25" i="14"/>
  <c r="G25" i="14" s="1"/>
  <c r="E25" i="14"/>
  <c r="F43" i="14"/>
  <c r="G43" i="14" s="1"/>
  <c r="E43" i="14"/>
  <c r="F49" i="14"/>
  <c r="G49" i="14" s="1"/>
  <c r="E49" i="14"/>
  <c r="F81" i="14"/>
  <c r="G81" i="14" s="1"/>
  <c r="E81" i="14"/>
  <c r="F41" i="14"/>
  <c r="G41" i="14" s="1"/>
  <c r="E41" i="14"/>
  <c r="E37" i="14"/>
  <c r="F37" i="14"/>
  <c r="G37" i="14" s="1"/>
  <c r="F68" i="14"/>
  <c r="G68" i="14" s="1"/>
  <c r="E68" i="14"/>
  <c r="F8" i="14"/>
  <c r="G8" i="14" s="1"/>
  <c r="E8" i="14"/>
  <c r="F12" i="14"/>
  <c r="G12" i="14" s="1"/>
  <c r="E12" i="14"/>
  <c r="F17" i="14"/>
  <c r="G17" i="14" s="1"/>
  <c r="E17" i="14"/>
  <c r="E21" i="14"/>
  <c r="F21" i="14"/>
  <c r="G21" i="14" s="1"/>
  <c r="F44" i="14"/>
  <c r="G44" i="14" s="1"/>
  <c r="E44" i="14"/>
  <c r="F64" i="14"/>
  <c r="G64" i="14" s="1"/>
  <c r="E64" i="14"/>
  <c r="F82" i="14"/>
  <c r="G82" i="14" s="1"/>
  <c r="E82" i="14"/>
  <c r="F60" i="14"/>
  <c r="G60" i="14" s="1"/>
  <c r="E60" i="14"/>
  <c r="F27" i="14"/>
  <c r="G27" i="14" s="1"/>
  <c r="E27" i="14"/>
  <c r="F9" i="14"/>
  <c r="G9" i="14" s="1"/>
  <c r="E9" i="14"/>
  <c r="E13" i="14"/>
  <c r="F13" i="14"/>
  <c r="G13" i="14" s="1"/>
  <c r="F40" i="14"/>
  <c r="G40" i="14" s="1"/>
  <c r="E40" i="14"/>
  <c r="E45" i="14"/>
  <c r="F45" i="14"/>
  <c r="G45" i="14" s="1"/>
  <c r="F59" i="14"/>
  <c r="G59" i="14" s="1"/>
  <c r="E59" i="14"/>
  <c r="F65" i="14"/>
  <c r="G65" i="14" s="1"/>
  <c r="E65" i="14"/>
  <c r="F83" i="14"/>
  <c r="G83" i="14" s="1"/>
  <c r="E83" i="14"/>
  <c r="E31" i="14"/>
  <c r="E63" i="14"/>
  <c r="E79" i="14"/>
  <c r="F15" i="14"/>
  <c r="G15" i="14" s="1"/>
  <c r="F23" i="14"/>
  <c r="G23" i="14" s="1"/>
  <c r="F39" i="14"/>
  <c r="G39" i="14" s="1"/>
  <c r="F47" i="14"/>
  <c r="G47" i="14" s="1"/>
  <c r="F55" i="14"/>
  <c r="G55" i="14" s="1"/>
  <c r="F71" i="14"/>
  <c r="G71" i="14" s="1"/>
  <c r="E38" i="14"/>
  <c r="E46" i="14"/>
  <c r="E54" i="14"/>
  <c r="E62" i="14"/>
  <c r="E70" i="14"/>
  <c r="E78" i="14"/>
  <c r="E11" i="14"/>
  <c r="E19" i="14"/>
  <c r="E7" i="13"/>
  <c r="F7" i="13"/>
  <c r="G7" i="13" s="1"/>
  <c r="F12" i="13"/>
  <c r="G12" i="13" s="1"/>
  <c r="E12" i="13"/>
  <c r="F20" i="13"/>
  <c r="G20" i="13" s="1"/>
  <c r="E20" i="13"/>
  <c r="F28" i="13"/>
  <c r="G28" i="13" s="1"/>
  <c r="E28" i="13"/>
  <c r="F36" i="13"/>
  <c r="G36" i="13" s="1"/>
  <c r="E36" i="13"/>
  <c r="F44" i="13"/>
  <c r="G44" i="13" s="1"/>
  <c r="E44" i="13"/>
  <c r="F52" i="13"/>
  <c r="G52" i="13" s="1"/>
  <c r="E52" i="13"/>
  <c r="F60" i="13"/>
  <c r="G60" i="13" s="1"/>
  <c r="E60" i="13"/>
  <c r="F68" i="13"/>
  <c r="G68" i="13" s="1"/>
  <c r="E68" i="13"/>
  <c r="F76" i="13"/>
  <c r="G76" i="13" s="1"/>
  <c r="E76" i="13"/>
  <c r="E3" i="13"/>
  <c r="F3" i="13"/>
  <c r="G3" i="13" s="1"/>
  <c r="E13" i="13"/>
  <c r="F13" i="13"/>
  <c r="G13" i="13" s="1"/>
  <c r="E21" i="13"/>
  <c r="F21" i="13"/>
  <c r="G21" i="13" s="1"/>
  <c r="E29" i="13"/>
  <c r="F29" i="13"/>
  <c r="G29" i="13" s="1"/>
  <c r="E37" i="13"/>
  <c r="F37" i="13"/>
  <c r="G37" i="13" s="1"/>
  <c r="E45" i="13"/>
  <c r="F45" i="13"/>
  <c r="G45" i="13" s="1"/>
  <c r="E53" i="13"/>
  <c r="F53" i="13"/>
  <c r="G53" i="13" s="1"/>
  <c r="E61" i="13"/>
  <c r="F61" i="13"/>
  <c r="G61" i="13" s="1"/>
  <c r="E69" i="13"/>
  <c r="F69" i="13"/>
  <c r="G69" i="13" s="1"/>
  <c r="E77" i="13"/>
  <c r="F77" i="13"/>
  <c r="G77" i="13" s="1"/>
  <c r="F9" i="13"/>
  <c r="G9" i="13" s="1"/>
  <c r="E9" i="13"/>
  <c r="F17" i="13"/>
  <c r="G17" i="13" s="1"/>
  <c r="E17" i="13"/>
  <c r="F25" i="13"/>
  <c r="G25" i="13" s="1"/>
  <c r="E25" i="13"/>
  <c r="F33" i="13"/>
  <c r="G33" i="13" s="1"/>
  <c r="E33" i="13"/>
  <c r="F41" i="13"/>
  <c r="G41" i="13" s="1"/>
  <c r="E41" i="13"/>
  <c r="F49" i="13"/>
  <c r="G49" i="13" s="1"/>
  <c r="E49" i="13"/>
  <c r="F57" i="13"/>
  <c r="G57" i="13" s="1"/>
  <c r="E57" i="13"/>
  <c r="F65" i="13"/>
  <c r="G65" i="13" s="1"/>
  <c r="E65" i="13"/>
  <c r="F73" i="13"/>
  <c r="G73" i="13" s="1"/>
  <c r="E73" i="13"/>
  <c r="F58" i="13"/>
  <c r="G58" i="13" s="1"/>
  <c r="E58" i="13"/>
  <c r="F81" i="13"/>
  <c r="G81" i="13" s="1"/>
  <c r="E81" i="13"/>
  <c r="F10" i="13"/>
  <c r="G10" i="13" s="1"/>
  <c r="E10" i="13"/>
  <c r="E18" i="13"/>
  <c r="F18" i="13"/>
  <c r="G18" i="13" s="1"/>
  <c r="F26" i="13"/>
  <c r="G26" i="13" s="1"/>
  <c r="E26" i="13"/>
  <c r="F34" i="13"/>
  <c r="G34" i="13" s="1"/>
  <c r="E34" i="13"/>
  <c r="F42" i="13"/>
  <c r="G42" i="13" s="1"/>
  <c r="E42" i="13"/>
  <c r="E50" i="13"/>
  <c r="F50" i="13"/>
  <c r="G50" i="13" s="1"/>
  <c r="E66" i="13"/>
  <c r="F66" i="13"/>
  <c r="G66" i="13" s="1"/>
  <c r="E74" i="13"/>
  <c r="F74" i="13"/>
  <c r="G74" i="13" s="1"/>
  <c r="F5" i="13"/>
  <c r="G5" i="13" s="1"/>
  <c r="E5" i="13"/>
  <c r="F82" i="13"/>
  <c r="G82" i="13" s="1"/>
  <c r="E82" i="13"/>
  <c r="F6" i="13"/>
  <c r="G6" i="13" s="1"/>
  <c r="E6" i="13"/>
  <c r="F83" i="13"/>
  <c r="G83" i="13" s="1"/>
  <c r="E83" i="13"/>
  <c r="E15" i="13"/>
  <c r="E23" i="13"/>
  <c r="E31" i="13"/>
  <c r="E39" i="13"/>
  <c r="E47" i="13"/>
  <c r="E55" i="13"/>
  <c r="E63" i="13"/>
  <c r="E71" i="13"/>
  <c r="E79" i="13"/>
  <c r="J4" i="13"/>
  <c r="E4" i="13"/>
  <c r="E8" i="13"/>
  <c r="E16" i="13"/>
  <c r="E24" i="13"/>
  <c r="E32" i="13"/>
  <c r="E40" i="13"/>
  <c r="E48" i="13"/>
  <c r="E56" i="13"/>
  <c r="E64" i="13"/>
  <c r="E72" i="13"/>
  <c r="F10" i="11"/>
  <c r="G10" i="11" s="1"/>
  <c r="E10" i="11"/>
  <c r="F41" i="11"/>
  <c r="G41" i="11" s="1"/>
  <c r="E41" i="11"/>
  <c r="F52" i="11"/>
  <c r="G52" i="11" s="1"/>
  <c r="E52" i="11"/>
  <c r="F57" i="11"/>
  <c r="G57" i="11" s="1"/>
  <c r="E57" i="11"/>
  <c r="F72" i="11"/>
  <c r="G72" i="11" s="1"/>
  <c r="E72" i="11"/>
  <c r="F6" i="11"/>
  <c r="G6" i="11" s="1"/>
  <c r="E6" i="11"/>
  <c r="F11" i="11"/>
  <c r="G11" i="11" s="1"/>
  <c r="E11" i="11"/>
  <c r="E26" i="11"/>
  <c r="F26" i="11"/>
  <c r="G26" i="11" s="1"/>
  <c r="F42" i="11"/>
  <c r="G42" i="11" s="1"/>
  <c r="E42" i="11"/>
  <c r="E58" i="11"/>
  <c r="F58" i="11"/>
  <c r="G58" i="11" s="1"/>
  <c r="F62" i="11"/>
  <c r="G62" i="11" s="1"/>
  <c r="E62" i="11"/>
  <c r="F68" i="11"/>
  <c r="G68" i="11" s="1"/>
  <c r="E68" i="11"/>
  <c r="F73" i="11"/>
  <c r="G73" i="11" s="1"/>
  <c r="E73" i="11"/>
  <c r="F78" i="11"/>
  <c r="G78" i="11" s="1"/>
  <c r="E78" i="11"/>
  <c r="F12" i="11"/>
  <c r="G12" i="11" s="1"/>
  <c r="E12" i="11"/>
  <c r="F27" i="11"/>
  <c r="G27" i="11" s="1"/>
  <c r="E27" i="11"/>
  <c r="F43" i="11"/>
  <c r="G43" i="11" s="1"/>
  <c r="E43" i="11"/>
  <c r="F48" i="11"/>
  <c r="G48" i="11" s="1"/>
  <c r="E48" i="11"/>
  <c r="F74" i="11"/>
  <c r="G74" i="11" s="1"/>
  <c r="E74" i="11"/>
  <c r="F7" i="11"/>
  <c r="G7" i="11" s="1"/>
  <c r="E7" i="11"/>
  <c r="F28" i="11"/>
  <c r="G28" i="11" s="1"/>
  <c r="E28" i="11"/>
  <c r="F32" i="11"/>
  <c r="G32" i="11" s="1"/>
  <c r="E32" i="11"/>
  <c r="F44" i="11"/>
  <c r="G44" i="11" s="1"/>
  <c r="E44" i="11"/>
  <c r="F49" i="11"/>
  <c r="G49" i="11" s="1"/>
  <c r="E49" i="11"/>
  <c r="F17" i="11"/>
  <c r="G17" i="11" s="1"/>
  <c r="E17" i="11"/>
  <c r="F33" i="11"/>
  <c r="G33" i="11" s="1"/>
  <c r="E33" i="11"/>
  <c r="F50" i="11"/>
  <c r="G50" i="11" s="1"/>
  <c r="E50" i="11"/>
  <c r="F54" i="11"/>
  <c r="G54" i="11" s="1"/>
  <c r="E54" i="11"/>
  <c r="F64" i="11"/>
  <c r="G64" i="11" s="1"/>
  <c r="E64" i="11"/>
  <c r="F80" i="11"/>
  <c r="G80" i="11" s="1"/>
  <c r="E80" i="11"/>
  <c r="F25" i="11"/>
  <c r="G25" i="11" s="1"/>
  <c r="E25" i="11"/>
  <c r="F18" i="11"/>
  <c r="G18" i="11" s="1"/>
  <c r="E18" i="11"/>
  <c r="F34" i="11"/>
  <c r="G34" i="11" s="1"/>
  <c r="E34" i="11"/>
  <c r="F60" i="11"/>
  <c r="G60" i="11" s="1"/>
  <c r="E60" i="11"/>
  <c r="F65" i="11"/>
  <c r="G65" i="11" s="1"/>
  <c r="E65" i="11"/>
  <c r="F70" i="11"/>
  <c r="G70" i="11" s="1"/>
  <c r="E70" i="11"/>
  <c r="F76" i="11"/>
  <c r="G76" i="11" s="1"/>
  <c r="E76" i="11"/>
  <c r="F81" i="11"/>
  <c r="G81" i="11" s="1"/>
  <c r="E81" i="11"/>
  <c r="F19" i="11"/>
  <c r="G19" i="11" s="1"/>
  <c r="E19" i="11"/>
  <c r="F35" i="11"/>
  <c r="G35" i="11" s="1"/>
  <c r="E35" i="11"/>
  <c r="E66" i="11"/>
  <c r="F66" i="11"/>
  <c r="G66" i="11" s="1"/>
  <c r="F82" i="11"/>
  <c r="G82" i="11" s="1"/>
  <c r="E82" i="11"/>
  <c r="F9" i="11"/>
  <c r="G9" i="11" s="1"/>
  <c r="E9" i="11"/>
  <c r="F20" i="11"/>
  <c r="G20" i="11" s="1"/>
  <c r="E20" i="11"/>
  <c r="F24" i="11"/>
  <c r="G24" i="11" s="1"/>
  <c r="E24" i="11"/>
  <c r="F36" i="11"/>
  <c r="G36" i="11" s="1"/>
  <c r="E36" i="11"/>
  <c r="F40" i="11"/>
  <c r="G40" i="11" s="1"/>
  <c r="E40" i="11"/>
  <c r="F56" i="11"/>
  <c r="G56" i="11" s="1"/>
  <c r="E56" i="11"/>
  <c r="F83" i="11"/>
  <c r="G83" i="11" s="1"/>
  <c r="E83" i="11"/>
  <c r="F45" i="11"/>
  <c r="G45" i="11" s="1"/>
  <c r="E15" i="11"/>
  <c r="E23" i="11"/>
  <c r="E31" i="11"/>
  <c r="E39" i="11"/>
  <c r="E47" i="11"/>
  <c r="E55" i="11"/>
  <c r="E63" i="11"/>
  <c r="E71" i="11"/>
  <c r="E79" i="11"/>
  <c r="J4" i="11"/>
  <c r="F13" i="11"/>
  <c r="G13" i="11" s="1"/>
  <c r="E14" i="11"/>
  <c r="E22" i="11"/>
  <c r="E30" i="11"/>
  <c r="E38" i="11"/>
  <c r="E46" i="11"/>
  <c r="E67" i="11"/>
  <c r="E75" i="11"/>
  <c r="C3" i="10" l="1"/>
  <c r="C2" i="10"/>
  <c r="D2" i="10" s="1"/>
  <c r="C3" i="9"/>
  <c r="C4" i="9" s="1"/>
  <c r="C2" i="9"/>
  <c r="D2" i="9" s="1"/>
  <c r="C3" i="8"/>
  <c r="C4" i="8" s="1"/>
  <c r="D4" i="8" s="1"/>
  <c r="F4" i="8" s="1"/>
  <c r="C2" i="8"/>
  <c r="D2" i="8" s="1"/>
  <c r="C4" i="7"/>
  <c r="D4" i="7" s="1"/>
  <c r="F4" i="7" s="1"/>
  <c r="D2" i="7"/>
  <c r="C2" i="6"/>
  <c r="D2" i="6" s="1"/>
  <c r="F2" i="6" s="1"/>
  <c r="M9" i="5"/>
  <c r="M8" i="5"/>
  <c r="M7" i="5"/>
  <c r="M6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3" i="5"/>
  <c r="I2" i="5"/>
  <c r="M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3" i="5"/>
  <c r="E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3" i="5"/>
  <c r="D2" i="5"/>
  <c r="I7" i="4"/>
  <c r="I6" i="4"/>
  <c r="I5" i="4"/>
  <c r="I4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5" i="4"/>
  <c r="F4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5" i="4"/>
  <c r="E4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5" i="4"/>
  <c r="D4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5" i="3"/>
  <c r="D4" i="3"/>
  <c r="I6" i="3" s="1"/>
  <c r="I7" i="3" s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5" i="3"/>
  <c r="H3" i="1"/>
  <c r="K5" i="1" s="1"/>
  <c r="K6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4" i="1"/>
  <c r="E4" i="1"/>
  <c r="F4" i="1" s="1"/>
  <c r="F3" i="1"/>
  <c r="G3" i="1" s="1"/>
  <c r="K3" i="1" s="1"/>
  <c r="K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B1735" i="1"/>
  <c r="E4" i="3" l="1"/>
  <c r="I4" i="3" s="1"/>
  <c r="I5" i="3" s="1"/>
  <c r="F2" i="10"/>
  <c r="E2" i="10"/>
  <c r="C4" i="10"/>
  <c r="D3" i="10"/>
  <c r="D4" i="9"/>
  <c r="C5" i="9"/>
  <c r="F2" i="9"/>
  <c r="E2" i="9"/>
  <c r="D3" i="9"/>
  <c r="D3" i="8"/>
  <c r="E4" i="8"/>
  <c r="F2" i="8"/>
  <c r="E2" i="8"/>
  <c r="C5" i="8"/>
  <c r="D3" i="7"/>
  <c r="E4" i="7"/>
  <c r="F2" i="7"/>
  <c r="E2" i="7"/>
  <c r="C5" i="7"/>
  <c r="E2" i="6"/>
  <c r="C3" i="6"/>
  <c r="M4" i="5"/>
  <c r="F10" i="5" s="1"/>
  <c r="G10" i="5" s="1"/>
  <c r="H10" i="5" s="1"/>
  <c r="F27" i="5"/>
  <c r="G27" i="5" s="1"/>
  <c r="H27" i="5" s="1"/>
  <c r="F67" i="5"/>
  <c r="G67" i="5" s="1"/>
  <c r="H67" i="5" s="1"/>
  <c r="F34" i="5"/>
  <c r="G34" i="5" s="1"/>
  <c r="H34" i="5" s="1"/>
  <c r="F74" i="5"/>
  <c r="G74" i="5" s="1"/>
  <c r="H74" i="5" s="1"/>
  <c r="F43" i="5"/>
  <c r="G43" i="5" s="1"/>
  <c r="H43" i="5" s="1"/>
  <c r="F83" i="5"/>
  <c r="G83" i="5" s="1"/>
  <c r="H83" i="5" s="1"/>
  <c r="F35" i="5"/>
  <c r="G35" i="5" s="1"/>
  <c r="H35" i="5" s="1"/>
  <c r="F59" i="5"/>
  <c r="G59" i="5" s="1"/>
  <c r="H59" i="5" s="1"/>
  <c r="F18" i="5"/>
  <c r="G18" i="5" s="1"/>
  <c r="H18" i="5" s="1"/>
  <c r="F58" i="5"/>
  <c r="G58" i="5" s="1"/>
  <c r="H58" i="5" s="1"/>
  <c r="F19" i="5"/>
  <c r="G19" i="5" s="1"/>
  <c r="H19" i="5" s="1"/>
  <c r="F75" i="5"/>
  <c r="G75" i="5" s="1"/>
  <c r="H75" i="5" s="1"/>
  <c r="F11" i="5"/>
  <c r="G11" i="5" s="1"/>
  <c r="H11" i="5" s="1"/>
  <c r="F51" i="5"/>
  <c r="G51" i="5" s="1"/>
  <c r="H51" i="5" s="1"/>
  <c r="F4" i="5"/>
  <c r="G4" i="5" s="1"/>
  <c r="H4" i="5" s="1"/>
  <c r="F57" i="5"/>
  <c r="G57" i="5" s="1"/>
  <c r="H57" i="5" s="1"/>
  <c r="F25" i="5"/>
  <c r="G25" i="5" s="1"/>
  <c r="H25" i="5" s="1"/>
  <c r="F80" i="5"/>
  <c r="G80" i="5" s="1"/>
  <c r="H80" i="5" s="1"/>
  <c r="F56" i="5"/>
  <c r="G56" i="5" s="1"/>
  <c r="H56" i="5" s="1"/>
  <c r="F48" i="5"/>
  <c r="G48" i="5" s="1"/>
  <c r="H48" i="5" s="1"/>
  <c r="F40" i="5"/>
  <c r="G40" i="5" s="1"/>
  <c r="H40" i="5" s="1"/>
  <c r="F32" i="5"/>
  <c r="G32" i="5" s="1"/>
  <c r="H32" i="5" s="1"/>
  <c r="F24" i="5"/>
  <c r="G24" i="5" s="1"/>
  <c r="H24" i="5" s="1"/>
  <c r="F16" i="5"/>
  <c r="G16" i="5" s="1"/>
  <c r="H16" i="5" s="1"/>
  <c r="F33" i="5"/>
  <c r="G33" i="5" s="1"/>
  <c r="H33" i="5" s="1"/>
  <c r="F2" i="5"/>
  <c r="G2" i="5" s="1"/>
  <c r="H2" i="5" s="1"/>
  <c r="F79" i="5"/>
  <c r="G79" i="5" s="1"/>
  <c r="H79" i="5" s="1"/>
  <c r="F71" i="5"/>
  <c r="G71" i="5" s="1"/>
  <c r="H71" i="5" s="1"/>
  <c r="F63" i="5"/>
  <c r="G63" i="5" s="1"/>
  <c r="H63" i="5" s="1"/>
  <c r="F55" i="5"/>
  <c r="G55" i="5" s="1"/>
  <c r="H55" i="5" s="1"/>
  <c r="F31" i="5"/>
  <c r="G31" i="5" s="1"/>
  <c r="H31" i="5" s="1"/>
  <c r="F23" i="5"/>
  <c r="G23" i="5" s="1"/>
  <c r="H23" i="5" s="1"/>
  <c r="F15" i="5"/>
  <c r="G15" i="5" s="1"/>
  <c r="H15" i="5" s="1"/>
  <c r="F7" i="5"/>
  <c r="G7" i="5" s="1"/>
  <c r="H7" i="5" s="1"/>
  <c r="F49" i="5"/>
  <c r="G49" i="5" s="1"/>
  <c r="H49" i="5" s="1"/>
  <c r="F9" i="5"/>
  <c r="G9" i="5" s="1"/>
  <c r="H9" i="5" s="1"/>
  <c r="F70" i="5"/>
  <c r="G70" i="5" s="1"/>
  <c r="H70" i="5" s="1"/>
  <c r="F62" i="5"/>
  <c r="G62" i="5" s="1"/>
  <c r="H62" i="5" s="1"/>
  <c r="F54" i="5"/>
  <c r="G54" i="5" s="1"/>
  <c r="H54" i="5" s="1"/>
  <c r="F46" i="5"/>
  <c r="G46" i="5" s="1"/>
  <c r="H46" i="5" s="1"/>
  <c r="F38" i="5"/>
  <c r="G38" i="5" s="1"/>
  <c r="H38" i="5" s="1"/>
  <c r="F30" i="5"/>
  <c r="G30" i="5" s="1"/>
  <c r="H30" i="5" s="1"/>
  <c r="F6" i="5"/>
  <c r="G6" i="5" s="1"/>
  <c r="H6" i="5" s="1"/>
  <c r="F73" i="5"/>
  <c r="G73" i="5" s="1"/>
  <c r="H73" i="5" s="1"/>
  <c r="F17" i="5"/>
  <c r="G17" i="5" s="1"/>
  <c r="H17" i="5" s="1"/>
  <c r="F85" i="5"/>
  <c r="G85" i="5" s="1"/>
  <c r="H85" i="5" s="1"/>
  <c r="F77" i="5"/>
  <c r="G77" i="5" s="1"/>
  <c r="H77" i="5" s="1"/>
  <c r="F69" i="5"/>
  <c r="G69" i="5" s="1"/>
  <c r="H69" i="5" s="1"/>
  <c r="F45" i="5"/>
  <c r="G45" i="5" s="1"/>
  <c r="H45" i="5" s="1"/>
  <c r="F37" i="5"/>
  <c r="G37" i="5" s="1"/>
  <c r="H37" i="5" s="1"/>
  <c r="F29" i="5"/>
  <c r="G29" i="5" s="1"/>
  <c r="H29" i="5" s="1"/>
  <c r="F21" i="5"/>
  <c r="G21" i="5" s="1"/>
  <c r="H21" i="5" s="1"/>
  <c r="F13" i="5"/>
  <c r="G13" i="5" s="1"/>
  <c r="H13" i="5" s="1"/>
  <c r="F5" i="5"/>
  <c r="G5" i="5" s="1"/>
  <c r="H5" i="5" s="1"/>
  <c r="F41" i="5"/>
  <c r="G41" i="5" s="1"/>
  <c r="H41" i="5" s="1"/>
  <c r="F84" i="5"/>
  <c r="G84" i="5" s="1"/>
  <c r="H84" i="5" s="1"/>
  <c r="F76" i="5"/>
  <c r="G76" i="5" s="1"/>
  <c r="H76" i="5" s="1"/>
  <c r="F68" i="5"/>
  <c r="G68" i="5" s="1"/>
  <c r="H68" i="5" s="1"/>
  <c r="F60" i="5"/>
  <c r="G60" i="5" s="1"/>
  <c r="H60" i="5" s="1"/>
  <c r="F52" i="5"/>
  <c r="G52" i="5" s="1"/>
  <c r="H52" i="5" s="1"/>
  <c r="F44" i="5"/>
  <c r="G44" i="5" s="1"/>
  <c r="H44" i="5" s="1"/>
  <c r="F36" i="5"/>
  <c r="G36" i="5" s="1"/>
  <c r="H36" i="5" s="1"/>
  <c r="F28" i="5"/>
  <c r="G28" i="5" s="1"/>
  <c r="H28" i="5" s="1"/>
  <c r="F20" i="5"/>
  <c r="G20" i="5" s="1"/>
  <c r="H20" i="5" s="1"/>
  <c r="F12" i="5"/>
  <c r="G12" i="5" s="1"/>
  <c r="H12" i="5" s="1"/>
  <c r="F3" i="10" l="1"/>
  <c r="E3" i="10"/>
  <c r="D4" i="10"/>
  <c r="C5" i="10"/>
  <c r="F3" i="9"/>
  <c r="E3" i="9"/>
  <c r="D5" i="9"/>
  <c r="C6" i="9"/>
  <c r="F4" i="9"/>
  <c r="E4" i="9"/>
  <c r="C6" i="8"/>
  <c r="D5" i="8"/>
  <c r="F3" i="8"/>
  <c r="E3" i="8"/>
  <c r="D5" i="7"/>
  <c r="C6" i="7"/>
  <c r="F3" i="7"/>
  <c r="E3" i="7"/>
  <c r="D3" i="6"/>
  <c r="C4" i="6"/>
  <c r="F53" i="5"/>
  <c r="G53" i="5" s="1"/>
  <c r="H53" i="5" s="1"/>
  <c r="F14" i="5"/>
  <c r="G14" i="5" s="1"/>
  <c r="H14" i="5" s="1"/>
  <c r="F78" i="5"/>
  <c r="G78" i="5" s="1"/>
  <c r="H78" i="5" s="1"/>
  <c r="F39" i="5"/>
  <c r="G39" i="5" s="1"/>
  <c r="H39" i="5" s="1"/>
  <c r="F65" i="5"/>
  <c r="G65" i="5" s="1"/>
  <c r="H65" i="5" s="1"/>
  <c r="F64" i="5"/>
  <c r="G64" i="5" s="1"/>
  <c r="H64" i="5" s="1"/>
  <c r="F66" i="5"/>
  <c r="G66" i="5" s="1"/>
  <c r="H66" i="5" s="1"/>
  <c r="F82" i="5"/>
  <c r="G82" i="5" s="1"/>
  <c r="H82" i="5" s="1"/>
  <c r="F50" i="5"/>
  <c r="G50" i="5" s="1"/>
  <c r="H50" i="5" s="1"/>
  <c r="F81" i="5"/>
  <c r="G81" i="5" s="1"/>
  <c r="H81" i="5" s="1"/>
  <c r="F61" i="5"/>
  <c r="G61" i="5" s="1"/>
  <c r="H61" i="5" s="1"/>
  <c r="F22" i="5"/>
  <c r="G22" i="5" s="1"/>
  <c r="H22" i="5" s="1"/>
  <c r="F3" i="5"/>
  <c r="G3" i="5" s="1"/>
  <c r="H3" i="5" s="1"/>
  <c r="F47" i="5"/>
  <c r="G47" i="5" s="1"/>
  <c r="H47" i="5" s="1"/>
  <c r="F8" i="5"/>
  <c r="G8" i="5" s="1"/>
  <c r="H8" i="5" s="1"/>
  <c r="F72" i="5"/>
  <c r="G72" i="5" s="1"/>
  <c r="H72" i="5" s="1"/>
  <c r="F26" i="5"/>
  <c r="G26" i="5" s="1"/>
  <c r="H26" i="5" s="1"/>
  <c r="F42" i="5"/>
  <c r="G42" i="5" s="1"/>
  <c r="H42" i="5" s="1"/>
  <c r="D5" i="10" l="1"/>
  <c r="C6" i="10"/>
  <c r="F4" i="10"/>
  <c r="E4" i="10"/>
  <c r="C7" i="9"/>
  <c r="D6" i="9"/>
  <c r="F5" i="9"/>
  <c r="E5" i="9"/>
  <c r="F5" i="8"/>
  <c r="E5" i="8"/>
  <c r="D6" i="8"/>
  <c r="C7" i="8"/>
  <c r="C7" i="7"/>
  <c r="D6" i="7"/>
  <c r="F5" i="7"/>
  <c r="E5" i="7"/>
  <c r="C5" i="6"/>
  <c r="D4" i="6"/>
  <c r="F3" i="6"/>
  <c r="E3" i="6"/>
  <c r="C7" i="10" l="1"/>
  <c r="D6" i="10"/>
  <c r="F5" i="10"/>
  <c r="E5" i="10"/>
  <c r="D7" i="9"/>
  <c r="C8" i="9"/>
  <c r="F6" i="9"/>
  <c r="E6" i="9"/>
  <c r="D7" i="8"/>
  <c r="C8" i="8"/>
  <c r="E6" i="8"/>
  <c r="F6" i="8"/>
  <c r="E4" i="6"/>
  <c r="F4" i="6"/>
  <c r="E6" i="7"/>
  <c r="F6" i="7"/>
  <c r="D7" i="7"/>
  <c r="C8" i="7"/>
  <c r="D5" i="6"/>
  <c r="C6" i="6"/>
  <c r="D7" i="10" l="1"/>
  <c r="C8" i="10"/>
  <c r="F6" i="10"/>
  <c r="E6" i="10"/>
  <c r="D8" i="9"/>
  <c r="C9" i="9"/>
  <c r="F7" i="9"/>
  <c r="E7" i="9"/>
  <c r="D8" i="8"/>
  <c r="C9" i="8"/>
  <c r="F7" i="8"/>
  <c r="E7" i="8"/>
  <c r="E5" i="6"/>
  <c r="F5" i="6"/>
  <c r="C9" i="7"/>
  <c r="D8" i="7"/>
  <c r="F7" i="7"/>
  <c r="E7" i="7"/>
  <c r="C7" i="6"/>
  <c r="D6" i="6"/>
  <c r="C9" i="10" l="1"/>
  <c r="D8" i="10"/>
  <c r="F7" i="10"/>
  <c r="E7" i="10"/>
  <c r="D9" i="9"/>
  <c r="C10" i="9"/>
  <c r="E8" i="9"/>
  <c r="F8" i="9"/>
  <c r="D9" i="8"/>
  <c r="C10" i="8"/>
  <c r="F8" i="8"/>
  <c r="E8" i="8"/>
  <c r="E6" i="6"/>
  <c r="F6" i="6"/>
  <c r="F8" i="7"/>
  <c r="E8" i="7"/>
  <c r="D9" i="7"/>
  <c r="C10" i="7"/>
  <c r="C8" i="6"/>
  <c r="D7" i="6"/>
  <c r="F8" i="10" l="1"/>
  <c r="E8" i="10"/>
  <c r="D9" i="10"/>
  <c r="C10" i="10"/>
  <c r="D10" i="9"/>
  <c r="C11" i="9"/>
  <c r="F9" i="9"/>
  <c r="E9" i="9"/>
  <c r="C11" i="8"/>
  <c r="D10" i="8"/>
  <c r="F9" i="8"/>
  <c r="E9" i="8"/>
  <c r="E7" i="6"/>
  <c r="F7" i="6"/>
  <c r="C11" i="7"/>
  <c r="D10" i="7"/>
  <c r="F9" i="7"/>
  <c r="E9" i="7"/>
  <c r="C9" i="6"/>
  <c r="D8" i="6"/>
  <c r="C11" i="10" l="1"/>
  <c r="D10" i="10"/>
  <c r="F9" i="10"/>
  <c r="E9" i="10"/>
  <c r="D11" i="9"/>
  <c r="C12" i="9"/>
  <c r="E10" i="9"/>
  <c r="F10" i="9"/>
  <c r="F10" i="8"/>
  <c r="E10" i="8"/>
  <c r="D11" i="8"/>
  <c r="C12" i="8"/>
  <c r="E8" i="6"/>
  <c r="F8" i="6"/>
  <c r="F10" i="7"/>
  <c r="E10" i="7"/>
  <c r="D11" i="7"/>
  <c r="C12" i="7"/>
  <c r="C10" i="6"/>
  <c r="D9" i="6"/>
  <c r="F10" i="10" l="1"/>
  <c r="E10" i="10"/>
  <c r="D11" i="10"/>
  <c r="C12" i="10"/>
  <c r="D12" i="9"/>
  <c r="C13" i="9"/>
  <c r="F11" i="9"/>
  <c r="E11" i="9"/>
  <c r="F11" i="8"/>
  <c r="E11" i="8"/>
  <c r="D12" i="8"/>
  <c r="C13" i="8"/>
  <c r="E9" i="6"/>
  <c r="F9" i="6"/>
  <c r="C13" i="7"/>
  <c r="D12" i="7"/>
  <c r="F11" i="7"/>
  <c r="E11" i="7"/>
  <c r="C11" i="6"/>
  <c r="D10" i="6"/>
  <c r="F11" i="10" l="1"/>
  <c r="E11" i="10"/>
  <c r="C13" i="10"/>
  <c r="D12" i="10"/>
  <c r="D13" i="9"/>
  <c r="C14" i="9"/>
  <c r="E12" i="9"/>
  <c r="F12" i="9"/>
  <c r="F12" i="8"/>
  <c r="E12" i="8"/>
  <c r="D13" i="8"/>
  <c r="C14" i="8"/>
  <c r="E10" i="6"/>
  <c r="F10" i="6"/>
  <c r="E12" i="7"/>
  <c r="F12" i="7"/>
  <c r="D13" i="7"/>
  <c r="C14" i="7"/>
  <c r="C12" i="6"/>
  <c r="D11" i="6"/>
  <c r="D13" i="10" l="1"/>
  <c r="C14" i="10"/>
  <c r="F12" i="10"/>
  <c r="E12" i="10"/>
  <c r="D14" i="9"/>
  <c r="C15" i="9"/>
  <c r="F13" i="9"/>
  <c r="E13" i="9"/>
  <c r="D14" i="8"/>
  <c r="C15" i="8"/>
  <c r="F13" i="8"/>
  <c r="E13" i="8"/>
  <c r="E11" i="6"/>
  <c r="F11" i="6"/>
  <c r="C15" i="7"/>
  <c r="D14" i="7"/>
  <c r="F13" i="7"/>
  <c r="E13" i="7"/>
  <c r="C13" i="6"/>
  <c r="D12" i="6"/>
  <c r="C15" i="10" l="1"/>
  <c r="D14" i="10"/>
  <c r="F13" i="10"/>
  <c r="E13" i="10"/>
  <c r="D15" i="9"/>
  <c r="C16" i="9"/>
  <c r="E14" i="9"/>
  <c r="F14" i="9"/>
  <c r="D15" i="8"/>
  <c r="C16" i="8"/>
  <c r="E14" i="8"/>
  <c r="F14" i="8"/>
  <c r="E12" i="6"/>
  <c r="F12" i="6"/>
  <c r="E14" i="7"/>
  <c r="F14" i="7"/>
  <c r="D15" i="7"/>
  <c r="C16" i="7"/>
  <c r="C14" i="6"/>
  <c r="D13" i="6"/>
  <c r="F14" i="10" l="1"/>
  <c r="E14" i="10"/>
  <c r="D15" i="10"/>
  <c r="C16" i="10"/>
  <c r="D16" i="9"/>
  <c r="C17" i="9"/>
  <c r="F15" i="9"/>
  <c r="E15" i="9"/>
  <c r="C17" i="8"/>
  <c r="D16" i="8"/>
  <c r="F15" i="8"/>
  <c r="E15" i="8"/>
  <c r="E13" i="6"/>
  <c r="F13" i="6"/>
  <c r="C17" i="7"/>
  <c r="D16" i="7"/>
  <c r="F15" i="7"/>
  <c r="E15" i="7"/>
  <c r="C15" i="6"/>
  <c r="D14" i="6"/>
  <c r="C17" i="10" l="1"/>
  <c r="D16" i="10"/>
  <c r="F15" i="10"/>
  <c r="E15" i="10"/>
  <c r="D17" i="9"/>
  <c r="C18" i="9"/>
  <c r="F16" i="9"/>
  <c r="E16" i="9"/>
  <c r="F16" i="8"/>
  <c r="E16" i="8"/>
  <c r="D17" i="8"/>
  <c r="C18" i="8"/>
  <c r="E14" i="6"/>
  <c r="F14" i="6"/>
  <c r="F16" i="7"/>
  <c r="E16" i="7"/>
  <c r="D17" i="7"/>
  <c r="C18" i="7"/>
  <c r="C16" i="6"/>
  <c r="D15" i="6"/>
  <c r="F16" i="10" l="1"/>
  <c r="E16" i="10"/>
  <c r="D17" i="10"/>
  <c r="C18" i="10"/>
  <c r="D18" i="9"/>
  <c r="C19" i="9"/>
  <c r="F17" i="9"/>
  <c r="E17" i="9"/>
  <c r="C19" i="8"/>
  <c r="D18" i="8"/>
  <c r="F17" i="8"/>
  <c r="E17" i="8"/>
  <c r="E15" i="6"/>
  <c r="F15" i="6"/>
  <c r="C19" i="7"/>
  <c r="D18" i="7"/>
  <c r="F17" i="7"/>
  <c r="E17" i="7"/>
  <c r="C17" i="6"/>
  <c r="D16" i="6"/>
  <c r="F17" i="10" l="1"/>
  <c r="E17" i="10"/>
  <c r="C19" i="10"/>
  <c r="D18" i="10"/>
  <c r="D19" i="9"/>
  <c r="C20" i="9"/>
  <c r="E18" i="9"/>
  <c r="F18" i="9"/>
  <c r="F18" i="8"/>
  <c r="E18" i="8"/>
  <c r="D19" i="8"/>
  <c r="C20" i="8"/>
  <c r="E16" i="6"/>
  <c r="F16" i="6"/>
  <c r="F18" i="7"/>
  <c r="E18" i="7"/>
  <c r="D19" i="7"/>
  <c r="C20" i="7"/>
  <c r="C18" i="6"/>
  <c r="D17" i="6"/>
  <c r="D19" i="10" l="1"/>
  <c r="C20" i="10"/>
  <c r="F18" i="10"/>
  <c r="E18" i="10"/>
  <c r="D20" i="9"/>
  <c r="C21" i="9"/>
  <c r="F19" i="9"/>
  <c r="E19" i="9"/>
  <c r="C21" i="8"/>
  <c r="D20" i="8"/>
  <c r="F19" i="8"/>
  <c r="E19" i="8"/>
  <c r="E17" i="6"/>
  <c r="F17" i="6"/>
  <c r="C21" i="7"/>
  <c r="D20" i="7"/>
  <c r="F19" i="7"/>
  <c r="E19" i="7"/>
  <c r="C19" i="6"/>
  <c r="D18" i="6"/>
  <c r="C21" i="10" l="1"/>
  <c r="D20" i="10"/>
  <c r="F19" i="10"/>
  <c r="E19" i="10"/>
  <c r="D21" i="9"/>
  <c r="C22" i="9"/>
  <c r="E20" i="9"/>
  <c r="F20" i="9"/>
  <c r="F20" i="8"/>
  <c r="E20" i="8"/>
  <c r="D21" i="8"/>
  <c r="C22" i="8"/>
  <c r="E18" i="6"/>
  <c r="F18" i="6"/>
  <c r="E20" i="7"/>
  <c r="F20" i="7"/>
  <c r="D21" i="7"/>
  <c r="C22" i="7"/>
  <c r="C20" i="6"/>
  <c r="D19" i="6"/>
  <c r="F20" i="10" l="1"/>
  <c r="E20" i="10"/>
  <c r="D21" i="10"/>
  <c r="C22" i="10"/>
  <c r="D22" i="9"/>
  <c r="C23" i="9"/>
  <c r="F21" i="9"/>
  <c r="E21" i="9"/>
  <c r="C23" i="8"/>
  <c r="D22" i="8"/>
  <c r="F21" i="8"/>
  <c r="E21" i="8"/>
  <c r="E19" i="6"/>
  <c r="F19" i="6"/>
  <c r="C23" i="7"/>
  <c r="D22" i="7"/>
  <c r="F21" i="7"/>
  <c r="E21" i="7"/>
  <c r="C21" i="6"/>
  <c r="D20" i="6"/>
  <c r="C23" i="10" l="1"/>
  <c r="D22" i="10"/>
  <c r="F21" i="10"/>
  <c r="E21" i="10"/>
  <c r="D23" i="9"/>
  <c r="C24" i="9"/>
  <c r="E22" i="9"/>
  <c r="F22" i="9"/>
  <c r="F22" i="8"/>
  <c r="E22" i="8"/>
  <c r="D23" i="8"/>
  <c r="C24" i="8"/>
  <c r="E20" i="6"/>
  <c r="F20" i="6"/>
  <c r="E22" i="7"/>
  <c r="F22" i="7"/>
  <c r="D23" i="7"/>
  <c r="C24" i="7"/>
  <c r="C22" i="6"/>
  <c r="D21" i="6"/>
  <c r="F22" i="10" l="1"/>
  <c r="E22" i="10"/>
  <c r="D23" i="10"/>
  <c r="C24" i="10"/>
  <c r="D24" i="9"/>
  <c r="C25" i="9"/>
  <c r="F23" i="9"/>
  <c r="E23" i="9"/>
  <c r="D24" i="8"/>
  <c r="C25" i="8"/>
  <c r="F23" i="8"/>
  <c r="E23" i="8"/>
  <c r="E21" i="6"/>
  <c r="F21" i="6"/>
  <c r="C25" i="7"/>
  <c r="D24" i="7"/>
  <c r="F23" i="7"/>
  <c r="E23" i="7"/>
  <c r="C23" i="6"/>
  <c r="D22" i="6"/>
  <c r="F23" i="10" l="1"/>
  <c r="E23" i="10"/>
  <c r="C25" i="10"/>
  <c r="D24" i="10"/>
  <c r="D25" i="9"/>
  <c r="C26" i="9"/>
  <c r="E24" i="9"/>
  <c r="F24" i="9"/>
  <c r="D25" i="8"/>
  <c r="C26" i="8"/>
  <c r="F24" i="8"/>
  <c r="E24" i="8"/>
  <c r="E22" i="6"/>
  <c r="F22" i="6"/>
  <c r="F24" i="7"/>
  <c r="E24" i="7"/>
  <c r="D25" i="7"/>
  <c r="C26" i="7"/>
  <c r="C24" i="6"/>
  <c r="D23" i="6"/>
  <c r="D25" i="10" l="1"/>
  <c r="C26" i="10"/>
  <c r="F24" i="10"/>
  <c r="E24" i="10"/>
  <c r="D26" i="9"/>
  <c r="C27" i="9"/>
  <c r="F25" i="9"/>
  <c r="E25" i="9"/>
  <c r="C27" i="8"/>
  <c r="D26" i="8"/>
  <c r="F25" i="8"/>
  <c r="E25" i="8"/>
  <c r="E23" i="6"/>
  <c r="F23" i="6"/>
  <c r="C27" i="7"/>
  <c r="D26" i="7"/>
  <c r="F25" i="7"/>
  <c r="E25" i="7"/>
  <c r="C25" i="6"/>
  <c r="D24" i="6"/>
  <c r="C27" i="10" l="1"/>
  <c r="D26" i="10"/>
  <c r="F25" i="10"/>
  <c r="E25" i="10"/>
  <c r="D27" i="9"/>
  <c r="C28" i="9"/>
  <c r="E26" i="9"/>
  <c r="F26" i="9"/>
  <c r="F26" i="8"/>
  <c r="E26" i="8"/>
  <c r="D27" i="8"/>
  <c r="C28" i="8"/>
  <c r="E24" i="6"/>
  <c r="F24" i="6"/>
  <c r="F26" i="7"/>
  <c r="E26" i="7"/>
  <c r="D27" i="7"/>
  <c r="C28" i="7"/>
  <c r="C26" i="6"/>
  <c r="D25" i="6"/>
  <c r="F26" i="10" l="1"/>
  <c r="E26" i="10"/>
  <c r="D27" i="10"/>
  <c r="C28" i="10"/>
  <c r="D28" i="9"/>
  <c r="C29" i="9"/>
  <c r="F27" i="9"/>
  <c r="E27" i="9"/>
  <c r="D28" i="8"/>
  <c r="C29" i="8"/>
  <c r="F27" i="8"/>
  <c r="E27" i="8"/>
  <c r="E25" i="6"/>
  <c r="F25" i="6"/>
  <c r="C29" i="7"/>
  <c r="D28" i="7"/>
  <c r="F27" i="7"/>
  <c r="E27" i="7"/>
  <c r="C27" i="6"/>
  <c r="D26" i="6"/>
  <c r="C29" i="10" l="1"/>
  <c r="D28" i="10"/>
  <c r="F27" i="10"/>
  <c r="E27" i="10"/>
  <c r="D29" i="9"/>
  <c r="C30" i="9"/>
  <c r="E28" i="9"/>
  <c r="F28" i="9"/>
  <c r="D29" i="8"/>
  <c r="C30" i="8"/>
  <c r="F28" i="8"/>
  <c r="E28" i="8"/>
  <c r="E26" i="6"/>
  <c r="F26" i="6"/>
  <c r="E28" i="7"/>
  <c r="F28" i="7"/>
  <c r="D29" i="7"/>
  <c r="C30" i="7"/>
  <c r="C28" i="6"/>
  <c r="D27" i="6"/>
  <c r="F28" i="10" l="1"/>
  <c r="E28" i="10"/>
  <c r="D29" i="10"/>
  <c r="C30" i="10"/>
  <c r="D30" i="9"/>
  <c r="C31" i="9"/>
  <c r="F29" i="9"/>
  <c r="E29" i="9"/>
  <c r="D30" i="8"/>
  <c r="C31" i="8"/>
  <c r="F29" i="8"/>
  <c r="E29" i="8"/>
  <c r="E27" i="6"/>
  <c r="F27" i="6"/>
  <c r="C31" i="7"/>
  <c r="D30" i="7"/>
  <c r="F29" i="7"/>
  <c r="E29" i="7"/>
  <c r="C29" i="6"/>
  <c r="D28" i="6"/>
  <c r="F29" i="10" l="1"/>
  <c r="E29" i="10"/>
  <c r="C31" i="10"/>
  <c r="D30" i="10"/>
  <c r="D31" i="9"/>
  <c r="C32" i="9"/>
  <c r="F30" i="9"/>
  <c r="E30" i="9"/>
  <c r="D31" i="8"/>
  <c r="C32" i="8"/>
  <c r="E30" i="8"/>
  <c r="F30" i="8"/>
  <c r="E28" i="6"/>
  <c r="F28" i="6"/>
  <c r="E30" i="7"/>
  <c r="F30" i="7"/>
  <c r="D31" i="7"/>
  <c r="C32" i="7"/>
  <c r="C30" i="6"/>
  <c r="D29" i="6"/>
  <c r="D31" i="10" l="1"/>
  <c r="C32" i="10"/>
  <c r="F30" i="10"/>
  <c r="E30" i="10"/>
  <c r="D32" i="9"/>
  <c r="C33" i="9"/>
  <c r="F31" i="9"/>
  <c r="E31" i="9"/>
  <c r="C33" i="8"/>
  <c r="D32" i="8"/>
  <c r="F31" i="8"/>
  <c r="E31" i="8"/>
  <c r="E29" i="6"/>
  <c r="F29" i="6"/>
  <c r="C33" i="7"/>
  <c r="D32" i="7"/>
  <c r="F31" i="7"/>
  <c r="E31" i="7"/>
  <c r="C31" i="6"/>
  <c r="D30" i="6"/>
  <c r="C33" i="10" l="1"/>
  <c r="D32" i="10"/>
  <c r="F31" i="10"/>
  <c r="E31" i="10"/>
  <c r="E32" i="9"/>
  <c r="F32" i="9"/>
  <c r="D33" i="9"/>
  <c r="C34" i="9"/>
  <c r="F32" i="8"/>
  <c r="E32" i="8"/>
  <c r="D33" i="8"/>
  <c r="C34" i="8"/>
  <c r="E30" i="6"/>
  <c r="F30" i="6"/>
  <c r="F32" i="7"/>
  <c r="E32" i="7"/>
  <c r="D33" i="7"/>
  <c r="C34" i="7"/>
  <c r="C32" i="6"/>
  <c r="D31" i="6"/>
  <c r="F32" i="10" l="1"/>
  <c r="E32" i="10"/>
  <c r="D33" i="10"/>
  <c r="C34" i="10"/>
  <c r="D34" i="9"/>
  <c r="C35" i="9"/>
  <c r="F33" i="9"/>
  <c r="E33" i="9"/>
  <c r="C35" i="8"/>
  <c r="D34" i="8"/>
  <c r="F33" i="8"/>
  <c r="E33" i="8"/>
  <c r="E31" i="6"/>
  <c r="F31" i="6"/>
  <c r="C35" i="7"/>
  <c r="D34" i="7"/>
  <c r="F33" i="7"/>
  <c r="E33" i="7"/>
  <c r="C33" i="6"/>
  <c r="D32" i="6"/>
  <c r="F33" i="10" l="1"/>
  <c r="E33" i="10"/>
  <c r="C35" i="10"/>
  <c r="D34" i="10"/>
  <c r="D35" i="9"/>
  <c r="C36" i="9"/>
  <c r="E34" i="9"/>
  <c r="F34" i="9"/>
  <c r="F34" i="8"/>
  <c r="E34" i="8"/>
  <c r="D35" i="8"/>
  <c r="C36" i="8"/>
  <c r="E32" i="6"/>
  <c r="F32" i="6"/>
  <c r="F34" i="7"/>
  <c r="E34" i="7"/>
  <c r="D35" i="7"/>
  <c r="C36" i="7"/>
  <c r="C34" i="6"/>
  <c r="D33" i="6"/>
  <c r="D35" i="10" l="1"/>
  <c r="C36" i="10"/>
  <c r="F34" i="10"/>
  <c r="E34" i="10"/>
  <c r="D36" i="9"/>
  <c r="C37" i="9"/>
  <c r="F35" i="9"/>
  <c r="E35" i="9"/>
  <c r="C37" i="8"/>
  <c r="D36" i="8"/>
  <c r="F35" i="8"/>
  <c r="E35" i="8"/>
  <c r="E33" i="6"/>
  <c r="F33" i="6"/>
  <c r="C37" i="7"/>
  <c r="D36" i="7"/>
  <c r="F35" i="7"/>
  <c r="E35" i="7"/>
  <c r="C35" i="6"/>
  <c r="D34" i="6"/>
  <c r="C37" i="10" l="1"/>
  <c r="D36" i="10"/>
  <c r="F35" i="10"/>
  <c r="E35" i="10"/>
  <c r="D37" i="9"/>
  <c r="C38" i="9"/>
  <c r="E36" i="9"/>
  <c r="F36" i="9"/>
  <c r="F36" i="8"/>
  <c r="E36" i="8"/>
  <c r="D37" i="8"/>
  <c r="C38" i="8"/>
  <c r="E34" i="6"/>
  <c r="F34" i="6"/>
  <c r="E36" i="7"/>
  <c r="F36" i="7"/>
  <c r="D37" i="7"/>
  <c r="C38" i="7"/>
  <c r="C36" i="6"/>
  <c r="D35" i="6"/>
  <c r="F36" i="10" l="1"/>
  <c r="E36" i="10"/>
  <c r="D37" i="10"/>
  <c r="C38" i="10"/>
  <c r="D38" i="9"/>
  <c r="C39" i="9"/>
  <c r="F37" i="9"/>
  <c r="E37" i="9"/>
  <c r="C39" i="8"/>
  <c r="D38" i="8"/>
  <c r="F37" i="8"/>
  <c r="E37" i="8"/>
  <c r="E35" i="6"/>
  <c r="F35" i="6"/>
  <c r="C39" i="7"/>
  <c r="D38" i="7"/>
  <c r="F37" i="7"/>
  <c r="E37" i="7"/>
  <c r="C37" i="6"/>
  <c r="D36" i="6"/>
  <c r="F37" i="10" l="1"/>
  <c r="E37" i="10"/>
  <c r="C39" i="10"/>
  <c r="D38" i="10"/>
  <c r="D39" i="9"/>
  <c r="C40" i="9"/>
  <c r="E38" i="9"/>
  <c r="F38" i="9"/>
  <c r="F38" i="8"/>
  <c r="E38" i="8"/>
  <c r="D39" i="8"/>
  <c r="C40" i="8"/>
  <c r="E36" i="6"/>
  <c r="F36" i="6"/>
  <c r="E38" i="7"/>
  <c r="F38" i="7"/>
  <c r="D39" i="7"/>
  <c r="C40" i="7"/>
  <c r="C38" i="6"/>
  <c r="D37" i="6"/>
  <c r="D39" i="10" l="1"/>
  <c r="C40" i="10"/>
  <c r="F38" i="10"/>
  <c r="E38" i="10"/>
  <c r="D40" i="9"/>
  <c r="C41" i="9"/>
  <c r="F39" i="9"/>
  <c r="E39" i="9"/>
  <c r="D40" i="8"/>
  <c r="C41" i="8"/>
  <c r="F39" i="8"/>
  <c r="E39" i="8"/>
  <c r="E37" i="6"/>
  <c r="F37" i="6"/>
  <c r="C41" i="7"/>
  <c r="D40" i="7"/>
  <c r="F39" i="7"/>
  <c r="E39" i="7"/>
  <c r="C39" i="6"/>
  <c r="D38" i="6"/>
  <c r="C41" i="10" l="1"/>
  <c r="D40" i="10"/>
  <c r="F39" i="10"/>
  <c r="E39" i="10"/>
  <c r="D41" i="9"/>
  <c r="C42" i="9"/>
  <c r="E40" i="9"/>
  <c r="F40" i="9"/>
  <c r="D41" i="8"/>
  <c r="C42" i="8"/>
  <c r="F40" i="8"/>
  <c r="E40" i="8"/>
  <c r="E38" i="6"/>
  <c r="F38" i="6"/>
  <c r="F40" i="7"/>
  <c r="E40" i="7"/>
  <c r="D41" i="7"/>
  <c r="C42" i="7"/>
  <c r="C40" i="6"/>
  <c r="D39" i="6"/>
  <c r="F40" i="10" l="1"/>
  <c r="E40" i="10"/>
  <c r="D41" i="10"/>
  <c r="C42" i="10"/>
  <c r="D42" i="9"/>
  <c r="C43" i="9"/>
  <c r="F41" i="9"/>
  <c r="E41" i="9"/>
  <c r="C43" i="8"/>
  <c r="D42" i="8"/>
  <c r="F41" i="8"/>
  <c r="E41" i="8"/>
  <c r="E39" i="6"/>
  <c r="F39" i="6"/>
  <c r="C43" i="7"/>
  <c r="D42" i="7"/>
  <c r="F41" i="7"/>
  <c r="E41" i="7"/>
  <c r="C41" i="6"/>
  <c r="D40" i="6"/>
  <c r="C43" i="10" l="1"/>
  <c r="D42" i="10"/>
  <c r="F41" i="10"/>
  <c r="E41" i="10"/>
  <c r="D43" i="9"/>
  <c r="C44" i="9"/>
  <c r="E42" i="9"/>
  <c r="F42" i="9"/>
  <c r="F42" i="8"/>
  <c r="E42" i="8"/>
  <c r="D43" i="8"/>
  <c r="C44" i="8"/>
  <c r="E40" i="6"/>
  <c r="F40" i="6"/>
  <c r="F42" i="7"/>
  <c r="E42" i="7"/>
  <c r="D43" i="7"/>
  <c r="C44" i="7"/>
  <c r="C42" i="6"/>
  <c r="D41" i="6"/>
  <c r="F42" i="10" l="1"/>
  <c r="E42" i="10"/>
  <c r="D43" i="10"/>
  <c r="C44" i="10"/>
  <c r="D44" i="9"/>
  <c r="C45" i="9"/>
  <c r="F43" i="9"/>
  <c r="E43" i="9"/>
  <c r="C45" i="8"/>
  <c r="D44" i="8"/>
  <c r="F43" i="8"/>
  <c r="E43" i="8"/>
  <c r="E41" i="6"/>
  <c r="F41" i="6"/>
  <c r="C45" i="7"/>
  <c r="D44" i="7"/>
  <c r="F43" i="7"/>
  <c r="E43" i="7"/>
  <c r="C43" i="6"/>
  <c r="D42" i="6"/>
  <c r="C45" i="10" l="1"/>
  <c r="D44" i="10"/>
  <c r="F43" i="10"/>
  <c r="E43" i="10"/>
  <c r="D45" i="9"/>
  <c r="C46" i="9"/>
  <c r="E44" i="9"/>
  <c r="F44" i="9"/>
  <c r="F44" i="8"/>
  <c r="E44" i="8"/>
  <c r="D45" i="8"/>
  <c r="C46" i="8"/>
  <c r="E42" i="6"/>
  <c r="F42" i="6"/>
  <c r="F44" i="7"/>
  <c r="E44" i="7"/>
  <c r="D45" i="7"/>
  <c r="C46" i="7"/>
  <c r="C44" i="6"/>
  <c r="D43" i="6"/>
  <c r="F44" i="10" l="1"/>
  <c r="E44" i="10"/>
  <c r="D45" i="10"/>
  <c r="C46" i="10"/>
  <c r="D46" i="9"/>
  <c r="C47" i="9"/>
  <c r="F45" i="9"/>
  <c r="E45" i="9"/>
  <c r="D46" i="8"/>
  <c r="C47" i="8"/>
  <c r="F45" i="8"/>
  <c r="E45" i="8"/>
  <c r="E43" i="6"/>
  <c r="F43" i="6"/>
  <c r="C47" i="7"/>
  <c r="D46" i="7"/>
  <c r="F45" i="7"/>
  <c r="E45" i="7"/>
  <c r="C45" i="6"/>
  <c r="D44" i="6"/>
  <c r="F45" i="10" l="1"/>
  <c r="E45" i="10"/>
  <c r="C47" i="10"/>
  <c r="D46" i="10"/>
  <c r="D47" i="9"/>
  <c r="C48" i="9"/>
  <c r="E46" i="9"/>
  <c r="F46" i="9"/>
  <c r="D47" i="8"/>
  <c r="C48" i="8"/>
  <c r="E46" i="8"/>
  <c r="F46" i="8"/>
  <c r="E44" i="6"/>
  <c r="F44" i="6"/>
  <c r="F46" i="7"/>
  <c r="E46" i="7"/>
  <c r="D47" i="7"/>
  <c r="C48" i="7"/>
  <c r="C46" i="6"/>
  <c r="D45" i="6"/>
  <c r="D47" i="10" l="1"/>
  <c r="C48" i="10"/>
  <c r="F46" i="10"/>
  <c r="E46" i="10"/>
  <c r="D48" i="9"/>
  <c r="C49" i="9"/>
  <c r="F47" i="9"/>
  <c r="E47" i="9"/>
  <c r="C49" i="8"/>
  <c r="D48" i="8"/>
  <c r="F47" i="8"/>
  <c r="E47" i="8"/>
  <c r="E45" i="6"/>
  <c r="F45" i="6"/>
  <c r="C49" i="7"/>
  <c r="D48" i="7"/>
  <c r="F47" i="7"/>
  <c r="E47" i="7"/>
  <c r="C47" i="6"/>
  <c r="D46" i="6"/>
  <c r="C49" i="10" l="1"/>
  <c r="D48" i="10"/>
  <c r="F47" i="10"/>
  <c r="E47" i="10"/>
  <c r="D49" i="9"/>
  <c r="C50" i="9"/>
  <c r="F48" i="9"/>
  <c r="E48" i="9"/>
  <c r="F48" i="8"/>
  <c r="E48" i="8"/>
  <c r="D49" i="8"/>
  <c r="C50" i="8"/>
  <c r="E46" i="6"/>
  <c r="F46" i="6"/>
  <c r="F48" i="7"/>
  <c r="E48" i="7"/>
  <c r="D49" i="7"/>
  <c r="C50" i="7"/>
  <c r="C48" i="6"/>
  <c r="D47" i="6"/>
  <c r="F48" i="10" l="1"/>
  <c r="E48" i="10"/>
  <c r="D49" i="10"/>
  <c r="C50" i="10"/>
  <c r="D50" i="9"/>
  <c r="C51" i="9"/>
  <c r="F49" i="9"/>
  <c r="E49" i="9"/>
  <c r="C51" i="8"/>
  <c r="D50" i="8"/>
  <c r="F49" i="8"/>
  <c r="E49" i="8"/>
  <c r="E47" i="6"/>
  <c r="F47" i="6"/>
  <c r="C51" i="7"/>
  <c r="D50" i="7"/>
  <c r="F49" i="7"/>
  <c r="E49" i="7"/>
  <c r="C49" i="6"/>
  <c r="D48" i="6"/>
  <c r="F49" i="10" l="1"/>
  <c r="E49" i="10"/>
  <c r="C51" i="10"/>
  <c r="D50" i="10"/>
  <c r="D51" i="9"/>
  <c r="C52" i="9"/>
  <c r="E50" i="9"/>
  <c r="F50" i="9"/>
  <c r="F50" i="8"/>
  <c r="E50" i="8"/>
  <c r="D51" i="8"/>
  <c r="C52" i="8"/>
  <c r="E48" i="6"/>
  <c r="F48" i="6"/>
  <c r="F50" i="7"/>
  <c r="E50" i="7"/>
  <c r="D51" i="7"/>
  <c r="C52" i="7"/>
  <c r="C50" i="6"/>
  <c r="D49" i="6"/>
  <c r="D51" i="10" l="1"/>
  <c r="C52" i="10"/>
  <c r="F50" i="10"/>
  <c r="E50" i="10"/>
  <c r="D52" i="9"/>
  <c r="C53" i="9"/>
  <c r="F51" i="9"/>
  <c r="E51" i="9"/>
  <c r="D52" i="8"/>
  <c r="C53" i="8"/>
  <c r="F51" i="8"/>
  <c r="E51" i="8"/>
  <c r="E49" i="6"/>
  <c r="F49" i="6"/>
  <c r="C53" i="7"/>
  <c r="D52" i="7"/>
  <c r="F51" i="7"/>
  <c r="E51" i="7"/>
  <c r="C51" i="6"/>
  <c r="D50" i="6"/>
  <c r="C53" i="10" l="1"/>
  <c r="D52" i="10"/>
  <c r="F51" i="10"/>
  <c r="E51" i="10"/>
  <c r="D53" i="9"/>
  <c r="C54" i="9"/>
  <c r="E52" i="9"/>
  <c r="F52" i="9"/>
  <c r="D53" i="8"/>
  <c r="C54" i="8"/>
  <c r="F52" i="8"/>
  <c r="E52" i="8"/>
  <c r="E50" i="6"/>
  <c r="F50" i="6"/>
  <c r="F52" i="7"/>
  <c r="E52" i="7"/>
  <c r="D53" i="7"/>
  <c r="C54" i="7"/>
  <c r="C52" i="6"/>
  <c r="D51" i="6"/>
  <c r="F52" i="10" l="1"/>
  <c r="E52" i="10"/>
  <c r="D53" i="10"/>
  <c r="C54" i="10"/>
  <c r="D54" i="9"/>
  <c r="C55" i="9"/>
  <c r="F53" i="9"/>
  <c r="E53" i="9"/>
  <c r="D54" i="8"/>
  <c r="C55" i="8"/>
  <c r="F53" i="8"/>
  <c r="E53" i="8"/>
  <c r="E51" i="6"/>
  <c r="F51" i="6"/>
  <c r="C55" i="7"/>
  <c r="D54" i="7"/>
  <c r="F53" i="7"/>
  <c r="E53" i="7"/>
  <c r="C53" i="6"/>
  <c r="D52" i="6"/>
  <c r="F53" i="10" l="1"/>
  <c r="E53" i="10"/>
  <c r="C55" i="10"/>
  <c r="D54" i="10"/>
  <c r="D55" i="9"/>
  <c r="C56" i="9"/>
  <c r="E54" i="9"/>
  <c r="F54" i="9"/>
  <c r="D55" i="8"/>
  <c r="C56" i="8"/>
  <c r="F54" i="8"/>
  <c r="E54" i="8"/>
  <c r="E52" i="6"/>
  <c r="F52" i="6"/>
  <c r="F54" i="7"/>
  <c r="E54" i="7"/>
  <c r="D55" i="7"/>
  <c r="C56" i="7"/>
  <c r="C54" i="6"/>
  <c r="D53" i="6"/>
  <c r="D55" i="10" l="1"/>
  <c r="C56" i="10"/>
  <c r="F54" i="10"/>
  <c r="E54" i="10"/>
  <c r="D56" i="9"/>
  <c r="C57" i="9"/>
  <c r="F55" i="9"/>
  <c r="E55" i="9"/>
  <c r="D56" i="8"/>
  <c r="C57" i="8"/>
  <c r="F55" i="8"/>
  <c r="E55" i="8"/>
  <c r="E53" i="6"/>
  <c r="F53" i="6"/>
  <c r="C57" i="7"/>
  <c r="D56" i="7"/>
  <c r="F55" i="7"/>
  <c r="E55" i="7"/>
  <c r="C55" i="6"/>
  <c r="D54" i="6"/>
  <c r="C57" i="10" l="1"/>
  <c r="D56" i="10"/>
  <c r="F55" i="10"/>
  <c r="E55" i="10"/>
  <c r="D57" i="9"/>
  <c r="C58" i="9"/>
  <c r="E56" i="9"/>
  <c r="F56" i="9"/>
  <c r="D57" i="8"/>
  <c r="C58" i="8"/>
  <c r="F56" i="8"/>
  <c r="E56" i="8"/>
  <c r="E54" i="6"/>
  <c r="F54" i="6"/>
  <c r="F56" i="7"/>
  <c r="E56" i="7"/>
  <c r="D57" i="7"/>
  <c r="C58" i="7"/>
  <c r="C56" i="6"/>
  <c r="D55" i="6"/>
  <c r="F56" i="10" l="1"/>
  <c r="E56" i="10"/>
  <c r="D57" i="10"/>
  <c r="C58" i="10"/>
  <c r="D58" i="9"/>
  <c r="C59" i="9"/>
  <c r="F57" i="9"/>
  <c r="E57" i="9"/>
  <c r="C59" i="8"/>
  <c r="D58" i="8"/>
  <c r="F57" i="8"/>
  <c r="E57" i="8"/>
  <c r="E55" i="6"/>
  <c r="F55" i="6"/>
  <c r="C59" i="7"/>
  <c r="D58" i="7"/>
  <c r="F57" i="7"/>
  <c r="E57" i="7"/>
  <c r="C57" i="6"/>
  <c r="D56" i="6"/>
  <c r="C59" i="10" l="1"/>
  <c r="D58" i="10"/>
  <c r="F57" i="10"/>
  <c r="E57" i="10"/>
  <c r="D59" i="9"/>
  <c r="C60" i="9"/>
  <c r="E58" i="9"/>
  <c r="F58" i="9"/>
  <c r="F58" i="8"/>
  <c r="E58" i="8"/>
  <c r="D59" i="8"/>
  <c r="C60" i="8"/>
  <c r="E56" i="6"/>
  <c r="F56" i="6"/>
  <c r="F58" i="7"/>
  <c r="E58" i="7"/>
  <c r="D59" i="7"/>
  <c r="C60" i="7"/>
  <c r="C58" i="6"/>
  <c r="D57" i="6"/>
  <c r="F58" i="10" l="1"/>
  <c r="E58" i="10"/>
  <c r="D59" i="10"/>
  <c r="C60" i="10"/>
  <c r="D60" i="9"/>
  <c r="C61" i="9"/>
  <c r="F59" i="9"/>
  <c r="E59" i="9"/>
  <c r="C61" i="8"/>
  <c r="D60" i="8"/>
  <c r="F59" i="8"/>
  <c r="E59" i="8"/>
  <c r="E57" i="6"/>
  <c r="F57" i="6"/>
  <c r="C61" i="7"/>
  <c r="D60" i="7"/>
  <c r="F59" i="7"/>
  <c r="E59" i="7"/>
  <c r="C59" i="6"/>
  <c r="D58" i="6"/>
  <c r="C61" i="10" l="1"/>
  <c r="D60" i="10"/>
  <c r="F59" i="10"/>
  <c r="E59" i="10"/>
  <c r="D61" i="9"/>
  <c r="C62" i="9"/>
  <c r="E60" i="9"/>
  <c r="F60" i="9"/>
  <c r="F60" i="8"/>
  <c r="E60" i="8"/>
  <c r="D61" i="8"/>
  <c r="C62" i="8"/>
  <c r="E58" i="6"/>
  <c r="F58" i="6"/>
  <c r="F60" i="7"/>
  <c r="E60" i="7"/>
  <c r="D61" i="7"/>
  <c r="C62" i="7"/>
  <c r="C60" i="6"/>
  <c r="D59" i="6"/>
  <c r="F60" i="10" l="1"/>
  <c r="E60" i="10"/>
  <c r="D61" i="10"/>
  <c r="C62" i="10"/>
  <c r="D62" i="9"/>
  <c r="C63" i="9"/>
  <c r="F61" i="9"/>
  <c r="E61" i="9"/>
  <c r="D62" i="8"/>
  <c r="C63" i="8"/>
  <c r="F61" i="8"/>
  <c r="E61" i="8"/>
  <c r="E59" i="6"/>
  <c r="F59" i="6"/>
  <c r="F61" i="7"/>
  <c r="E61" i="7"/>
  <c r="C63" i="7"/>
  <c r="D62" i="7"/>
  <c r="C61" i="6"/>
  <c r="D60" i="6"/>
  <c r="C63" i="10" l="1"/>
  <c r="D62" i="10"/>
  <c r="F61" i="10"/>
  <c r="E61" i="10"/>
  <c r="D63" i="9"/>
  <c r="C64" i="9"/>
  <c r="E62" i="9"/>
  <c r="F62" i="9"/>
  <c r="D63" i="8"/>
  <c r="C64" i="8"/>
  <c r="E62" i="8"/>
  <c r="F62" i="8"/>
  <c r="E60" i="6"/>
  <c r="F60" i="6"/>
  <c r="D63" i="7"/>
  <c r="C64" i="7"/>
  <c r="F62" i="7"/>
  <c r="E62" i="7"/>
  <c r="C62" i="6"/>
  <c r="D61" i="6"/>
  <c r="F62" i="10" l="1"/>
  <c r="E62" i="10"/>
  <c r="D63" i="10"/>
  <c r="C64" i="10"/>
  <c r="D64" i="9"/>
  <c r="C65" i="9"/>
  <c r="F63" i="9"/>
  <c r="E63" i="9"/>
  <c r="C65" i="8"/>
  <c r="D64" i="8"/>
  <c r="F63" i="8"/>
  <c r="E63" i="8"/>
  <c r="E61" i="6"/>
  <c r="F61" i="6"/>
  <c r="C65" i="7"/>
  <c r="D64" i="7"/>
  <c r="F63" i="7"/>
  <c r="E63" i="7"/>
  <c r="C63" i="6"/>
  <c r="D62" i="6"/>
  <c r="D64" i="10" l="1"/>
  <c r="C65" i="10"/>
  <c r="F63" i="10"/>
  <c r="E63" i="10"/>
  <c r="D65" i="9"/>
  <c r="C66" i="9"/>
  <c r="E64" i="9"/>
  <c r="F64" i="9"/>
  <c r="E64" i="8"/>
  <c r="F64" i="8"/>
  <c r="D65" i="8"/>
  <c r="C66" i="8"/>
  <c r="E62" i="6"/>
  <c r="F62" i="6"/>
  <c r="D65" i="7"/>
  <c r="C66" i="7"/>
  <c r="F64" i="7"/>
  <c r="E64" i="7"/>
  <c r="C64" i="6"/>
  <c r="D63" i="6"/>
  <c r="D65" i="10" l="1"/>
  <c r="C66" i="10"/>
  <c r="F64" i="10"/>
  <c r="E64" i="10"/>
  <c r="D66" i="9"/>
  <c r="C67" i="9"/>
  <c r="F65" i="9"/>
  <c r="E65" i="9"/>
  <c r="C67" i="8"/>
  <c r="D66" i="8"/>
  <c r="F65" i="8"/>
  <c r="E65" i="8"/>
  <c r="E63" i="6"/>
  <c r="F63" i="6"/>
  <c r="C67" i="7"/>
  <c r="D66" i="7"/>
  <c r="F65" i="7"/>
  <c r="E65" i="7"/>
  <c r="C65" i="6"/>
  <c r="D64" i="6"/>
  <c r="C67" i="10" l="1"/>
  <c r="D66" i="10"/>
  <c r="F65" i="10"/>
  <c r="E65" i="10"/>
  <c r="D67" i="9"/>
  <c r="C68" i="9"/>
  <c r="E66" i="9"/>
  <c r="F66" i="9"/>
  <c r="F66" i="8"/>
  <c r="E66" i="8"/>
  <c r="D67" i="8"/>
  <c r="C68" i="8"/>
  <c r="E64" i="6"/>
  <c r="F64" i="6"/>
  <c r="D67" i="7"/>
  <c r="C68" i="7"/>
  <c r="F66" i="7"/>
  <c r="E66" i="7"/>
  <c r="C66" i="6"/>
  <c r="D65" i="6"/>
  <c r="F66" i="10" l="1"/>
  <c r="E66" i="10"/>
  <c r="D67" i="10"/>
  <c r="C68" i="10"/>
  <c r="D68" i="9"/>
  <c r="C69" i="9"/>
  <c r="F67" i="9"/>
  <c r="E67" i="9"/>
  <c r="C69" i="8"/>
  <c r="D68" i="8"/>
  <c r="F67" i="8"/>
  <c r="E67" i="8"/>
  <c r="E65" i="6"/>
  <c r="F65" i="6"/>
  <c r="C69" i="7"/>
  <c r="D68" i="7"/>
  <c r="F67" i="7"/>
  <c r="E67" i="7"/>
  <c r="C67" i="6"/>
  <c r="D66" i="6"/>
  <c r="D68" i="10" l="1"/>
  <c r="C69" i="10"/>
  <c r="F67" i="10"/>
  <c r="E67" i="10"/>
  <c r="D69" i="9"/>
  <c r="C70" i="9"/>
  <c r="E68" i="9"/>
  <c r="F68" i="9"/>
  <c r="F68" i="8"/>
  <c r="E68" i="8"/>
  <c r="D69" i="8"/>
  <c r="C70" i="8"/>
  <c r="E66" i="6"/>
  <c r="F66" i="6"/>
  <c r="D69" i="7"/>
  <c r="C70" i="7"/>
  <c r="F68" i="7"/>
  <c r="E68" i="7"/>
  <c r="C68" i="6"/>
  <c r="D67" i="6"/>
  <c r="D69" i="10" l="1"/>
  <c r="C70" i="10"/>
  <c r="F68" i="10"/>
  <c r="E68" i="10"/>
  <c r="D70" i="9"/>
  <c r="C71" i="9"/>
  <c r="F69" i="9"/>
  <c r="E69" i="9"/>
  <c r="C71" i="8"/>
  <c r="D70" i="8"/>
  <c r="F69" i="8"/>
  <c r="E69" i="8"/>
  <c r="E67" i="6"/>
  <c r="F67" i="6"/>
  <c r="F69" i="7"/>
  <c r="E69" i="7"/>
  <c r="C71" i="7"/>
  <c r="D70" i="7"/>
  <c r="C69" i="6"/>
  <c r="D68" i="6"/>
  <c r="D70" i="10" l="1"/>
  <c r="C71" i="10"/>
  <c r="F69" i="10"/>
  <c r="E69" i="10"/>
  <c r="D71" i="9"/>
  <c r="C72" i="9"/>
  <c r="E70" i="9"/>
  <c r="F70" i="9"/>
  <c r="F70" i="8"/>
  <c r="E70" i="8"/>
  <c r="D71" i="8"/>
  <c r="C72" i="8"/>
  <c r="E68" i="6"/>
  <c r="F68" i="6"/>
  <c r="F70" i="7"/>
  <c r="E70" i="7"/>
  <c r="D71" i="7"/>
  <c r="C72" i="7"/>
  <c r="C70" i="6"/>
  <c r="D69" i="6"/>
  <c r="D71" i="10" l="1"/>
  <c r="C72" i="10"/>
  <c r="F70" i="10"/>
  <c r="E70" i="10"/>
  <c r="D72" i="9"/>
  <c r="C73" i="9"/>
  <c r="F71" i="9"/>
  <c r="E71" i="9"/>
  <c r="C73" i="8"/>
  <c r="D72" i="8"/>
  <c r="F71" i="8"/>
  <c r="E71" i="8"/>
  <c r="E69" i="6"/>
  <c r="F69" i="6"/>
  <c r="F71" i="7"/>
  <c r="E71" i="7"/>
  <c r="C73" i="7"/>
  <c r="D72" i="7"/>
  <c r="C71" i="6"/>
  <c r="D70" i="6"/>
  <c r="D72" i="10" l="1"/>
  <c r="C73" i="10"/>
  <c r="F71" i="10"/>
  <c r="E71" i="10"/>
  <c r="D73" i="9"/>
  <c r="C74" i="9"/>
  <c r="E72" i="9"/>
  <c r="F72" i="9"/>
  <c r="F72" i="8"/>
  <c r="E72" i="8"/>
  <c r="D73" i="8"/>
  <c r="C74" i="8"/>
  <c r="E70" i="6"/>
  <c r="F70" i="6"/>
  <c r="F72" i="7"/>
  <c r="E72" i="7"/>
  <c r="D73" i="7"/>
  <c r="C74" i="7"/>
  <c r="C72" i="6"/>
  <c r="D71" i="6"/>
  <c r="D73" i="10" l="1"/>
  <c r="C74" i="10"/>
  <c r="F72" i="10"/>
  <c r="E72" i="10"/>
  <c r="D74" i="9"/>
  <c r="C75" i="9"/>
  <c r="F73" i="9"/>
  <c r="E73" i="9"/>
  <c r="C75" i="8"/>
  <c r="D74" i="8"/>
  <c r="F73" i="8"/>
  <c r="E73" i="8"/>
  <c r="E71" i="6"/>
  <c r="F71" i="6"/>
  <c r="C75" i="7"/>
  <c r="D74" i="7"/>
  <c r="F73" i="7"/>
  <c r="E73" i="7"/>
  <c r="C73" i="6"/>
  <c r="D72" i="6"/>
  <c r="D74" i="10" l="1"/>
  <c r="C75" i="10"/>
  <c r="F73" i="10"/>
  <c r="E73" i="10"/>
  <c r="D75" i="9"/>
  <c r="C76" i="9"/>
  <c r="E74" i="9"/>
  <c r="F74" i="9"/>
  <c r="F74" i="8"/>
  <c r="E74" i="8"/>
  <c r="D75" i="8"/>
  <c r="C76" i="8"/>
  <c r="E72" i="6"/>
  <c r="F72" i="6"/>
  <c r="F74" i="7"/>
  <c r="E74" i="7"/>
  <c r="D75" i="7"/>
  <c r="C76" i="7"/>
  <c r="C74" i="6"/>
  <c r="D73" i="6"/>
  <c r="D75" i="10" l="1"/>
  <c r="C76" i="10"/>
  <c r="F74" i="10"/>
  <c r="E74" i="10"/>
  <c r="C77" i="9"/>
  <c r="D76" i="9"/>
  <c r="F75" i="9"/>
  <c r="E75" i="9"/>
  <c r="C77" i="8"/>
  <c r="D76" i="8"/>
  <c r="F75" i="8"/>
  <c r="E75" i="8"/>
  <c r="E73" i="6"/>
  <c r="F73" i="6"/>
  <c r="C77" i="7"/>
  <c r="D76" i="7"/>
  <c r="F75" i="7"/>
  <c r="E75" i="7"/>
  <c r="C75" i="6"/>
  <c r="D74" i="6"/>
  <c r="D76" i="10" l="1"/>
  <c r="C77" i="10"/>
  <c r="F75" i="10"/>
  <c r="E75" i="10"/>
  <c r="F76" i="9"/>
  <c r="E76" i="9"/>
  <c r="D77" i="9"/>
  <c r="C78" i="9"/>
  <c r="F76" i="8"/>
  <c r="E76" i="8"/>
  <c r="D77" i="8"/>
  <c r="C78" i="8"/>
  <c r="E74" i="6"/>
  <c r="F74" i="6"/>
  <c r="F76" i="7"/>
  <c r="E76" i="7"/>
  <c r="D77" i="7"/>
  <c r="C78" i="7"/>
  <c r="C76" i="6"/>
  <c r="D75" i="6"/>
  <c r="D77" i="10" l="1"/>
  <c r="C78" i="10"/>
  <c r="F76" i="10"/>
  <c r="E76" i="10"/>
  <c r="C79" i="9"/>
  <c r="D78" i="9"/>
  <c r="F77" i="9"/>
  <c r="E77" i="9"/>
  <c r="C79" i="8"/>
  <c r="D78" i="8"/>
  <c r="F77" i="8"/>
  <c r="E77" i="8"/>
  <c r="E75" i="6"/>
  <c r="F75" i="6"/>
  <c r="C79" i="7"/>
  <c r="D78" i="7"/>
  <c r="F77" i="7"/>
  <c r="E77" i="7"/>
  <c r="C77" i="6"/>
  <c r="D76" i="6"/>
  <c r="C79" i="10" l="1"/>
  <c r="D78" i="10"/>
  <c r="F77" i="10"/>
  <c r="E77" i="10"/>
  <c r="E78" i="9"/>
  <c r="F78" i="9"/>
  <c r="C80" i="9"/>
  <c r="D79" i="9"/>
  <c r="F78" i="8"/>
  <c r="E78" i="8"/>
  <c r="D79" i="8"/>
  <c r="C80" i="8"/>
  <c r="E76" i="6"/>
  <c r="F76" i="6"/>
  <c r="F78" i="7"/>
  <c r="E78" i="7"/>
  <c r="D79" i="7"/>
  <c r="C80" i="7"/>
  <c r="C78" i="6"/>
  <c r="D77" i="6"/>
  <c r="F78" i="10" l="1"/>
  <c r="E78" i="10"/>
  <c r="D79" i="10"/>
  <c r="C80" i="10"/>
  <c r="F79" i="9"/>
  <c r="E79" i="9"/>
  <c r="D80" i="9"/>
  <c r="C81" i="9"/>
  <c r="C81" i="8"/>
  <c r="D80" i="8"/>
  <c r="F79" i="8"/>
  <c r="E79" i="8"/>
  <c r="E77" i="6"/>
  <c r="F77" i="6"/>
  <c r="C81" i="7"/>
  <c r="D80" i="7"/>
  <c r="F79" i="7"/>
  <c r="E79" i="7"/>
  <c r="C79" i="6"/>
  <c r="D78" i="6"/>
  <c r="C81" i="10" l="1"/>
  <c r="D80" i="10"/>
  <c r="F79" i="10"/>
  <c r="E79" i="10"/>
  <c r="D81" i="9"/>
  <c r="C82" i="9"/>
  <c r="E80" i="9"/>
  <c r="F80" i="9"/>
  <c r="F80" i="8"/>
  <c r="E80" i="8"/>
  <c r="D81" i="8"/>
  <c r="C82" i="8"/>
  <c r="E78" i="6"/>
  <c r="F78" i="6"/>
  <c r="F80" i="7"/>
  <c r="E80" i="7"/>
  <c r="D81" i="7"/>
  <c r="C82" i="7"/>
  <c r="C80" i="6"/>
  <c r="D79" i="6"/>
  <c r="F80" i="10" l="1"/>
  <c r="E80" i="10"/>
  <c r="D81" i="10"/>
  <c r="C82" i="10"/>
  <c r="D82" i="9"/>
  <c r="C83" i="9"/>
  <c r="F81" i="9"/>
  <c r="E81" i="9"/>
  <c r="C83" i="8"/>
  <c r="D82" i="8"/>
  <c r="F81" i="8"/>
  <c r="E81" i="8"/>
  <c r="E79" i="6"/>
  <c r="F79" i="6"/>
  <c r="C83" i="7"/>
  <c r="D82" i="7"/>
  <c r="F81" i="7"/>
  <c r="E81" i="7"/>
  <c r="C81" i="6"/>
  <c r="D80" i="6"/>
  <c r="C83" i="10" l="1"/>
  <c r="D82" i="10"/>
  <c r="F81" i="10"/>
  <c r="E81" i="10"/>
  <c r="D83" i="9"/>
  <c r="C84" i="9"/>
  <c r="E82" i="9"/>
  <c r="F82" i="9"/>
  <c r="F82" i="8"/>
  <c r="E82" i="8"/>
  <c r="D83" i="8"/>
  <c r="C84" i="8"/>
  <c r="E80" i="6"/>
  <c r="F80" i="6"/>
  <c r="F82" i="7"/>
  <c r="E82" i="7"/>
  <c r="D83" i="7"/>
  <c r="C84" i="7"/>
  <c r="C82" i="6"/>
  <c r="D81" i="6"/>
  <c r="F82" i="10" l="1"/>
  <c r="E82" i="10"/>
  <c r="D83" i="10"/>
  <c r="C84" i="10"/>
  <c r="D84" i="9"/>
  <c r="C85" i="9"/>
  <c r="D85" i="9" s="1"/>
  <c r="F83" i="9"/>
  <c r="E83" i="9"/>
  <c r="C85" i="8"/>
  <c r="D85" i="8" s="1"/>
  <c r="D84" i="8"/>
  <c r="F83" i="8"/>
  <c r="E83" i="8"/>
  <c r="E81" i="6"/>
  <c r="F81" i="6"/>
  <c r="C85" i="7"/>
  <c r="D85" i="7" s="1"/>
  <c r="D84" i="7"/>
  <c r="F83" i="7"/>
  <c r="E83" i="7"/>
  <c r="C83" i="6"/>
  <c r="D82" i="6"/>
  <c r="C85" i="10" l="1"/>
  <c r="D85" i="10" s="1"/>
  <c r="D84" i="10"/>
  <c r="F83" i="10"/>
  <c r="E83" i="10"/>
  <c r="F85" i="9"/>
  <c r="J4" i="9" s="1"/>
  <c r="J5" i="9" s="1"/>
  <c r="E85" i="9"/>
  <c r="J2" i="9" s="1"/>
  <c r="J3" i="9" s="1"/>
  <c r="E84" i="9"/>
  <c r="F84" i="9"/>
  <c r="F84" i="8"/>
  <c r="E84" i="8"/>
  <c r="F85" i="8"/>
  <c r="J4" i="8" s="1"/>
  <c r="J5" i="8" s="1"/>
  <c r="E85" i="8"/>
  <c r="J2" i="8" s="1"/>
  <c r="J3" i="8" s="1"/>
  <c r="E82" i="6"/>
  <c r="F82" i="6"/>
  <c r="F84" i="7"/>
  <c r="E84" i="7"/>
  <c r="F85" i="7"/>
  <c r="J4" i="7" s="1"/>
  <c r="J5" i="7" s="1"/>
  <c r="E85" i="7"/>
  <c r="J2" i="7" s="1"/>
  <c r="J3" i="7" s="1"/>
  <c r="C84" i="6"/>
  <c r="D83" i="6"/>
  <c r="F84" i="10" l="1"/>
  <c r="E84" i="10"/>
  <c r="F85" i="10"/>
  <c r="J4" i="10" s="1"/>
  <c r="J5" i="10" s="1"/>
  <c r="E85" i="10"/>
  <c r="J2" i="10" s="1"/>
  <c r="J3" i="10" s="1"/>
  <c r="E83" i="6"/>
  <c r="F83" i="6"/>
  <c r="C85" i="6"/>
  <c r="D85" i="6" s="1"/>
  <c r="D84" i="6"/>
  <c r="E84" i="6" l="1"/>
  <c r="F84" i="6"/>
  <c r="E85" i="6"/>
  <c r="J2" i="6" s="1"/>
  <c r="J3" i="6" s="1"/>
  <c r="F85" i="6"/>
  <c r="J4" i="6" s="1"/>
  <c r="J5" i="6" s="1"/>
</calcChain>
</file>

<file path=xl/sharedStrings.xml><?xml version="1.0" encoding="utf-8"?>
<sst xmlns="http://schemas.openxmlformats.org/spreadsheetml/2006/main" count="234" uniqueCount="60">
  <si>
    <t>N</t>
  </si>
  <si>
    <t>A</t>
  </si>
  <si>
    <t>B</t>
  </si>
  <si>
    <t xml:space="preserve">date </t>
  </si>
  <si>
    <t>y</t>
  </si>
  <si>
    <t>Row Labels</t>
  </si>
  <si>
    <t>Grand Total</t>
  </si>
  <si>
    <t>2015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</si>
  <si>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</si>
  <si>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</si>
  <si>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</si>
  <si>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</si>
  <si>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</si>
  <si>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</si>
  <si>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</si>
  <si>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</si>
  <si>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</si>
  <si>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2016</t>
  </si>
  <si>
    <t>Jan</t>
  </si>
  <si>
    <t>Feb</t>
  </si>
  <si>
    <t>Mar</t>
  </si>
  <si>
    <t>2017</t>
  </si>
  <si>
    <t>2018</t>
  </si>
  <si>
    <t>2019</t>
  </si>
  <si>
    <t>2020</t>
  </si>
  <si>
    <t>2021</t>
  </si>
  <si>
    <t>2022</t>
  </si>
  <si>
    <t>Average of y</t>
  </si>
  <si>
    <t>Months</t>
  </si>
  <si>
    <t>Y</t>
  </si>
  <si>
    <t>Y^</t>
  </si>
  <si>
    <t>e</t>
  </si>
  <si>
    <t>|e|/|a|*100</t>
  </si>
  <si>
    <t>esquare</t>
  </si>
  <si>
    <t>MAPE =</t>
  </si>
  <si>
    <t>Accuracy=</t>
  </si>
  <si>
    <t>MSE =</t>
  </si>
  <si>
    <t>RMSE=</t>
  </si>
  <si>
    <t>MSE=</t>
  </si>
  <si>
    <t>MAPE=</t>
  </si>
  <si>
    <t>x</t>
  </si>
  <si>
    <t>Xsquare</t>
  </si>
  <si>
    <t>XY</t>
  </si>
  <si>
    <t>Y^=a+bx</t>
  </si>
  <si>
    <t>a=sumy/n</t>
  </si>
  <si>
    <t>b=sumxy/sumxsq.</t>
  </si>
  <si>
    <t>Before</t>
  </si>
  <si>
    <t>Before SMA</t>
  </si>
  <si>
    <t>After SMA</t>
  </si>
  <si>
    <t>y'</t>
  </si>
  <si>
    <t>E</t>
  </si>
  <si>
    <t>E^2</t>
  </si>
  <si>
    <t>(E)</t>
  </si>
  <si>
    <t>EAP</t>
  </si>
  <si>
    <t>MSE</t>
  </si>
  <si>
    <t>RMSE</t>
  </si>
  <si>
    <t>MAPE</t>
  </si>
  <si>
    <t>Results</t>
  </si>
  <si>
    <t>Accuracy</t>
  </si>
  <si>
    <t xml:space="preserve">The accuracy of the Axis bank's data is most 97.83% in simple moving 3-year average and lowest 86.799% in least moving average.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</si>
</sst>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16" fontId="1" fillId="0" borderId="0" xfId="0" applyNumberFormat="1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SMA_3year!$B$1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SMA_3year!$A$2:$A$1733</c:f>
              <c:numCache>
                <c:formatCode>dd\-mm\-yyyy</c:formatCode>
                <c:ptCount val="1732"/>
                <c:pt idx="0">
                  <c:v>42095</c:v>
                </c:pt>
                <c:pt idx="1">
                  <c:v>42100</c:v>
                </c:pt>
                <c:pt idx="2">
                  <c:v>42101</c:v>
                </c:pt>
                <c:pt idx="3">
                  <c:v>42102</c:v>
                </c:pt>
                <c:pt idx="4">
                  <c:v>42103</c:v>
                </c:pt>
                <c:pt idx="5">
                  <c:v>42104</c:v>
                </c:pt>
                <c:pt idx="6">
                  <c:v>42107</c:v>
                </c:pt>
                <c:pt idx="7">
                  <c:v>42109</c:v>
                </c:pt>
                <c:pt idx="8">
                  <c:v>42110</c:v>
                </c:pt>
                <c:pt idx="9">
                  <c:v>42111</c:v>
                </c:pt>
                <c:pt idx="10">
                  <c:v>42114</c:v>
                </c:pt>
                <c:pt idx="11">
                  <c:v>42115</c:v>
                </c:pt>
                <c:pt idx="12">
                  <c:v>42116</c:v>
                </c:pt>
                <c:pt idx="13">
                  <c:v>42117</c:v>
                </c:pt>
                <c:pt idx="14">
                  <c:v>42118</c:v>
                </c:pt>
                <c:pt idx="15">
                  <c:v>42121</c:v>
                </c:pt>
                <c:pt idx="16">
                  <c:v>42122</c:v>
                </c:pt>
                <c:pt idx="17">
                  <c:v>42123</c:v>
                </c:pt>
                <c:pt idx="18">
                  <c:v>42124</c:v>
                </c:pt>
                <c:pt idx="19">
                  <c:v>42128</c:v>
                </c:pt>
                <c:pt idx="20">
                  <c:v>42129</c:v>
                </c:pt>
                <c:pt idx="21">
                  <c:v>42130</c:v>
                </c:pt>
                <c:pt idx="22">
                  <c:v>42131</c:v>
                </c:pt>
                <c:pt idx="23">
                  <c:v>42132</c:v>
                </c:pt>
                <c:pt idx="24">
                  <c:v>42135</c:v>
                </c:pt>
                <c:pt idx="25">
                  <c:v>42136</c:v>
                </c:pt>
                <c:pt idx="26">
                  <c:v>42137</c:v>
                </c:pt>
                <c:pt idx="27">
                  <c:v>42138</c:v>
                </c:pt>
                <c:pt idx="28">
                  <c:v>42139</c:v>
                </c:pt>
                <c:pt idx="29">
                  <c:v>42142</c:v>
                </c:pt>
                <c:pt idx="30">
                  <c:v>42143</c:v>
                </c:pt>
                <c:pt idx="31">
                  <c:v>42144</c:v>
                </c:pt>
                <c:pt idx="32">
                  <c:v>42145</c:v>
                </c:pt>
                <c:pt idx="33">
                  <c:v>42146</c:v>
                </c:pt>
                <c:pt idx="34">
                  <c:v>42149</c:v>
                </c:pt>
                <c:pt idx="35">
                  <c:v>42150</c:v>
                </c:pt>
                <c:pt idx="36">
                  <c:v>42151</c:v>
                </c:pt>
                <c:pt idx="37">
                  <c:v>42152</c:v>
                </c:pt>
                <c:pt idx="38">
                  <c:v>42153</c:v>
                </c:pt>
                <c:pt idx="39">
                  <c:v>42156</c:v>
                </c:pt>
                <c:pt idx="40">
                  <c:v>42157</c:v>
                </c:pt>
                <c:pt idx="41">
                  <c:v>42158</c:v>
                </c:pt>
                <c:pt idx="42">
                  <c:v>42159</c:v>
                </c:pt>
                <c:pt idx="43">
                  <c:v>42160</c:v>
                </c:pt>
                <c:pt idx="44">
                  <c:v>42163</c:v>
                </c:pt>
                <c:pt idx="45">
                  <c:v>42164</c:v>
                </c:pt>
                <c:pt idx="46">
                  <c:v>42165</c:v>
                </c:pt>
                <c:pt idx="47">
                  <c:v>42166</c:v>
                </c:pt>
                <c:pt idx="48">
                  <c:v>42167</c:v>
                </c:pt>
                <c:pt idx="49">
                  <c:v>42170</c:v>
                </c:pt>
                <c:pt idx="50">
                  <c:v>42171</c:v>
                </c:pt>
                <c:pt idx="51">
                  <c:v>42172</c:v>
                </c:pt>
                <c:pt idx="52">
                  <c:v>42173</c:v>
                </c:pt>
                <c:pt idx="53">
                  <c:v>42174</c:v>
                </c:pt>
                <c:pt idx="54">
                  <c:v>42177</c:v>
                </c:pt>
                <c:pt idx="55">
                  <c:v>42178</c:v>
                </c:pt>
                <c:pt idx="56">
                  <c:v>42179</c:v>
                </c:pt>
                <c:pt idx="57">
                  <c:v>42180</c:v>
                </c:pt>
                <c:pt idx="58">
                  <c:v>42181</c:v>
                </c:pt>
                <c:pt idx="59">
                  <c:v>42184</c:v>
                </c:pt>
                <c:pt idx="60">
                  <c:v>42185</c:v>
                </c:pt>
                <c:pt idx="61">
                  <c:v>42186</c:v>
                </c:pt>
                <c:pt idx="62">
                  <c:v>42187</c:v>
                </c:pt>
                <c:pt idx="63">
                  <c:v>42188</c:v>
                </c:pt>
                <c:pt idx="64">
                  <c:v>42191</c:v>
                </c:pt>
                <c:pt idx="65">
                  <c:v>42192</c:v>
                </c:pt>
                <c:pt idx="66">
                  <c:v>42193</c:v>
                </c:pt>
                <c:pt idx="67">
                  <c:v>42194</c:v>
                </c:pt>
                <c:pt idx="68">
                  <c:v>42195</c:v>
                </c:pt>
                <c:pt idx="69">
                  <c:v>42198</c:v>
                </c:pt>
                <c:pt idx="70">
                  <c:v>42199</c:v>
                </c:pt>
                <c:pt idx="71">
                  <c:v>42200</c:v>
                </c:pt>
                <c:pt idx="72">
                  <c:v>42201</c:v>
                </c:pt>
                <c:pt idx="73">
                  <c:v>42202</c:v>
                </c:pt>
                <c:pt idx="74">
                  <c:v>42205</c:v>
                </c:pt>
                <c:pt idx="75">
                  <c:v>42206</c:v>
                </c:pt>
                <c:pt idx="76">
                  <c:v>42207</c:v>
                </c:pt>
                <c:pt idx="77">
                  <c:v>42208</c:v>
                </c:pt>
                <c:pt idx="78">
                  <c:v>42209</c:v>
                </c:pt>
                <c:pt idx="79">
                  <c:v>42212</c:v>
                </c:pt>
                <c:pt idx="80">
                  <c:v>42213</c:v>
                </c:pt>
                <c:pt idx="81">
                  <c:v>42214</c:v>
                </c:pt>
                <c:pt idx="82">
                  <c:v>42215</c:v>
                </c:pt>
                <c:pt idx="83">
                  <c:v>42216</c:v>
                </c:pt>
                <c:pt idx="84">
                  <c:v>42219</c:v>
                </c:pt>
                <c:pt idx="85">
                  <c:v>42220</c:v>
                </c:pt>
                <c:pt idx="86">
                  <c:v>42221</c:v>
                </c:pt>
                <c:pt idx="87">
                  <c:v>42222</c:v>
                </c:pt>
                <c:pt idx="88">
                  <c:v>42223</c:v>
                </c:pt>
                <c:pt idx="89">
                  <c:v>42226</c:v>
                </c:pt>
                <c:pt idx="90">
                  <c:v>42227</c:v>
                </c:pt>
                <c:pt idx="91">
                  <c:v>42228</c:v>
                </c:pt>
                <c:pt idx="92">
                  <c:v>42229</c:v>
                </c:pt>
                <c:pt idx="93">
                  <c:v>42230</c:v>
                </c:pt>
                <c:pt idx="94">
                  <c:v>42233</c:v>
                </c:pt>
                <c:pt idx="95">
                  <c:v>42234</c:v>
                </c:pt>
                <c:pt idx="96">
                  <c:v>42235</c:v>
                </c:pt>
                <c:pt idx="97">
                  <c:v>42236</c:v>
                </c:pt>
                <c:pt idx="98">
                  <c:v>42237</c:v>
                </c:pt>
                <c:pt idx="99">
                  <c:v>42240</c:v>
                </c:pt>
                <c:pt idx="100">
                  <c:v>42241</c:v>
                </c:pt>
                <c:pt idx="101">
                  <c:v>42242</c:v>
                </c:pt>
                <c:pt idx="102">
                  <c:v>42243</c:v>
                </c:pt>
                <c:pt idx="103">
                  <c:v>42244</c:v>
                </c:pt>
                <c:pt idx="104">
                  <c:v>42247</c:v>
                </c:pt>
                <c:pt idx="105">
                  <c:v>42248</c:v>
                </c:pt>
                <c:pt idx="106">
                  <c:v>42249</c:v>
                </c:pt>
                <c:pt idx="107">
                  <c:v>42250</c:v>
                </c:pt>
                <c:pt idx="108">
                  <c:v>42251</c:v>
                </c:pt>
                <c:pt idx="109">
                  <c:v>42254</c:v>
                </c:pt>
                <c:pt idx="110">
                  <c:v>42255</c:v>
                </c:pt>
                <c:pt idx="111">
                  <c:v>42256</c:v>
                </c:pt>
                <c:pt idx="112">
                  <c:v>42257</c:v>
                </c:pt>
                <c:pt idx="113">
                  <c:v>42258</c:v>
                </c:pt>
                <c:pt idx="114">
                  <c:v>42261</c:v>
                </c:pt>
                <c:pt idx="115">
                  <c:v>42262</c:v>
                </c:pt>
                <c:pt idx="116">
                  <c:v>42263</c:v>
                </c:pt>
                <c:pt idx="117">
                  <c:v>42265</c:v>
                </c:pt>
                <c:pt idx="118">
                  <c:v>42268</c:v>
                </c:pt>
                <c:pt idx="119">
                  <c:v>42269</c:v>
                </c:pt>
                <c:pt idx="120">
                  <c:v>42270</c:v>
                </c:pt>
                <c:pt idx="121">
                  <c:v>42271</c:v>
                </c:pt>
                <c:pt idx="122">
                  <c:v>42275</c:v>
                </c:pt>
                <c:pt idx="123">
                  <c:v>42276</c:v>
                </c:pt>
                <c:pt idx="124">
                  <c:v>42277</c:v>
                </c:pt>
                <c:pt idx="125">
                  <c:v>42278</c:v>
                </c:pt>
                <c:pt idx="126">
                  <c:v>42282</c:v>
                </c:pt>
                <c:pt idx="127">
                  <c:v>42283</c:v>
                </c:pt>
                <c:pt idx="128">
                  <c:v>42284</c:v>
                </c:pt>
                <c:pt idx="129">
                  <c:v>42285</c:v>
                </c:pt>
                <c:pt idx="130">
                  <c:v>42286</c:v>
                </c:pt>
                <c:pt idx="131">
                  <c:v>42289</c:v>
                </c:pt>
                <c:pt idx="132">
                  <c:v>42290</c:v>
                </c:pt>
                <c:pt idx="133">
                  <c:v>42291</c:v>
                </c:pt>
                <c:pt idx="134">
                  <c:v>42292</c:v>
                </c:pt>
                <c:pt idx="135">
                  <c:v>42293</c:v>
                </c:pt>
                <c:pt idx="136">
                  <c:v>42296</c:v>
                </c:pt>
                <c:pt idx="137">
                  <c:v>42297</c:v>
                </c:pt>
                <c:pt idx="138">
                  <c:v>42298</c:v>
                </c:pt>
                <c:pt idx="139">
                  <c:v>42300</c:v>
                </c:pt>
                <c:pt idx="140">
                  <c:v>42303</c:v>
                </c:pt>
                <c:pt idx="141">
                  <c:v>42304</c:v>
                </c:pt>
                <c:pt idx="142">
                  <c:v>42305</c:v>
                </c:pt>
                <c:pt idx="143">
                  <c:v>42306</c:v>
                </c:pt>
                <c:pt idx="144">
                  <c:v>42307</c:v>
                </c:pt>
                <c:pt idx="145">
                  <c:v>42310</c:v>
                </c:pt>
                <c:pt idx="146">
                  <c:v>42311</c:v>
                </c:pt>
                <c:pt idx="147">
                  <c:v>42312</c:v>
                </c:pt>
                <c:pt idx="148">
                  <c:v>42313</c:v>
                </c:pt>
                <c:pt idx="149">
                  <c:v>42314</c:v>
                </c:pt>
                <c:pt idx="150">
                  <c:v>42317</c:v>
                </c:pt>
                <c:pt idx="151">
                  <c:v>42318</c:v>
                </c:pt>
                <c:pt idx="152">
                  <c:v>42319</c:v>
                </c:pt>
                <c:pt idx="153">
                  <c:v>42321</c:v>
                </c:pt>
                <c:pt idx="154">
                  <c:v>42324</c:v>
                </c:pt>
                <c:pt idx="155">
                  <c:v>42325</c:v>
                </c:pt>
                <c:pt idx="156">
                  <c:v>42326</c:v>
                </c:pt>
                <c:pt idx="157">
                  <c:v>42327</c:v>
                </c:pt>
                <c:pt idx="158">
                  <c:v>42328</c:v>
                </c:pt>
                <c:pt idx="159">
                  <c:v>42331</c:v>
                </c:pt>
                <c:pt idx="160">
                  <c:v>42332</c:v>
                </c:pt>
                <c:pt idx="161">
                  <c:v>42334</c:v>
                </c:pt>
                <c:pt idx="162">
                  <c:v>42335</c:v>
                </c:pt>
                <c:pt idx="163">
                  <c:v>42338</c:v>
                </c:pt>
                <c:pt idx="164">
                  <c:v>42339</c:v>
                </c:pt>
                <c:pt idx="165">
                  <c:v>42340</c:v>
                </c:pt>
                <c:pt idx="166">
                  <c:v>42341</c:v>
                </c:pt>
                <c:pt idx="167">
                  <c:v>42342</c:v>
                </c:pt>
                <c:pt idx="168">
                  <c:v>42345</c:v>
                </c:pt>
                <c:pt idx="169">
                  <c:v>42346</c:v>
                </c:pt>
                <c:pt idx="170">
                  <c:v>42347</c:v>
                </c:pt>
                <c:pt idx="171">
                  <c:v>42348</c:v>
                </c:pt>
                <c:pt idx="172">
                  <c:v>42349</c:v>
                </c:pt>
                <c:pt idx="173">
                  <c:v>42352</c:v>
                </c:pt>
                <c:pt idx="174">
                  <c:v>42353</c:v>
                </c:pt>
                <c:pt idx="175">
                  <c:v>42354</c:v>
                </c:pt>
                <c:pt idx="176">
                  <c:v>42355</c:v>
                </c:pt>
                <c:pt idx="177">
                  <c:v>42356</c:v>
                </c:pt>
                <c:pt idx="178">
                  <c:v>42359</c:v>
                </c:pt>
                <c:pt idx="179">
                  <c:v>42360</c:v>
                </c:pt>
                <c:pt idx="180">
                  <c:v>42361</c:v>
                </c:pt>
                <c:pt idx="181">
                  <c:v>42362</c:v>
                </c:pt>
                <c:pt idx="182">
                  <c:v>42366</c:v>
                </c:pt>
                <c:pt idx="183">
                  <c:v>42367</c:v>
                </c:pt>
                <c:pt idx="184">
                  <c:v>42368</c:v>
                </c:pt>
                <c:pt idx="185">
                  <c:v>42369</c:v>
                </c:pt>
                <c:pt idx="186">
                  <c:v>42370</c:v>
                </c:pt>
                <c:pt idx="187">
                  <c:v>42373</c:v>
                </c:pt>
                <c:pt idx="188">
                  <c:v>42374</c:v>
                </c:pt>
                <c:pt idx="189">
                  <c:v>42375</c:v>
                </c:pt>
                <c:pt idx="190">
                  <c:v>42376</c:v>
                </c:pt>
                <c:pt idx="191">
                  <c:v>42377</c:v>
                </c:pt>
                <c:pt idx="192">
                  <c:v>42380</c:v>
                </c:pt>
                <c:pt idx="193">
                  <c:v>42381</c:v>
                </c:pt>
                <c:pt idx="194">
                  <c:v>42382</c:v>
                </c:pt>
                <c:pt idx="195">
                  <c:v>42383</c:v>
                </c:pt>
                <c:pt idx="196">
                  <c:v>42384</c:v>
                </c:pt>
                <c:pt idx="197">
                  <c:v>42387</c:v>
                </c:pt>
                <c:pt idx="198">
                  <c:v>42388</c:v>
                </c:pt>
                <c:pt idx="199">
                  <c:v>42389</c:v>
                </c:pt>
                <c:pt idx="200">
                  <c:v>42390</c:v>
                </c:pt>
                <c:pt idx="201">
                  <c:v>42391</c:v>
                </c:pt>
                <c:pt idx="202">
                  <c:v>42394</c:v>
                </c:pt>
                <c:pt idx="203">
                  <c:v>42396</c:v>
                </c:pt>
                <c:pt idx="204">
                  <c:v>42397</c:v>
                </c:pt>
                <c:pt idx="205">
                  <c:v>42398</c:v>
                </c:pt>
                <c:pt idx="206">
                  <c:v>42401</c:v>
                </c:pt>
                <c:pt idx="207">
                  <c:v>42402</c:v>
                </c:pt>
                <c:pt idx="208">
                  <c:v>42403</c:v>
                </c:pt>
                <c:pt idx="209">
                  <c:v>42404</c:v>
                </c:pt>
                <c:pt idx="210">
                  <c:v>42405</c:v>
                </c:pt>
                <c:pt idx="211">
                  <c:v>42408</c:v>
                </c:pt>
                <c:pt idx="212">
                  <c:v>42409</c:v>
                </c:pt>
                <c:pt idx="213">
                  <c:v>42410</c:v>
                </c:pt>
                <c:pt idx="214">
                  <c:v>42411</c:v>
                </c:pt>
                <c:pt idx="215">
                  <c:v>42412</c:v>
                </c:pt>
                <c:pt idx="216">
                  <c:v>42415</c:v>
                </c:pt>
                <c:pt idx="217">
                  <c:v>42416</c:v>
                </c:pt>
                <c:pt idx="218">
                  <c:v>42417</c:v>
                </c:pt>
                <c:pt idx="219">
                  <c:v>42418</c:v>
                </c:pt>
                <c:pt idx="220">
                  <c:v>42419</c:v>
                </c:pt>
                <c:pt idx="221">
                  <c:v>42422</c:v>
                </c:pt>
                <c:pt idx="222">
                  <c:v>42423</c:v>
                </c:pt>
                <c:pt idx="223">
                  <c:v>42424</c:v>
                </c:pt>
                <c:pt idx="224">
                  <c:v>42425</c:v>
                </c:pt>
                <c:pt idx="225">
                  <c:v>42426</c:v>
                </c:pt>
                <c:pt idx="226">
                  <c:v>42429</c:v>
                </c:pt>
                <c:pt idx="227">
                  <c:v>42430</c:v>
                </c:pt>
                <c:pt idx="228">
                  <c:v>42431</c:v>
                </c:pt>
                <c:pt idx="229">
                  <c:v>42432</c:v>
                </c:pt>
                <c:pt idx="230">
                  <c:v>42433</c:v>
                </c:pt>
                <c:pt idx="231">
                  <c:v>42437</c:v>
                </c:pt>
                <c:pt idx="232">
                  <c:v>42438</c:v>
                </c:pt>
                <c:pt idx="233">
                  <c:v>42439</c:v>
                </c:pt>
                <c:pt idx="234">
                  <c:v>42440</c:v>
                </c:pt>
                <c:pt idx="235">
                  <c:v>42443</c:v>
                </c:pt>
                <c:pt idx="236">
                  <c:v>42444</c:v>
                </c:pt>
                <c:pt idx="237">
                  <c:v>42445</c:v>
                </c:pt>
                <c:pt idx="238">
                  <c:v>42446</c:v>
                </c:pt>
                <c:pt idx="239">
                  <c:v>42447</c:v>
                </c:pt>
                <c:pt idx="240">
                  <c:v>42450</c:v>
                </c:pt>
                <c:pt idx="241">
                  <c:v>42451</c:v>
                </c:pt>
                <c:pt idx="242">
                  <c:v>42452</c:v>
                </c:pt>
                <c:pt idx="243">
                  <c:v>42457</c:v>
                </c:pt>
                <c:pt idx="244">
                  <c:v>42458</c:v>
                </c:pt>
                <c:pt idx="245">
                  <c:v>42459</c:v>
                </c:pt>
                <c:pt idx="246">
                  <c:v>42460</c:v>
                </c:pt>
                <c:pt idx="247">
                  <c:v>42461</c:v>
                </c:pt>
                <c:pt idx="248">
                  <c:v>42464</c:v>
                </c:pt>
                <c:pt idx="249">
                  <c:v>42465</c:v>
                </c:pt>
                <c:pt idx="250">
                  <c:v>42466</c:v>
                </c:pt>
                <c:pt idx="251">
                  <c:v>42467</c:v>
                </c:pt>
                <c:pt idx="252">
                  <c:v>42468</c:v>
                </c:pt>
                <c:pt idx="253">
                  <c:v>42471</c:v>
                </c:pt>
                <c:pt idx="254">
                  <c:v>42472</c:v>
                </c:pt>
                <c:pt idx="255">
                  <c:v>42473</c:v>
                </c:pt>
                <c:pt idx="256">
                  <c:v>42478</c:v>
                </c:pt>
                <c:pt idx="257">
                  <c:v>42480</c:v>
                </c:pt>
                <c:pt idx="258">
                  <c:v>42481</c:v>
                </c:pt>
                <c:pt idx="259">
                  <c:v>42482</c:v>
                </c:pt>
                <c:pt idx="260">
                  <c:v>42485</c:v>
                </c:pt>
                <c:pt idx="261">
                  <c:v>42486</c:v>
                </c:pt>
                <c:pt idx="262">
                  <c:v>42487</c:v>
                </c:pt>
                <c:pt idx="263">
                  <c:v>42488</c:v>
                </c:pt>
                <c:pt idx="264">
                  <c:v>42489</c:v>
                </c:pt>
                <c:pt idx="265">
                  <c:v>42492</c:v>
                </c:pt>
                <c:pt idx="266">
                  <c:v>42493</c:v>
                </c:pt>
                <c:pt idx="267">
                  <c:v>42494</c:v>
                </c:pt>
                <c:pt idx="268">
                  <c:v>42495</c:v>
                </c:pt>
                <c:pt idx="269">
                  <c:v>42496</c:v>
                </c:pt>
                <c:pt idx="270">
                  <c:v>42499</c:v>
                </c:pt>
                <c:pt idx="271">
                  <c:v>42500</c:v>
                </c:pt>
                <c:pt idx="272">
                  <c:v>42501</c:v>
                </c:pt>
                <c:pt idx="273">
                  <c:v>42502</c:v>
                </c:pt>
                <c:pt idx="274">
                  <c:v>42503</c:v>
                </c:pt>
                <c:pt idx="275">
                  <c:v>42506</c:v>
                </c:pt>
                <c:pt idx="276">
                  <c:v>42507</c:v>
                </c:pt>
                <c:pt idx="277">
                  <c:v>42508</c:v>
                </c:pt>
                <c:pt idx="278">
                  <c:v>42509</c:v>
                </c:pt>
                <c:pt idx="279">
                  <c:v>42510</c:v>
                </c:pt>
                <c:pt idx="280">
                  <c:v>42513</c:v>
                </c:pt>
                <c:pt idx="281">
                  <c:v>42514</c:v>
                </c:pt>
                <c:pt idx="282">
                  <c:v>42515</c:v>
                </c:pt>
                <c:pt idx="283">
                  <c:v>42516</c:v>
                </c:pt>
                <c:pt idx="284">
                  <c:v>42517</c:v>
                </c:pt>
                <c:pt idx="285">
                  <c:v>42520</c:v>
                </c:pt>
                <c:pt idx="286">
                  <c:v>42521</c:v>
                </c:pt>
                <c:pt idx="287">
                  <c:v>42522</c:v>
                </c:pt>
                <c:pt idx="288">
                  <c:v>42523</c:v>
                </c:pt>
                <c:pt idx="289">
                  <c:v>42524</c:v>
                </c:pt>
                <c:pt idx="290">
                  <c:v>42527</c:v>
                </c:pt>
                <c:pt idx="291">
                  <c:v>42528</c:v>
                </c:pt>
                <c:pt idx="292">
                  <c:v>42529</c:v>
                </c:pt>
                <c:pt idx="293">
                  <c:v>42530</c:v>
                </c:pt>
                <c:pt idx="294">
                  <c:v>42531</c:v>
                </c:pt>
                <c:pt idx="295">
                  <c:v>42534</c:v>
                </c:pt>
                <c:pt idx="296">
                  <c:v>42535</c:v>
                </c:pt>
                <c:pt idx="297">
                  <c:v>42536</c:v>
                </c:pt>
                <c:pt idx="298">
                  <c:v>42537</c:v>
                </c:pt>
                <c:pt idx="299">
                  <c:v>42538</c:v>
                </c:pt>
                <c:pt idx="300">
                  <c:v>42541</c:v>
                </c:pt>
                <c:pt idx="301">
                  <c:v>42542</c:v>
                </c:pt>
                <c:pt idx="302">
                  <c:v>42543</c:v>
                </c:pt>
                <c:pt idx="303">
                  <c:v>42544</c:v>
                </c:pt>
                <c:pt idx="304">
                  <c:v>42545</c:v>
                </c:pt>
                <c:pt idx="305">
                  <c:v>42548</c:v>
                </c:pt>
                <c:pt idx="306">
                  <c:v>42549</c:v>
                </c:pt>
                <c:pt idx="307">
                  <c:v>42550</c:v>
                </c:pt>
                <c:pt idx="308">
                  <c:v>42551</c:v>
                </c:pt>
                <c:pt idx="309">
                  <c:v>42552</c:v>
                </c:pt>
                <c:pt idx="310">
                  <c:v>42555</c:v>
                </c:pt>
                <c:pt idx="311">
                  <c:v>42556</c:v>
                </c:pt>
                <c:pt idx="312">
                  <c:v>42558</c:v>
                </c:pt>
                <c:pt idx="313">
                  <c:v>42559</c:v>
                </c:pt>
                <c:pt idx="314">
                  <c:v>42562</c:v>
                </c:pt>
                <c:pt idx="315">
                  <c:v>42563</c:v>
                </c:pt>
                <c:pt idx="316">
                  <c:v>42564</c:v>
                </c:pt>
                <c:pt idx="317">
                  <c:v>42565</c:v>
                </c:pt>
                <c:pt idx="318">
                  <c:v>42566</c:v>
                </c:pt>
                <c:pt idx="319">
                  <c:v>42569</c:v>
                </c:pt>
                <c:pt idx="320">
                  <c:v>42570</c:v>
                </c:pt>
                <c:pt idx="321">
                  <c:v>42571</c:v>
                </c:pt>
                <c:pt idx="322">
                  <c:v>42572</c:v>
                </c:pt>
                <c:pt idx="323">
                  <c:v>42573</c:v>
                </c:pt>
                <c:pt idx="324">
                  <c:v>42576</c:v>
                </c:pt>
                <c:pt idx="325">
                  <c:v>42577</c:v>
                </c:pt>
                <c:pt idx="326">
                  <c:v>42578</c:v>
                </c:pt>
                <c:pt idx="327">
                  <c:v>42579</c:v>
                </c:pt>
                <c:pt idx="328">
                  <c:v>42580</c:v>
                </c:pt>
                <c:pt idx="329">
                  <c:v>42583</c:v>
                </c:pt>
                <c:pt idx="330">
                  <c:v>42584</c:v>
                </c:pt>
                <c:pt idx="331">
                  <c:v>42585</c:v>
                </c:pt>
                <c:pt idx="332">
                  <c:v>42586</c:v>
                </c:pt>
                <c:pt idx="333">
                  <c:v>42587</c:v>
                </c:pt>
                <c:pt idx="334">
                  <c:v>42590</c:v>
                </c:pt>
                <c:pt idx="335">
                  <c:v>42591</c:v>
                </c:pt>
                <c:pt idx="336">
                  <c:v>42592</c:v>
                </c:pt>
                <c:pt idx="337">
                  <c:v>42593</c:v>
                </c:pt>
                <c:pt idx="338">
                  <c:v>42594</c:v>
                </c:pt>
                <c:pt idx="339">
                  <c:v>42598</c:v>
                </c:pt>
                <c:pt idx="340">
                  <c:v>42599</c:v>
                </c:pt>
                <c:pt idx="341">
                  <c:v>42600</c:v>
                </c:pt>
                <c:pt idx="342">
                  <c:v>42601</c:v>
                </c:pt>
                <c:pt idx="343">
                  <c:v>42604</c:v>
                </c:pt>
                <c:pt idx="344">
                  <c:v>42605</c:v>
                </c:pt>
                <c:pt idx="345">
                  <c:v>42606</c:v>
                </c:pt>
                <c:pt idx="346">
                  <c:v>42607</c:v>
                </c:pt>
                <c:pt idx="347">
                  <c:v>42608</c:v>
                </c:pt>
                <c:pt idx="348">
                  <c:v>42611</c:v>
                </c:pt>
                <c:pt idx="349">
                  <c:v>42612</c:v>
                </c:pt>
                <c:pt idx="350">
                  <c:v>42613</c:v>
                </c:pt>
                <c:pt idx="351">
                  <c:v>42614</c:v>
                </c:pt>
                <c:pt idx="352">
                  <c:v>42615</c:v>
                </c:pt>
                <c:pt idx="353">
                  <c:v>42619</c:v>
                </c:pt>
                <c:pt idx="354">
                  <c:v>42620</c:v>
                </c:pt>
                <c:pt idx="355">
                  <c:v>42621</c:v>
                </c:pt>
                <c:pt idx="356">
                  <c:v>42622</c:v>
                </c:pt>
                <c:pt idx="357">
                  <c:v>42625</c:v>
                </c:pt>
                <c:pt idx="358">
                  <c:v>42627</c:v>
                </c:pt>
                <c:pt idx="359">
                  <c:v>42628</c:v>
                </c:pt>
                <c:pt idx="360">
                  <c:v>42629</c:v>
                </c:pt>
                <c:pt idx="361">
                  <c:v>42632</c:v>
                </c:pt>
                <c:pt idx="362">
                  <c:v>42633</c:v>
                </c:pt>
                <c:pt idx="363">
                  <c:v>42634</c:v>
                </c:pt>
                <c:pt idx="364">
                  <c:v>42635</c:v>
                </c:pt>
                <c:pt idx="365">
                  <c:v>42636</c:v>
                </c:pt>
                <c:pt idx="366">
                  <c:v>42639</c:v>
                </c:pt>
                <c:pt idx="367">
                  <c:v>42640</c:v>
                </c:pt>
                <c:pt idx="368">
                  <c:v>42641</c:v>
                </c:pt>
                <c:pt idx="369">
                  <c:v>42642</c:v>
                </c:pt>
                <c:pt idx="370">
                  <c:v>42643</c:v>
                </c:pt>
                <c:pt idx="371">
                  <c:v>42646</c:v>
                </c:pt>
                <c:pt idx="372">
                  <c:v>42647</c:v>
                </c:pt>
                <c:pt idx="373">
                  <c:v>42648</c:v>
                </c:pt>
                <c:pt idx="374">
                  <c:v>42649</c:v>
                </c:pt>
                <c:pt idx="375">
                  <c:v>42650</c:v>
                </c:pt>
                <c:pt idx="376">
                  <c:v>42653</c:v>
                </c:pt>
                <c:pt idx="377">
                  <c:v>42656</c:v>
                </c:pt>
                <c:pt idx="378">
                  <c:v>42657</c:v>
                </c:pt>
                <c:pt idx="379">
                  <c:v>42660</c:v>
                </c:pt>
                <c:pt idx="380">
                  <c:v>42661</c:v>
                </c:pt>
                <c:pt idx="381">
                  <c:v>42662</c:v>
                </c:pt>
                <c:pt idx="382">
                  <c:v>42663</c:v>
                </c:pt>
                <c:pt idx="383">
                  <c:v>42664</c:v>
                </c:pt>
                <c:pt idx="384">
                  <c:v>42667</c:v>
                </c:pt>
                <c:pt idx="385">
                  <c:v>42668</c:v>
                </c:pt>
                <c:pt idx="386">
                  <c:v>42669</c:v>
                </c:pt>
                <c:pt idx="387">
                  <c:v>42670</c:v>
                </c:pt>
                <c:pt idx="388">
                  <c:v>42671</c:v>
                </c:pt>
                <c:pt idx="389">
                  <c:v>42673</c:v>
                </c:pt>
                <c:pt idx="390">
                  <c:v>42675</c:v>
                </c:pt>
                <c:pt idx="391">
                  <c:v>42676</c:v>
                </c:pt>
                <c:pt idx="392">
                  <c:v>42677</c:v>
                </c:pt>
                <c:pt idx="393">
                  <c:v>42678</c:v>
                </c:pt>
                <c:pt idx="394">
                  <c:v>42681</c:v>
                </c:pt>
                <c:pt idx="395">
                  <c:v>42682</c:v>
                </c:pt>
                <c:pt idx="396">
                  <c:v>42683</c:v>
                </c:pt>
                <c:pt idx="397">
                  <c:v>42684</c:v>
                </c:pt>
                <c:pt idx="398">
                  <c:v>42685</c:v>
                </c:pt>
                <c:pt idx="399">
                  <c:v>42689</c:v>
                </c:pt>
                <c:pt idx="400">
                  <c:v>42690</c:v>
                </c:pt>
                <c:pt idx="401">
                  <c:v>42691</c:v>
                </c:pt>
                <c:pt idx="402">
                  <c:v>42692</c:v>
                </c:pt>
                <c:pt idx="403">
                  <c:v>42695</c:v>
                </c:pt>
                <c:pt idx="404">
                  <c:v>42696</c:v>
                </c:pt>
                <c:pt idx="405">
                  <c:v>42697</c:v>
                </c:pt>
                <c:pt idx="406">
                  <c:v>42698</c:v>
                </c:pt>
                <c:pt idx="407">
                  <c:v>42699</c:v>
                </c:pt>
                <c:pt idx="408">
                  <c:v>42702</c:v>
                </c:pt>
                <c:pt idx="409">
                  <c:v>42703</c:v>
                </c:pt>
                <c:pt idx="410">
                  <c:v>42704</c:v>
                </c:pt>
                <c:pt idx="411">
                  <c:v>42705</c:v>
                </c:pt>
                <c:pt idx="412">
                  <c:v>42706</c:v>
                </c:pt>
                <c:pt idx="413">
                  <c:v>42709</c:v>
                </c:pt>
                <c:pt idx="414">
                  <c:v>42710</c:v>
                </c:pt>
                <c:pt idx="415">
                  <c:v>42711</c:v>
                </c:pt>
                <c:pt idx="416">
                  <c:v>42712</c:v>
                </c:pt>
                <c:pt idx="417">
                  <c:v>42713</c:v>
                </c:pt>
                <c:pt idx="418">
                  <c:v>42716</c:v>
                </c:pt>
                <c:pt idx="419">
                  <c:v>42717</c:v>
                </c:pt>
                <c:pt idx="420">
                  <c:v>42718</c:v>
                </c:pt>
                <c:pt idx="421">
                  <c:v>42719</c:v>
                </c:pt>
                <c:pt idx="422">
                  <c:v>42720</c:v>
                </c:pt>
                <c:pt idx="423">
                  <c:v>42723</c:v>
                </c:pt>
                <c:pt idx="424">
                  <c:v>42724</c:v>
                </c:pt>
                <c:pt idx="425">
                  <c:v>42725</c:v>
                </c:pt>
                <c:pt idx="426">
                  <c:v>42726</c:v>
                </c:pt>
                <c:pt idx="427">
                  <c:v>42727</c:v>
                </c:pt>
                <c:pt idx="428">
                  <c:v>42730</c:v>
                </c:pt>
                <c:pt idx="429">
                  <c:v>42731</c:v>
                </c:pt>
                <c:pt idx="430">
                  <c:v>42732</c:v>
                </c:pt>
                <c:pt idx="431">
                  <c:v>42733</c:v>
                </c:pt>
                <c:pt idx="432">
                  <c:v>42734</c:v>
                </c:pt>
                <c:pt idx="433">
                  <c:v>42737</c:v>
                </c:pt>
                <c:pt idx="434">
                  <c:v>42738</c:v>
                </c:pt>
                <c:pt idx="435">
                  <c:v>42739</c:v>
                </c:pt>
                <c:pt idx="436">
                  <c:v>42740</c:v>
                </c:pt>
                <c:pt idx="437">
                  <c:v>42741</c:v>
                </c:pt>
                <c:pt idx="438">
                  <c:v>42744</c:v>
                </c:pt>
                <c:pt idx="439">
                  <c:v>42745</c:v>
                </c:pt>
                <c:pt idx="440">
                  <c:v>42746</c:v>
                </c:pt>
                <c:pt idx="441">
                  <c:v>42747</c:v>
                </c:pt>
                <c:pt idx="442">
                  <c:v>42748</c:v>
                </c:pt>
                <c:pt idx="443">
                  <c:v>42751</c:v>
                </c:pt>
                <c:pt idx="444">
                  <c:v>42752</c:v>
                </c:pt>
                <c:pt idx="445">
                  <c:v>42753</c:v>
                </c:pt>
                <c:pt idx="446">
                  <c:v>42754</c:v>
                </c:pt>
                <c:pt idx="447">
                  <c:v>42755</c:v>
                </c:pt>
                <c:pt idx="448">
                  <c:v>42758</c:v>
                </c:pt>
                <c:pt idx="449">
                  <c:v>42759</c:v>
                </c:pt>
                <c:pt idx="450">
                  <c:v>42760</c:v>
                </c:pt>
                <c:pt idx="451">
                  <c:v>42762</c:v>
                </c:pt>
                <c:pt idx="452">
                  <c:v>42765</c:v>
                </c:pt>
                <c:pt idx="453">
                  <c:v>42766</c:v>
                </c:pt>
                <c:pt idx="454">
                  <c:v>42767</c:v>
                </c:pt>
                <c:pt idx="455">
                  <c:v>42768</c:v>
                </c:pt>
                <c:pt idx="456">
                  <c:v>42769</c:v>
                </c:pt>
                <c:pt idx="457">
                  <c:v>42772</c:v>
                </c:pt>
                <c:pt idx="458">
                  <c:v>42773</c:v>
                </c:pt>
                <c:pt idx="459">
                  <c:v>42774</c:v>
                </c:pt>
                <c:pt idx="460">
                  <c:v>42775</c:v>
                </c:pt>
                <c:pt idx="461">
                  <c:v>42776</c:v>
                </c:pt>
                <c:pt idx="462">
                  <c:v>42779</c:v>
                </c:pt>
                <c:pt idx="463">
                  <c:v>42780</c:v>
                </c:pt>
                <c:pt idx="464">
                  <c:v>42781</c:v>
                </c:pt>
                <c:pt idx="465">
                  <c:v>42782</c:v>
                </c:pt>
                <c:pt idx="466">
                  <c:v>42783</c:v>
                </c:pt>
                <c:pt idx="467">
                  <c:v>42786</c:v>
                </c:pt>
                <c:pt idx="468">
                  <c:v>42787</c:v>
                </c:pt>
                <c:pt idx="469">
                  <c:v>42788</c:v>
                </c:pt>
                <c:pt idx="470">
                  <c:v>42789</c:v>
                </c:pt>
                <c:pt idx="471">
                  <c:v>42793</c:v>
                </c:pt>
                <c:pt idx="472">
                  <c:v>42794</c:v>
                </c:pt>
                <c:pt idx="473">
                  <c:v>42795</c:v>
                </c:pt>
                <c:pt idx="474">
                  <c:v>42796</c:v>
                </c:pt>
                <c:pt idx="475">
                  <c:v>42797</c:v>
                </c:pt>
                <c:pt idx="476">
                  <c:v>42800</c:v>
                </c:pt>
                <c:pt idx="477">
                  <c:v>42801</c:v>
                </c:pt>
                <c:pt idx="478">
                  <c:v>42802</c:v>
                </c:pt>
                <c:pt idx="479">
                  <c:v>42803</c:v>
                </c:pt>
                <c:pt idx="480">
                  <c:v>42804</c:v>
                </c:pt>
                <c:pt idx="481">
                  <c:v>42808</c:v>
                </c:pt>
                <c:pt idx="482">
                  <c:v>42809</c:v>
                </c:pt>
                <c:pt idx="483">
                  <c:v>42810</c:v>
                </c:pt>
                <c:pt idx="484">
                  <c:v>42811</c:v>
                </c:pt>
                <c:pt idx="485">
                  <c:v>42814</c:v>
                </c:pt>
                <c:pt idx="486">
                  <c:v>42815</c:v>
                </c:pt>
                <c:pt idx="487">
                  <c:v>42816</c:v>
                </c:pt>
                <c:pt idx="488">
                  <c:v>42817</c:v>
                </c:pt>
                <c:pt idx="489">
                  <c:v>42818</c:v>
                </c:pt>
                <c:pt idx="490">
                  <c:v>42821</c:v>
                </c:pt>
                <c:pt idx="491">
                  <c:v>42822</c:v>
                </c:pt>
                <c:pt idx="492">
                  <c:v>42823</c:v>
                </c:pt>
                <c:pt idx="493">
                  <c:v>42824</c:v>
                </c:pt>
                <c:pt idx="494">
                  <c:v>42825</c:v>
                </c:pt>
                <c:pt idx="495">
                  <c:v>42828</c:v>
                </c:pt>
                <c:pt idx="496">
                  <c:v>42830</c:v>
                </c:pt>
                <c:pt idx="497">
                  <c:v>42831</c:v>
                </c:pt>
                <c:pt idx="498">
                  <c:v>42832</c:v>
                </c:pt>
                <c:pt idx="499">
                  <c:v>42835</c:v>
                </c:pt>
                <c:pt idx="500">
                  <c:v>42836</c:v>
                </c:pt>
                <c:pt idx="501">
                  <c:v>42837</c:v>
                </c:pt>
                <c:pt idx="502">
                  <c:v>42838</c:v>
                </c:pt>
                <c:pt idx="503">
                  <c:v>42842</c:v>
                </c:pt>
                <c:pt idx="504">
                  <c:v>42843</c:v>
                </c:pt>
                <c:pt idx="505">
                  <c:v>42844</c:v>
                </c:pt>
                <c:pt idx="506">
                  <c:v>42845</c:v>
                </c:pt>
                <c:pt idx="507">
                  <c:v>42846</c:v>
                </c:pt>
                <c:pt idx="508">
                  <c:v>42849</c:v>
                </c:pt>
                <c:pt idx="509">
                  <c:v>42850</c:v>
                </c:pt>
                <c:pt idx="510">
                  <c:v>42851</c:v>
                </c:pt>
                <c:pt idx="511">
                  <c:v>42852</c:v>
                </c:pt>
                <c:pt idx="512">
                  <c:v>42853</c:v>
                </c:pt>
                <c:pt idx="513">
                  <c:v>42857</c:v>
                </c:pt>
                <c:pt idx="514">
                  <c:v>42858</c:v>
                </c:pt>
                <c:pt idx="515">
                  <c:v>42859</c:v>
                </c:pt>
                <c:pt idx="516">
                  <c:v>42860</c:v>
                </c:pt>
                <c:pt idx="517">
                  <c:v>42863</c:v>
                </c:pt>
                <c:pt idx="518">
                  <c:v>42864</c:v>
                </c:pt>
                <c:pt idx="519">
                  <c:v>42865</c:v>
                </c:pt>
                <c:pt idx="520">
                  <c:v>42866</c:v>
                </c:pt>
                <c:pt idx="521">
                  <c:v>42867</c:v>
                </c:pt>
                <c:pt idx="522">
                  <c:v>42870</c:v>
                </c:pt>
                <c:pt idx="523">
                  <c:v>42871</c:v>
                </c:pt>
                <c:pt idx="524">
                  <c:v>42872</c:v>
                </c:pt>
                <c:pt idx="525">
                  <c:v>42873</c:v>
                </c:pt>
                <c:pt idx="526">
                  <c:v>42874</c:v>
                </c:pt>
                <c:pt idx="527">
                  <c:v>42877</c:v>
                </c:pt>
                <c:pt idx="528">
                  <c:v>42878</c:v>
                </c:pt>
                <c:pt idx="529">
                  <c:v>42879</c:v>
                </c:pt>
                <c:pt idx="530">
                  <c:v>42880</c:v>
                </c:pt>
                <c:pt idx="531">
                  <c:v>42881</c:v>
                </c:pt>
                <c:pt idx="532">
                  <c:v>42884</c:v>
                </c:pt>
                <c:pt idx="533">
                  <c:v>42885</c:v>
                </c:pt>
                <c:pt idx="534">
                  <c:v>42886</c:v>
                </c:pt>
                <c:pt idx="535">
                  <c:v>42887</c:v>
                </c:pt>
                <c:pt idx="536">
                  <c:v>42888</c:v>
                </c:pt>
                <c:pt idx="537">
                  <c:v>42891</c:v>
                </c:pt>
                <c:pt idx="538">
                  <c:v>42892</c:v>
                </c:pt>
                <c:pt idx="539">
                  <c:v>42893</c:v>
                </c:pt>
                <c:pt idx="540">
                  <c:v>42894</c:v>
                </c:pt>
                <c:pt idx="541">
                  <c:v>42895</c:v>
                </c:pt>
                <c:pt idx="542">
                  <c:v>42898</c:v>
                </c:pt>
                <c:pt idx="543">
                  <c:v>42899</c:v>
                </c:pt>
                <c:pt idx="544">
                  <c:v>42900</c:v>
                </c:pt>
                <c:pt idx="545">
                  <c:v>42901</c:v>
                </c:pt>
                <c:pt idx="546">
                  <c:v>42902</c:v>
                </c:pt>
                <c:pt idx="547">
                  <c:v>42905</c:v>
                </c:pt>
                <c:pt idx="548">
                  <c:v>42906</c:v>
                </c:pt>
                <c:pt idx="549">
                  <c:v>42907</c:v>
                </c:pt>
                <c:pt idx="550">
                  <c:v>42908</c:v>
                </c:pt>
                <c:pt idx="551">
                  <c:v>42909</c:v>
                </c:pt>
                <c:pt idx="552">
                  <c:v>42913</c:v>
                </c:pt>
                <c:pt idx="553">
                  <c:v>42914</c:v>
                </c:pt>
                <c:pt idx="554">
                  <c:v>42915</c:v>
                </c:pt>
                <c:pt idx="555">
                  <c:v>42916</c:v>
                </c:pt>
                <c:pt idx="556">
                  <c:v>42919</c:v>
                </c:pt>
                <c:pt idx="557">
                  <c:v>42920</c:v>
                </c:pt>
                <c:pt idx="558">
                  <c:v>42921</c:v>
                </c:pt>
                <c:pt idx="559">
                  <c:v>42922</c:v>
                </c:pt>
                <c:pt idx="560">
                  <c:v>42923</c:v>
                </c:pt>
                <c:pt idx="561">
                  <c:v>42926</c:v>
                </c:pt>
                <c:pt idx="562">
                  <c:v>42927</c:v>
                </c:pt>
                <c:pt idx="563">
                  <c:v>42928</c:v>
                </c:pt>
                <c:pt idx="564">
                  <c:v>42929</c:v>
                </c:pt>
                <c:pt idx="565">
                  <c:v>42930</c:v>
                </c:pt>
                <c:pt idx="566">
                  <c:v>42933</c:v>
                </c:pt>
                <c:pt idx="567">
                  <c:v>42934</c:v>
                </c:pt>
                <c:pt idx="568">
                  <c:v>42935</c:v>
                </c:pt>
                <c:pt idx="569">
                  <c:v>42936</c:v>
                </c:pt>
                <c:pt idx="570">
                  <c:v>42937</c:v>
                </c:pt>
                <c:pt idx="571">
                  <c:v>42940</c:v>
                </c:pt>
                <c:pt idx="572">
                  <c:v>42941</c:v>
                </c:pt>
                <c:pt idx="573">
                  <c:v>42942</c:v>
                </c:pt>
                <c:pt idx="574">
                  <c:v>42943</c:v>
                </c:pt>
                <c:pt idx="575">
                  <c:v>42944</c:v>
                </c:pt>
                <c:pt idx="576">
                  <c:v>42947</c:v>
                </c:pt>
                <c:pt idx="577">
                  <c:v>42948</c:v>
                </c:pt>
                <c:pt idx="578">
                  <c:v>42949</c:v>
                </c:pt>
                <c:pt idx="579">
                  <c:v>42950</c:v>
                </c:pt>
                <c:pt idx="580">
                  <c:v>42951</c:v>
                </c:pt>
                <c:pt idx="581">
                  <c:v>42954</c:v>
                </c:pt>
                <c:pt idx="582">
                  <c:v>42955</c:v>
                </c:pt>
                <c:pt idx="583">
                  <c:v>42956</c:v>
                </c:pt>
                <c:pt idx="584">
                  <c:v>42957</c:v>
                </c:pt>
                <c:pt idx="585">
                  <c:v>42958</c:v>
                </c:pt>
                <c:pt idx="586">
                  <c:v>42961</c:v>
                </c:pt>
                <c:pt idx="587">
                  <c:v>42963</c:v>
                </c:pt>
                <c:pt idx="588">
                  <c:v>42964</c:v>
                </c:pt>
                <c:pt idx="589">
                  <c:v>42965</c:v>
                </c:pt>
                <c:pt idx="590">
                  <c:v>42968</c:v>
                </c:pt>
                <c:pt idx="591">
                  <c:v>42969</c:v>
                </c:pt>
                <c:pt idx="592">
                  <c:v>42970</c:v>
                </c:pt>
                <c:pt idx="593">
                  <c:v>42971</c:v>
                </c:pt>
                <c:pt idx="594">
                  <c:v>42975</c:v>
                </c:pt>
                <c:pt idx="595">
                  <c:v>42976</c:v>
                </c:pt>
                <c:pt idx="596">
                  <c:v>42977</c:v>
                </c:pt>
                <c:pt idx="597">
                  <c:v>42978</c:v>
                </c:pt>
                <c:pt idx="598">
                  <c:v>42979</c:v>
                </c:pt>
                <c:pt idx="599">
                  <c:v>42982</c:v>
                </c:pt>
                <c:pt idx="600">
                  <c:v>42983</c:v>
                </c:pt>
                <c:pt idx="601">
                  <c:v>42984</c:v>
                </c:pt>
                <c:pt idx="602">
                  <c:v>42985</c:v>
                </c:pt>
                <c:pt idx="603">
                  <c:v>42986</c:v>
                </c:pt>
                <c:pt idx="604">
                  <c:v>42989</c:v>
                </c:pt>
                <c:pt idx="605">
                  <c:v>42990</c:v>
                </c:pt>
                <c:pt idx="606">
                  <c:v>42991</c:v>
                </c:pt>
                <c:pt idx="607">
                  <c:v>42992</c:v>
                </c:pt>
                <c:pt idx="608">
                  <c:v>42993</c:v>
                </c:pt>
                <c:pt idx="609">
                  <c:v>42996</c:v>
                </c:pt>
                <c:pt idx="610">
                  <c:v>42997</c:v>
                </c:pt>
                <c:pt idx="611">
                  <c:v>42998</c:v>
                </c:pt>
                <c:pt idx="612">
                  <c:v>42999</c:v>
                </c:pt>
                <c:pt idx="613">
                  <c:v>43000</c:v>
                </c:pt>
                <c:pt idx="614">
                  <c:v>43003</c:v>
                </c:pt>
                <c:pt idx="615">
                  <c:v>43004</c:v>
                </c:pt>
                <c:pt idx="616">
                  <c:v>43005</c:v>
                </c:pt>
                <c:pt idx="617">
                  <c:v>43006</c:v>
                </c:pt>
                <c:pt idx="618">
                  <c:v>43007</c:v>
                </c:pt>
                <c:pt idx="619">
                  <c:v>43011</c:v>
                </c:pt>
                <c:pt idx="620">
                  <c:v>43012</c:v>
                </c:pt>
                <c:pt idx="621">
                  <c:v>43013</c:v>
                </c:pt>
                <c:pt idx="622">
                  <c:v>43014</c:v>
                </c:pt>
                <c:pt idx="623">
                  <c:v>43017</c:v>
                </c:pt>
                <c:pt idx="624">
                  <c:v>43018</c:v>
                </c:pt>
                <c:pt idx="625">
                  <c:v>43019</c:v>
                </c:pt>
                <c:pt idx="626">
                  <c:v>43020</c:v>
                </c:pt>
                <c:pt idx="627">
                  <c:v>43021</c:v>
                </c:pt>
                <c:pt idx="628">
                  <c:v>43024</c:v>
                </c:pt>
                <c:pt idx="629">
                  <c:v>43025</c:v>
                </c:pt>
                <c:pt idx="630">
                  <c:v>43026</c:v>
                </c:pt>
                <c:pt idx="631">
                  <c:v>43027</c:v>
                </c:pt>
                <c:pt idx="632">
                  <c:v>43031</c:v>
                </c:pt>
                <c:pt idx="633">
                  <c:v>43032</c:v>
                </c:pt>
                <c:pt idx="634">
                  <c:v>43033</c:v>
                </c:pt>
                <c:pt idx="635">
                  <c:v>43034</c:v>
                </c:pt>
                <c:pt idx="636">
                  <c:v>43035</c:v>
                </c:pt>
                <c:pt idx="637">
                  <c:v>43038</c:v>
                </c:pt>
                <c:pt idx="638">
                  <c:v>43039</c:v>
                </c:pt>
                <c:pt idx="639">
                  <c:v>43040</c:v>
                </c:pt>
                <c:pt idx="640">
                  <c:v>43041</c:v>
                </c:pt>
                <c:pt idx="641">
                  <c:v>43042</c:v>
                </c:pt>
                <c:pt idx="642">
                  <c:v>43045</c:v>
                </c:pt>
                <c:pt idx="643">
                  <c:v>43046</c:v>
                </c:pt>
                <c:pt idx="644">
                  <c:v>43047</c:v>
                </c:pt>
                <c:pt idx="645">
                  <c:v>43048</c:v>
                </c:pt>
                <c:pt idx="646">
                  <c:v>43049</c:v>
                </c:pt>
                <c:pt idx="647">
                  <c:v>43052</c:v>
                </c:pt>
                <c:pt idx="648">
                  <c:v>43053</c:v>
                </c:pt>
                <c:pt idx="649">
                  <c:v>43054</c:v>
                </c:pt>
                <c:pt idx="650">
                  <c:v>43055</c:v>
                </c:pt>
                <c:pt idx="651">
                  <c:v>43056</c:v>
                </c:pt>
                <c:pt idx="652">
                  <c:v>43059</c:v>
                </c:pt>
                <c:pt idx="653">
                  <c:v>43060</c:v>
                </c:pt>
                <c:pt idx="654">
                  <c:v>43061</c:v>
                </c:pt>
                <c:pt idx="655">
                  <c:v>43062</c:v>
                </c:pt>
                <c:pt idx="656">
                  <c:v>43063</c:v>
                </c:pt>
                <c:pt idx="657">
                  <c:v>43066</c:v>
                </c:pt>
                <c:pt idx="658">
                  <c:v>43067</c:v>
                </c:pt>
                <c:pt idx="659">
                  <c:v>43068</c:v>
                </c:pt>
                <c:pt idx="660">
                  <c:v>43069</c:v>
                </c:pt>
                <c:pt idx="661">
                  <c:v>43070</c:v>
                </c:pt>
                <c:pt idx="662">
                  <c:v>43073</c:v>
                </c:pt>
                <c:pt idx="663">
                  <c:v>43074</c:v>
                </c:pt>
                <c:pt idx="664">
                  <c:v>43075</c:v>
                </c:pt>
                <c:pt idx="665">
                  <c:v>43076</c:v>
                </c:pt>
                <c:pt idx="666">
                  <c:v>43077</c:v>
                </c:pt>
                <c:pt idx="667">
                  <c:v>43080</c:v>
                </c:pt>
                <c:pt idx="668">
                  <c:v>43081</c:v>
                </c:pt>
                <c:pt idx="669">
                  <c:v>43082</c:v>
                </c:pt>
                <c:pt idx="670">
                  <c:v>43083</c:v>
                </c:pt>
                <c:pt idx="671">
                  <c:v>43084</c:v>
                </c:pt>
                <c:pt idx="672">
                  <c:v>43087</c:v>
                </c:pt>
                <c:pt idx="673">
                  <c:v>43088</c:v>
                </c:pt>
                <c:pt idx="674">
                  <c:v>43089</c:v>
                </c:pt>
                <c:pt idx="675">
                  <c:v>43090</c:v>
                </c:pt>
                <c:pt idx="676">
                  <c:v>43091</c:v>
                </c:pt>
                <c:pt idx="677">
                  <c:v>43095</c:v>
                </c:pt>
                <c:pt idx="678">
                  <c:v>43096</c:v>
                </c:pt>
                <c:pt idx="679">
                  <c:v>43097</c:v>
                </c:pt>
                <c:pt idx="680">
                  <c:v>43098</c:v>
                </c:pt>
                <c:pt idx="681">
                  <c:v>43101</c:v>
                </c:pt>
                <c:pt idx="682">
                  <c:v>43102</c:v>
                </c:pt>
                <c:pt idx="683">
                  <c:v>43103</c:v>
                </c:pt>
                <c:pt idx="684">
                  <c:v>43104</c:v>
                </c:pt>
                <c:pt idx="685">
                  <c:v>43105</c:v>
                </c:pt>
                <c:pt idx="686">
                  <c:v>43108</c:v>
                </c:pt>
                <c:pt idx="687">
                  <c:v>43109</c:v>
                </c:pt>
                <c:pt idx="688">
                  <c:v>43110</c:v>
                </c:pt>
                <c:pt idx="689">
                  <c:v>43111</c:v>
                </c:pt>
                <c:pt idx="690">
                  <c:v>43112</c:v>
                </c:pt>
                <c:pt idx="691">
                  <c:v>43115</c:v>
                </c:pt>
                <c:pt idx="692">
                  <c:v>43116</c:v>
                </c:pt>
                <c:pt idx="693">
                  <c:v>43117</c:v>
                </c:pt>
                <c:pt idx="694">
                  <c:v>43118</c:v>
                </c:pt>
                <c:pt idx="695">
                  <c:v>43119</c:v>
                </c:pt>
                <c:pt idx="696">
                  <c:v>43122</c:v>
                </c:pt>
                <c:pt idx="697">
                  <c:v>43123</c:v>
                </c:pt>
                <c:pt idx="698">
                  <c:v>43124</c:v>
                </c:pt>
                <c:pt idx="699">
                  <c:v>43125</c:v>
                </c:pt>
                <c:pt idx="700">
                  <c:v>43129</c:v>
                </c:pt>
                <c:pt idx="701">
                  <c:v>43130</c:v>
                </c:pt>
                <c:pt idx="702">
                  <c:v>43131</c:v>
                </c:pt>
                <c:pt idx="703">
                  <c:v>43132</c:v>
                </c:pt>
                <c:pt idx="704">
                  <c:v>43133</c:v>
                </c:pt>
                <c:pt idx="705">
                  <c:v>43136</c:v>
                </c:pt>
                <c:pt idx="706">
                  <c:v>43137</c:v>
                </c:pt>
                <c:pt idx="707">
                  <c:v>43138</c:v>
                </c:pt>
                <c:pt idx="708">
                  <c:v>43139</c:v>
                </c:pt>
                <c:pt idx="709">
                  <c:v>43140</c:v>
                </c:pt>
                <c:pt idx="710">
                  <c:v>43143</c:v>
                </c:pt>
                <c:pt idx="711">
                  <c:v>43145</c:v>
                </c:pt>
                <c:pt idx="712">
                  <c:v>43146</c:v>
                </c:pt>
                <c:pt idx="713">
                  <c:v>43147</c:v>
                </c:pt>
                <c:pt idx="714">
                  <c:v>43150</c:v>
                </c:pt>
                <c:pt idx="715">
                  <c:v>43151</c:v>
                </c:pt>
                <c:pt idx="716">
                  <c:v>43152</c:v>
                </c:pt>
                <c:pt idx="717">
                  <c:v>43153</c:v>
                </c:pt>
                <c:pt idx="718">
                  <c:v>43154</c:v>
                </c:pt>
                <c:pt idx="719">
                  <c:v>43157</c:v>
                </c:pt>
                <c:pt idx="720">
                  <c:v>43158</c:v>
                </c:pt>
                <c:pt idx="721">
                  <c:v>43159</c:v>
                </c:pt>
                <c:pt idx="722">
                  <c:v>43160</c:v>
                </c:pt>
                <c:pt idx="723">
                  <c:v>43164</c:v>
                </c:pt>
                <c:pt idx="724">
                  <c:v>43165</c:v>
                </c:pt>
                <c:pt idx="725">
                  <c:v>43166</c:v>
                </c:pt>
                <c:pt idx="726">
                  <c:v>43167</c:v>
                </c:pt>
                <c:pt idx="727">
                  <c:v>43168</c:v>
                </c:pt>
                <c:pt idx="728">
                  <c:v>43171</c:v>
                </c:pt>
                <c:pt idx="729">
                  <c:v>43172</c:v>
                </c:pt>
                <c:pt idx="730">
                  <c:v>43173</c:v>
                </c:pt>
                <c:pt idx="731">
                  <c:v>43174</c:v>
                </c:pt>
                <c:pt idx="732">
                  <c:v>43175</c:v>
                </c:pt>
                <c:pt idx="733">
                  <c:v>43178</c:v>
                </c:pt>
                <c:pt idx="734">
                  <c:v>43179</c:v>
                </c:pt>
                <c:pt idx="735">
                  <c:v>43180</c:v>
                </c:pt>
                <c:pt idx="736">
                  <c:v>43181</c:v>
                </c:pt>
                <c:pt idx="737">
                  <c:v>43182</c:v>
                </c:pt>
                <c:pt idx="738">
                  <c:v>43185</c:v>
                </c:pt>
                <c:pt idx="739">
                  <c:v>43186</c:v>
                </c:pt>
                <c:pt idx="740">
                  <c:v>43187</c:v>
                </c:pt>
                <c:pt idx="741">
                  <c:v>43192</c:v>
                </c:pt>
                <c:pt idx="742">
                  <c:v>43193</c:v>
                </c:pt>
                <c:pt idx="743">
                  <c:v>43194</c:v>
                </c:pt>
                <c:pt idx="744">
                  <c:v>43195</c:v>
                </c:pt>
                <c:pt idx="745">
                  <c:v>43196</c:v>
                </c:pt>
                <c:pt idx="746">
                  <c:v>43199</c:v>
                </c:pt>
                <c:pt idx="747">
                  <c:v>43200</c:v>
                </c:pt>
                <c:pt idx="748">
                  <c:v>43201</c:v>
                </c:pt>
                <c:pt idx="749">
                  <c:v>43202</c:v>
                </c:pt>
                <c:pt idx="750">
                  <c:v>43203</c:v>
                </c:pt>
                <c:pt idx="751">
                  <c:v>43206</c:v>
                </c:pt>
                <c:pt idx="752">
                  <c:v>43207</c:v>
                </c:pt>
                <c:pt idx="753">
                  <c:v>43208</c:v>
                </c:pt>
                <c:pt idx="754">
                  <c:v>43209</c:v>
                </c:pt>
                <c:pt idx="755">
                  <c:v>43210</c:v>
                </c:pt>
                <c:pt idx="756">
                  <c:v>43213</c:v>
                </c:pt>
                <c:pt idx="757">
                  <c:v>43214</c:v>
                </c:pt>
                <c:pt idx="758">
                  <c:v>43215</c:v>
                </c:pt>
                <c:pt idx="759">
                  <c:v>43216</c:v>
                </c:pt>
                <c:pt idx="760">
                  <c:v>43217</c:v>
                </c:pt>
                <c:pt idx="761">
                  <c:v>43220</c:v>
                </c:pt>
                <c:pt idx="762">
                  <c:v>43222</c:v>
                </c:pt>
                <c:pt idx="763">
                  <c:v>43223</c:v>
                </c:pt>
                <c:pt idx="764">
                  <c:v>43224</c:v>
                </c:pt>
                <c:pt idx="765">
                  <c:v>43227</c:v>
                </c:pt>
                <c:pt idx="766">
                  <c:v>43228</c:v>
                </c:pt>
                <c:pt idx="767">
                  <c:v>43229</c:v>
                </c:pt>
                <c:pt idx="768">
                  <c:v>43230</c:v>
                </c:pt>
                <c:pt idx="769">
                  <c:v>43231</c:v>
                </c:pt>
                <c:pt idx="770">
                  <c:v>43234</c:v>
                </c:pt>
                <c:pt idx="771">
                  <c:v>43235</c:v>
                </c:pt>
                <c:pt idx="772">
                  <c:v>43236</c:v>
                </c:pt>
                <c:pt idx="773">
                  <c:v>43237</c:v>
                </c:pt>
                <c:pt idx="774">
                  <c:v>43238</c:v>
                </c:pt>
                <c:pt idx="775">
                  <c:v>43241</c:v>
                </c:pt>
                <c:pt idx="776">
                  <c:v>43242</c:v>
                </c:pt>
                <c:pt idx="777">
                  <c:v>43243</c:v>
                </c:pt>
                <c:pt idx="778">
                  <c:v>43244</c:v>
                </c:pt>
                <c:pt idx="779">
                  <c:v>43245</c:v>
                </c:pt>
                <c:pt idx="780">
                  <c:v>43248</c:v>
                </c:pt>
                <c:pt idx="781">
                  <c:v>43249</c:v>
                </c:pt>
                <c:pt idx="782">
                  <c:v>43250</c:v>
                </c:pt>
                <c:pt idx="783">
                  <c:v>43251</c:v>
                </c:pt>
                <c:pt idx="784">
                  <c:v>43252</c:v>
                </c:pt>
                <c:pt idx="785">
                  <c:v>43255</c:v>
                </c:pt>
                <c:pt idx="786">
                  <c:v>43256</c:v>
                </c:pt>
                <c:pt idx="787">
                  <c:v>43257</c:v>
                </c:pt>
                <c:pt idx="788">
                  <c:v>43258</c:v>
                </c:pt>
                <c:pt idx="789">
                  <c:v>43259</c:v>
                </c:pt>
                <c:pt idx="790">
                  <c:v>43262</c:v>
                </c:pt>
                <c:pt idx="791">
                  <c:v>43263</c:v>
                </c:pt>
                <c:pt idx="792">
                  <c:v>43264</c:v>
                </c:pt>
                <c:pt idx="793">
                  <c:v>43265</c:v>
                </c:pt>
                <c:pt idx="794">
                  <c:v>43266</c:v>
                </c:pt>
                <c:pt idx="795">
                  <c:v>43269</c:v>
                </c:pt>
                <c:pt idx="796">
                  <c:v>43270</c:v>
                </c:pt>
                <c:pt idx="797">
                  <c:v>43271</c:v>
                </c:pt>
                <c:pt idx="798">
                  <c:v>43272</c:v>
                </c:pt>
                <c:pt idx="799">
                  <c:v>43273</c:v>
                </c:pt>
                <c:pt idx="800">
                  <c:v>43276</c:v>
                </c:pt>
                <c:pt idx="801">
                  <c:v>43277</c:v>
                </c:pt>
                <c:pt idx="802">
                  <c:v>43278</c:v>
                </c:pt>
                <c:pt idx="803">
                  <c:v>43279</c:v>
                </c:pt>
                <c:pt idx="804">
                  <c:v>43280</c:v>
                </c:pt>
                <c:pt idx="805">
                  <c:v>43283</c:v>
                </c:pt>
                <c:pt idx="806">
                  <c:v>43284</c:v>
                </c:pt>
                <c:pt idx="807">
                  <c:v>43285</c:v>
                </c:pt>
                <c:pt idx="808">
                  <c:v>43286</c:v>
                </c:pt>
                <c:pt idx="809">
                  <c:v>43287</c:v>
                </c:pt>
                <c:pt idx="810">
                  <c:v>43290</c:v>
                </c:pt>
                <c:pt idx="811">
                  <c:v>43291</c:v>
                </c:pt>
                <c:pt idx="812">
                  <c:v>43292</c:v>
                </c:pt>
                <c:pt idx="813">
                  <c:v>43293</c:v>
                </c:pt>
                <c:pt idx="814">
                  <c:v>43294</c:v>
                </c:pt>
                <c:pt idx="815">
                  <c:v>43297</c:v>
                </c:pt>
                <c:pt idx="816">
                  <c:v>43298</c:v>
                </c:pt>
                <c:pt idx="817">
                  <c:v>43299</c:v>
                </c:pt>
                <c:pt idx="818">
                  <c:v>43300</c:v>
                </c:pt>
                <c:pt idx="819">
                  <c:v>43301</c:v>
                </c:pt>
                <c:pt idx="820">
                  <c:v>43304</c:v>
                </c:pt>
                <c:pt idx="821">
                  <c:v>43305</c:v>
                </c:pt>
                <c:pt idx="822">
                  <c:v>43306</c:v>
                </c:pt>
                <c:pt idx="823">
                  <c:v>43307</c:v>
                </c:pt>
                <c:pt idx="824">
                  <c:v>43308</c:v>
                </c:pt>
                <c:pt idx="825">
                  <c:v>43311</c:v>
                </c:pt>
                <c:pt idx="826">
                  <c:v>43312</c:v>
                </c:pt>
                <c:pt idx="827">
                  <c:v>43313</c:v>
                </c:pt>
                <c:pt idx="828">
                  <c:v>43314</c:v>
                </c:pt>
                <c:pt idx="829">
                  <c:v>43315</c:v>
                </c:pt>
                <c:pt idx="830">
                  <c:v>43318</c:v>
                </c:pt>
                <c:pt idx="831">
                  <c:v>43319</c:v>
                </c:pt>
                <c:pt idx="832">
                  <c:v>43320</c:v>
                </c:pt>
                <c:pt idx="833">
                  <c:v>43321</c:v>
                </c:pt>
                <c:pt idx="834">
                  <c:v>43322</c:v>
                </c:pt>
                <c:pt idx="835">
                  <c:v>43325</c:v>
                </c:pt>
                <c:pt idx="836">
                  <c:v>43326</c:v>
                </c:pt>
                <c:pt idx="837">
                  <c:v>43328</c:v>
                </c:pt>
                <c:pt idx="838">
                  <c:v>43329</c:v>
                </c:pt>
                <c:pt idx="839">
                  <c:v>43332</c:v>
                </c:pt>
                <c:pt idx="840">
                  <c:v>43333</c:v>
                </c:pt>
                <c:pt idx="841">
                  <c:v>43335</c:v>
                </c:pt>
                <c:pt idx="842">
                  <c:v>43336</c:v>
                </c:pt>
                <c:pt idx="843">
                  <c:v>43339</c:v>
                </c:pt>
                <c:pt idx="844">
                  <c:v>43340</c:v>
                </c:pt>
                <c:pt idx="845">
                  <c:v>43341</c:v>
                </c:pt>
                <c:pt idx="846">
                  <c:v>43342</c:v>
                </c:pt>
                <c:pt idx="847">
                  <c:v>43343</c:v>
                </c:pt>
                <c:pt idx="848">
                  <c:v>43346</c:v>
                </c:pt>
                <c:pt idx="849">
                  <c:v>43347</c:v>
                </c:pt>
                <c:pt idx="850">
                  <c:v>43348</c:v>
                </c:pt>
                <c:pt idx="851">
                  <c:v>43349</c:v>
                </c:pt>
                <c:pt idx="852">
                  <c:v>43350</c:v>
                </c:pt>
                <c:pt idx="853">
                  <c:v>43353</c:v>
                </c:pt>
                <c:pt idx="854">
                  <c:v>43354</c:v>
                </c:pt>
                <c:pt idx="855">
                  <c:v>43355</c:v>
                </c:pt>
                <c:pt idx="856">
                  <c:v>43357</c:v>
                </c:pt>
                <c:pt idx="857">
                  <c:v>43360</c:v>
                </c:pt>
                <c:pt idx="858">
                  <c:v>43361</c:v>
                </c:pt>
                <c:pt idx="859">
                  <c:v>43362</c:v>
                </c:pt>
                <c:pt idx="860">
                  <c:v>43364</c:v>
                </c:pt>
                <c:pt idx="861">
                  <c:v>43367</c:v>
                </c:pt>
                <c:pt idx="862">
                  <c:v>43368</c:v>
                </c:pt>
                <c:pt idx="863">
                  <c:v>43369</c:v>
                </c:pt>
                <c:pt idx="864">
                  <c:v>43370</c:v>
                </c:pt>
                <c:pt idx="865">
                  <c:v>43371</c:v>
                </c:pt>
                <c:pt idx="866">
                  <c:v>43374</c:v>
                </c:pt>
                <c:pt idx="867">
                  <c:v>43376</c:v>
                </c:pt>
                <c:pt idx="868">
                  <c:v>43377</c:v>
                </c:pt>
                <c:pt idx="869">
                  <c:v>43378</c:v>
                </c:pt>
                <c:pt idx="870">
                  <c:v>43381</c:v>
                </c:pt>
                <c:pt idx="871">
                  <c:v>43382</c:v>
                </c:pt>
                <c:pt idx="872">
                  <c:v>43383</c:v>
                </c:pt>
                <c:pt idx="873">
                  <c:v>43384</c:v>
                </c:pt>
                <c:pt idx="874">
                  <c:v>43385</c:v>
                </c:pt>
                <c:pt idx="875">
                  <c:v>43388</c:v>
                </c:pt>
                <c:pt idx="876">
                  <c:v>43389</c:v>
                </c:pt>
                <c:pt idx="877">
                  <c:v>43390</c:v>
                </c:pt>
                <c:pt idx="878">
                  <c:v>43392</c:v>
                </c:pt>
                <c:pt idx="879">
                  <c:v>43395</c:v>
                </c:pt>
                <c:pt idx="880">
                  <c:v>43396</c:v>
                </c:pt>
                <c:pt idx="881">
                  <c:v>43397</c:v>
                </c:pt>
                <c:pt idx="882">
                  <c:v>43398</c:v>
                </c:pt>
                <c:pt idx="883">
                  <c:v>43399</c:v>
                </c:pt>
                <c:pt idx="884">
                  <c:v>43402</c:v>
                </c:pt>
                <c:pt idx="885">
                  <c:v>43403</c:v>
                </c:pt>
                <c:pt idx="886">
                  <c:v>43404</c:v>
                </c:pt>
                <c:pt idx="887">
                  <c:v>43405</c:v>
                </c:pt>
                <c:pt idx="888">
                  <c:v>43406</c:v>
                </c:pt>
                <c:pt idx="889">
                  <c:v>43409</c:v>
                </c:pt>
                <c:pt idx="890">
                  <c:v>43410</c:v>
                </c:pt>
                <c:pt idx="891">
                  <c:v>43411</c:v>
                </c:pt>
                <c:pt idx="892">
                  <c:v>43413</c:v>
                </c:pt>
                <c:pt idx="893">
                  <c:v>43416</c:v>
                </c:pt>
                <c:pt idx="894">
                  <c:v>43417</c:v>
                </c:pt>
                <c:pt idx="895">
                  <c:v>43418</c:v>
                </c:pt>
                <c:pt idx="896">
                  <c:v>43419</c:v>
                </c:pt>
                <c:pt idx="897">
                  <c:v>43420</c:v>
                </c:pt>
                <c:pt idx="898">
                  <c:v>43423</c:v>
                </c:pt>
                <c:pt idx="899">
                  <c:v>43424</c:v>
                </c:pt>
                <c:pt idx="900">
                  <c:v>43425</c:v>
                </c:pt>
                <c:pt idx="901">
                  <c:v>43426</c:v>
                </c:pt>
                <c:pt idx="902">
                  <c:v>43430</c:v>
                </c:pt>
                <c:pt idx="903">
                  <c:v>43431</c:v>
                </c:pt>
                <c:pt idx="904">
                  <c:v>43432</c:v>
                </c:pt>
                <c:pt idx="905">
                  <c:v>43433</c:v>
                </c:pt>
                <c:pt idx="906">
                  <c:v>43434</c:v>
                </c:pt>
                <c:pt idx="907">
                  <c:v>43437</c:v>
                </c:pt>
                <c:pt idx="908">
                  <c:v>43438</c:v>
                </c:pt>
                <c:pt idx="909">
                  <c:v>43439</c:v>
                </c:pt>
                <c:pt idx="910">
                  <c:v>43440</c:v>
                </c:pt>
                <c:pt idx="911">
                  <c:v>43441</c:v>
                </c:pt>
                <c:pt idx="912">
                  <c:v>43444</c:v>
                </c:pt>
                <c:pt idx="913">
                  <c:v>43445</c:v>
                </c:pt>
                <c:pt idx="914">
                  <c:v>43446</c:v>
                </c:pt>
                <c:pt idx="915">
                  <c:v>43447</c:v>
                </c:pt>
                <c:pt idx="916">
                  <c:v>43448</c:v>
                </c:pt>
                <c:pt idx="917">
                  <c:v>43451</c:v>
                </c:pt>
                <c:pt idx="918">
                  <c:v>43452</c:v>
                </c:pt>
                <c:pt idx="919">
                  <c:v>43453</c:v>
                </c:pt>
                <c:pt idx="920">
                  <c:v>43454</c:v>
                </c:pt>
                <c:pt idx="921">
                  <c:v>43455</c:v>
                </c:pt>
                <c:pt idx="922">
                  <c:v>43458</c:v>
                </c:pt>
                <c:pt idx="923">
                  <c:v>43460</c:v>
                </c:pt>
                <c:pt idx="924">
                  <c:v>43461</c:v>
                </c:pt>
                <c:pt idx="925">
                  <c:v>43462</c:v>
                </c:pt>
                <c:pt idx="926">
                  <c:v>43465</c:v>
                </c:pt>
                <c:pt idx="927">
                  <c:v>43466</c:v>
                </c:pt>
                <c:pt idx="928">
                  <c:v>43467</c:v>
                </c:pt>
                <c:pt idx="929">
                  <c:v>43468</c:v>
                </c:pt>
                <c:pt idx="930">
                  <c:v>43469</c:v>
                </c:pt>
                <c:pt idx="931">
                  <c:v>43472</c:v>
                </c:pt>
                <c:pt idx="932">
                  <c:v>43473</c:v>
                </c:pt>
                <c:pt idx="933">
                  <c:v>43474</c:v>
                </c:pt>
                <c:pt idx="934">
                  <c:v>43475</c:v>
                </c:pt>
                <c:pt idx="935">
                  <c:v>43476</c:v>
                </c:pt>
                <c:pt idx="936">
                  <c:v>43479</c:v>
                </c:pt>
                <c:pt idx="937">
                  <c:v>43480</c:v>
                </c:pt>
                <c:pt idx="938">
                  <c:v>43481</c:v>
                </c:pt>
                <c:pt idx="939">
                  <c:v>43482</c:v>
                </c:pt>
                <c:pt idx="940">
                  <c:v>43483</c:v>
                </c:pt>
                <c:pt idx="941">
                  <c:v>43486</c:v>
                </c:pt>
                <c:pt idx="942">
                  <c:v>43487</c:v>
                </c:pt>
                <c:pt idx="943">
                  <c:v>43488</c:v>
                </c:pt>
                <c:pt idx="944">
                  <c:v>43489</c:v>
                </c:pt>
                <c:pt idx="945">
                  <c:v>43490</c:v>
                </c:pt>
                <c:pt idx="946">
                  <c:v>43493</c:v>
                </c:pt>
                <c:pt idx="947">
                  <c:v>43494</c:v>
                </c:pt>
                <c:pt idx="948">
                  <c:v>43495</c:v>
                </c:pt>
                <c:pt idx="949">
                  <c:v>43496</c:v>
                </c:pt>
                <c:pt idx="950">
                  <c:v>43497</c:v>
                </c:pt>
                <c:pt idx="951">
                  <c:v>43500</c:v>
                </c:pt>
                <c:pt idx="952">
                  <c:v>43501</c:v>
                </c:pt>
                <c:pt idx="953">
                  <c:v>43502</c:v>
                </c:pt>
                <c:pt idx="954">
                  <c:v>43503</c:v>
                </c:pt>
                <c:pt idx="955">
                  <c:v>43504</c:v>
                </c:pt>
                <c:pt idx="956">
                  <c:v>43507</c:v>
                </c:pt>
                <c:pt idx="957">
                  <c:v>43508</c:v>
                </c:pt>
                <c:pt idx="958">
                  <c:v>43509</c:v>
                </c:pt>
                <c:pt idx="959">
                  <c:v>43510</c:v>
                </c:pt>
                <c:pt idx="960">
                  <c:v>43511</c:v>
                </c:pt>
                <c:pt idx="961">
                  <c:v>43514</c:v>
                </c:pt>
                <c:pt idx="962">
                  <c:v>43515</c:v>
                </c:pt>
                <c:pt idx="963">
                  <c:v>43516</c:v>
                </c:pt>
                <c:pt idx="964">
                  <c:v>43517</c:v>
                </c:pt>
                <c:pt idx="965">
                  <c:v>43518</c:v>
                </c:pt>
                <c:pt idx="966">
                  <c:v>43521</c:v>
                </c:pt>
                <c:pt idx="967">
                  <c:v>43522</c:v>
                </c:pt>
                <c:pt idx="968">
                  <c:v>43523</c:v>
                </c:pt>
                <c:pt idx="969">
                  <c:v>43524</c:v>
                </c:pt>
                <c:pt idx="970">
                  <c:v>43525</c:v>
                </c:pt>
                <c:pt idx="971">
                  <c:v>43529</c:v>
                </c:pt>
                <c:pt idx="972">
                  <c:v>43530</c:v>
                </c:pt>
                <c:pt idx="973">
                  <c:v>43531</c:v>
                </c:pt>
                <c:pt idx="974">
                  <c:v>43532</c:v>
                </c:pt>
                <c:pt idx="975">
                  <c:v>43535</c:v>
                </c:pt>
                <c:pt idx="976">
                  <c:v>43536</c:v>
                </c:pt>
                <c:pt idx="977">
                  <c:v>43537</c:v>
                </c:pt>
                <c:pt idx="978">
                  <c:v>43538</c:v>
                </c:pt>
                <c:pt idx="979">
                  <c:v>43539</c:v>
                </c:pt>
                <c:pt idx="980">
                  <c:v>43542</c:v>
                </c:pt>
                <c:pt idx="981">
                  <c:v>43543</c:v>
                </c:pt>
                <c:pt idx="982">
                  <c:v>43544</c:v>
                </c:pt>
                <c:pt idx="983">
                  <c:v>43546</c:v>
                </c:pt>
                <c:pt idx="984">
                  <c:v>43549</c:v>
                </c:pt>
                <c:pt idx="985">
                  <c:v>43550</c:v>
                </c:pt>
                <c:pt idx="986">
                  <c:v>43551</c:v>
                </c:pt>
                <c:pt idx="987">
                  <c:v>43552</c:v>
                </c:pt>
                <c:pt idx="988">
                  <c:v>43553</c:v>
                </c:pt>
                <c:pt idx="989">
                  <c:v>43556</c:v>
                </c:pt>
                <c:pt idx="990">
                  <c:v>43557</c:v>
                </c:pt>
                <c:pt idx="991">
                  <c:v>43558</c:v>
                </c:pt>
                <c:pt idx="992">
                  <c:v>43559</c:v>
                </c:pt>
                <c:pt idx="993">
                  <c:v>43560</c:v>
                </c:pt>
                <c:pt idx="994">
                  <c:v>43563</c:v>
                </c:pt>
                <c:pt idx="995">
                  <c:v>43564</c:v>
                </c:pt>
                <c:pt idx="996">
                  <c:v>43565</c:v>
                </c:pt>
                <c:pt idx="997">
                  <c:v>43566</c:v>
                </c:pt>
                <c:pt idx="998">
                  <c:v>43567</c:v>
                </c:pt>
                <c:pt idx="999">
                  <c:v>43570</c:v>
                </c:pt>
                <c:pt idx="1000">
                  <c:v>43571</c:v>
                </c:pt>
                <c:pt idx="1001">
                  <c:v>43573</c:v>
                </c:pt>
                <c:pt idx="1002">
                  <c:v>43577</c:v>
                </c:pt>
                <c:pt idx="1003">
                  <c:v>43578</c:v>
                </c:pt>
                <c:pt idx="1004">
                  <c:v>43579</c:v>
                </c:pt>
                <c:pt idx="1005">
                  <c:v>43580</c:v>
                </c:pt>
                <c:pt idx="1006">
                  <c:v>43581</c:v>
                </c:pt>
                <c:pt idx="1007">
                  <c:v>43585</c:v>
                </c:pt>
                <c:pt idx="1008">
                  <c:v>43587</c:v>
                </c:pt>
                <c:pt idx="1009">
                  <c:v>43588</c:v>
                </c:pt>
                <c:pt idx="1010">
                  <c:v>43591</c:v>
                </c:pt>
                <c:pt idx="1011">
                  <c:v>43592</c:v>
                </c:pt>
                <c:pt idx="1012">
                  <c:v>43593</c:v>
                </c:pt>
                <c:pt idx="1013">
                  <c:v>43594</c:v>
                </c:pt>
                <c:pt idx="1014">
                  <c:v>43595</c:v>
                </c:pt>
                <c:pt idx="1015">
                  <c:v>43598</c:v>
                </c:pt>
                <c:pt idx="1016">
                  <c:v>43599</c:v>
                </c:pt>
                <c:pt idx="1017">
                  <c:v>43600</c:v>
                </c:pt>
                <c:pt idx="1018">
                  <c:v>43601</c:v>
                </c:pt>
                <c:pt idx="1019">
                  <c:v>43602</c:v>
                </c:pt>
                <c:pt idx="1020">
                  <c:v>43605</c:v>
                </c:pt>
                <c:pt idx="1021">
                  <c:v>43606</c:v>
                </c:pt>
                <c:pt idx="1022">
                  <c:v>43607</c:v>
                </c:pt>
                <c:pt idx="1023">
                  <c:v>43608</c:v>
                </c:pt>
                <c:pt idx="1024">
                  <c:v>43609</c:v>
                </c:pt>
                <c:pt idx="1025">
                  <c:v>43612</c:v>
                </c:pt>
                <c:pt idx="1026">
                  <c:v>43613</c:v>
                </c:pt>
                <c:pt idx="1027">
                  <c:v>43614</c:v>
                </c:pt>
                <c:pt idx="1028">
                  <c:v>43615</c:v>
                </c:pt>
                <c:pt idx="1029">
                  <c:v>43616</c:v>
                </c:pt>
                <c:pt idx="1030">
                  <c:v>43619</c:v>
                </c:pt>
                <c:pt idx="1031">
                  <c:v>43620</c:v>
                </c:pt>
                <c:pt idx="1032">
                  <c:v>43622</c:v>
                </c:pt>
                <c:pt idx="1033">
                  <c:v>43623</c:v>
                </c:pt>
                <c:pt idx="1034">
                  <c:v>43626</c:v>
                </c:pt>
                <c:pt idx="1035">
                  <c:v>43627</c:v>
                </c:pt>
                <c:pt idx="1036">
                  <c:v>43628</c:v>
                </c:pt>
                <c:pt idx="1037">
                  <c:v>43629</c:v>
                </c:pt>
                <c:pt idx="1038">
                  <c:v>43630</c:v>
                </c:pt>
                <c:pt idx="1039">
                  <c:v>43633</c:v>
                </c:pt>
                <c:pt idx="1040">
                  <c:v>43634</c:v>
                </c:pt>
                <c:pt idx="1041">
                  <c:v>43635</c:v>
                </c:pt>
                <c:pt idx="1042">
                  <c:v>43636</c:v>
                </c:pt>
                <c:pt idx="1043">
                  <c:v>43637</c:v>
                </c:pt>
                <c:pt idx="1044">
                  <c:v>43640</c:v>
                </c:pt>
                <c:pt idx="1045">
                  <c:v>43641</c:v>
                </c:pt>
                <c:pt idx="1046">
                  <c:v>43642</c:v>
                </c:pt>
                <c:pt idx="1047">
                  <c:v>43643</c:v>
                </c:pt>
                <c:pt idx="1048">
                  <c:v>43644</c:v>
                </c:pt>
                <c:pt idx="1049">
                  <c:v>43647</c:v>
                </c:pt>
                <c:pt idx="1050">
                  <c:v>43648</c:v>
                </c:pt>
                <c:pt idx="1051">
                  <c:v>43649</c:v>
                </c:pt>
                <c:pt idx="1052">
                  <c:v>43650</c:v>
                </c:pt>
                <c:pt idx="1053">
                  <c:v>43651</c:v>
                </c:pt>
                <c:pt idx="1054">
                  <c:v>43654</c:v>
                </c:pt>
                <c:pt idx="1055">
                  <c:v>43655</c:v>
                </c:pt>
                <c:pt idx="1056">
                  <c:v>43656</c:v>
                </c:pt>
                <c:pt idx="1057">
                  <c:v>43657</c:v>
                </c:pt>
                <c:pt idx="1058">
                  <c:v>43658</c:v>
                </c:pt>
                <c:pt idx="1059">
                  <c:v>43661</c:v>
                </c:pt>
                <c:pt idx="1060">
                  <c:v>43662</c:v>
                </c:pt>
                <c:pt idx="1061">
                  <c:v>43663</c:v>
                </c:pt>
                <c:pt idx="1062">
                  <c:v>43664</c:v>
                </c:pt>
                <c:pt idx="1063">
                  <c:v>43665</c:v>
                </c:pt>
                <c:pt idx="1064">
                  <c:v>43668</c:v>
                </c:pt>
                <c:pt idx="1065">
                  <c:v>43669</c:v>
                </c:pt>
                <c:pt idx="1066">
                  <c:v>43670</c:v>
                </c:pt>
                <c:pt idx="1067">
                  <c:v>43671</c:v>
                </c:pt>
                <c:pt idx="1068">
                  <c:v>43672</c:v>
                </c:pt>
                <c:pt idx="1069">
                  <c:v>43675</c:v>
                </c:pt>
                <c:pt idx="1070">
                  <c:v>43676</c:v>
                </c:pt>
                <c:pt idx="1071">
                  <c:v>43677</c:v>
                </c:pt>
                <c:pt idx="1072">
                  <c:v>43678</c:v>
                </c:pt>
                <c:pt idx="1073">
                  <c:v>43679</c:v>
                </c:pt>
                <c:pt idx="1074">
                  <c:v>43682</c:v>
                </c:pt>
                <c:pt idx="1075">
                  <c:v>43683</c:v>
                </c:pt>
                <c:pt idx="1076">
                  <c:v>43684</c:v>
                </c:pt>
                <c:pt idx="1077">
                  <c:v>43685</c:v>
                </c:pt>
                <c:pt idx="1078">
                  <c:v>43686</c:v>
                </c:pt>
                <c:pt idx="1079">
                  <c:v>43690</c:v>
                </c:pt>
                <c:pt idx="1080">
                  <c:v>43691</c:v>
                </c:pt>
                <c:pt idx="1081">
                  <c:v>43693</c:v>
                </c:pt>
                <c:pt idx="1082">
                  <c:v>43696</c:v>
                </c:pt>
                <c:pt idx="1083">
                  <c:v>43697</c:v>
                </c:pt>
                <c:pt idx="1084">
                  <c:v>43698</c:v>
                </c:pt>
                <c:pt idx="1085">
                  <c:v>43699</c:v>
                </c:pt>
                <c:pt idx="1086">
                  <c:v>43700</c:v>
                </c:pt>
                <c:pt idx="1087">
                  <c:v>43703</c:v>
                </c:pt>
                <c:pt idx="1088">
                  <c:v>43704</c:v>
                </c:pt>
                <c:pt idx="1089">
                  <c:v>43705</c:v>
                </c:pt>
                <c:pt idx="1090">
                  <c:v>43706</c:v>
                </c:pt>
                <c:pt idx="1091">
                  <c:v>43707</c:v>
                </c:pt>
                <c:pt idx="1092">
                  <c:v>43711</c:v>
                </c:pt>
                <c:pt idx="1093">
                  <c:v>43712</c:v>
                </c:pt>
                <c:pt idx="1094">
                  <c:v>43713</c:v>
                </c:pt>
                <c:pt idx="1095">
                  <c:v>43714</c:v>
                </c:pt>
                <c:pt idx="1096">
                  <c:v>43717</c:v>
                </c:pt>
                <c:pt idx="1097">
                  <c:v>43719</c:v>
                </c:pt>
                <c:pt idx="1098">
                  <c:v>43720</c:v>
                </c:pt>
                <c:pt idx="1099">
                  <c:v>43721</c:v>
                </c:pt>
                <c:pt idx="1100">
                  <c:v>43724</c:v>
                </c:pt>
                <c:pt idx="1101">
                  <c:v>43725</c:v>
                </c:pt>
                <c:pt idx="1102">
                  <c:v>43726</c:v>
                </c:pt>
                <c:pt idx="1103">
                  <c:v>43727</c:v>
                </c:pt>
                <c:pt idx="1104">
                  <c:v>43728</c:v>
                </c:pt>
                <c:pt idx="1105">
                  <c:v>43731</c:v>
                </c:pt>
                <c:pt idx="1106">
                  <c:v>43732</c:v>
                </c:pt>
                <c:pt idx="1107">
                  <c:v>43733</c:v>
                </c:pt>
                <c:pt idx="1108">
                  <c:v>43734</c:v>
                </c:pt>
                <c:pt idx="1109">
                  <c:v>43735</c:v>
                </c:pt>
                <c:pt idx="1110">
                  <c:v>43738</c:v>
                </c:pt>
                <c:pt idx="1111">
                  <c:v>43739</c:v>
                </c:pt>
                <c:pt idx="1112">
                  <c:v>43741</c:v>
                </c:pt>
                <c:pt idx="1113">
                  <c:v>43742</c:v>
                </c:pt>
                <c:pt idx="1114">
                  <c:v>43745</c:v>
                </c:pt>
                <c:pt idx="1115">
                  <c:v>43747</c:v>
                </c:pt>
                <c:pt idx="1116">
                  <c:v>43748</c:v>
                </c:pt>
                <c:pt idx="1117">
                  <c:v>43749</c:v>
                </c:pt>
                <c:pt idx="1118">
                  <c:v>43752</c:v>
                </c:pt>
                <c:pt idx="1119">
                  <c:v>43753</c:v>
                </c:pt>
                <c:pt idx="1120">
                  <c:v>43754</c:v>
                </c:pt>
                <c:pt idx="1121">
                  <c:v>43755</c:v>
                </c:pt>
                <c:pt idx="1122">
                  <c:v>43756</c:v>
                </c:pt>
                <c:pt idx="1123">
                  <c:v>43760</c:v>
                </c:pt>
                <c:pt idx="1124">
                  <c:v>43761</c:v>
                </c:pt>
                <c:pt idx="1125">
                  <c:v>43762</c:v>
                </c:pt>
                <c:pt idx="1126">
                  <c:v>43763</c:v>
                </c:pt>
                <c:pt idx="1127">
                  <c:v>43765</c:v>
                </c:pt>
                <c:pt idx="1128">
                  <c:v>43767</c:v>
                </c:pt>
                <c:pt idx="1129">
                  <c:v>43768</c:v>
                </c:pt>
                <c:pt idx="1130">
                  <c:v>43769</c:v>
                </c:pt>
                <c:pt idx="1131">
                  <c:v>43770</c:v>
                </c:pt>
                <c:pt idx="1132">
                  <c:v>43773</c:v>
                </c:pt>
                <c:pt idx="1133">
                  <c:v>43774</c:v>
                </c:pt>
                <c:pt idx="1134">
                  <c:v>43775</c:v>
                </c:pt>
                <c:pt idx="1135">
                  <c:v>43776</c:v>
                </c:pt>
                <c:pt idx="1136">
                  <c:v>43777</c:v>
                </c:pt>
                <c:pt idx="1137">
                  <c:v>43780</c:v>
                </c:pt>
                <c:pt idx="1138">
                  <c:v>43782</c:v>
                </c:pt>
                <c:pt idx="1139">
                  <c:v>43783</c:v>
                </c:pt>
                <c:pt idx="1140">
                  <c:v>43784</c:v>
                </c:pt>
                <c:pt idx="1141">
                  <c:v>43787</c:v>
                </c:pt>
                <c:pt idx="1142">
                  <c:v>43788</c:v>
                </c:pt>
                <c:pt idx="1143">
                  <c:v>43789</c:v>
                </c:pt>
                <c:pt idx="1144">
                  <c:v>43790</c:v>
                </c:pt>
                <c:pt idx="1145">
                  <c:v>43791</c:v>
                </c:pt>
                <c:pt idx="1146">
                  <c:v>43794</c:v>
                </c:pt>
                <c:pt idx="1147">
                  <c:v>43795</c:v>
                </c:pt>
                <c:pt idx="1148">
                  <c:v>43796</c:v>
                </c:pt>
                <c:pt idx="1149">
                  <c:v>43797</c:v>
                </c:pt>
                <c:pt idx="1150">
                  <c:v>43798</c:v>
                </c:pt>
                <c:pt idx="1151">
                  <c:v>43801</c:v>
                </c:pt>
                <c:pt idx="1152">
                  <c:v>43802</c:v>
                </c:pt>
                <c:pt idx="1153">
                  <c:v>43803</c:v>
                </c:pt>
                <c:pt idx="1154">
                  <c:v>43804</c:v>
                </c:pt>
                <c:pt idx="1155">
                  <c:v>43805</c:v>
                </c:pt>
                <c:pt idx="1156">
                  <c:v>43808</c:v>
                </c:pt>
                <c:pt idx="1157">
                  <c:v>43809</c:v>
                </c:pt>
                <c:pt idx="1158">
                  <c:v>43810</c:v>
                </c:pt>
                <c:pt idx="1159">
                  <c:v>43811</c:v>
                </c:pt>
                <c:pt idx="1160">
                  <c:v>43812</c:v>
                </c:pt>
                <c:pt idx="1161">
                  <c:v>43815</c:v>
                </c:pt>
                <c:pt idx="1162">
                  <c:v>43816</c:v>
                </c:pt>
                <c:pt idx="1163">
                  <c:v>43817</c:v>
                </c:pt>
                <c:pt idx="1164">
                  <c:v>43818</c:v>
                </c:pt>
                <c:pt idx="1165">
                  <c:v>43819</c:v>
                </c:pt>
                <c:pt idx="1166">
                  <c:v>43822</c:v>
                </c:pt>
                <c:pt idx="1167">
                  <c:v>43823</c:v>
                </c:pt>
                <c:pt idx="1168">
                  <c:v>43825</c:v>
                </c:pt>
                <c:pt idx="1169">
                  <c:v>43826</c:v>
                </c:pt>
                <c:pt idx="1170">
                  <c:v>43829</c:v>
                </c:pt>
                <c:pt idx="1171">
                  <c:v>43830</c:v>
                </c:pt>
                <c:pt idx="1172">
                  <c:v>43831</c:v>
                </c:pt>
                <c:pt idx="1173">
                  <c:v>43832</c:v>
                </c:pt>
                <c:pt idx="1174">
                  <c:v>43833</c:v>
                </c:pt>
                <c:pt idx="1175">
                  <c:v>43836</c:v>
                </c:pt>
                <c:pt idx="1176">
                  <c:v>43837</c:v>
                </c:pt>
                <c:pt idx="1177">
                  <c:v>43838</c:v>
                </c:pt>
                <c:pt idx="1178">
                  <c:v>43839</c:v>
                </c:pt>
                <c:pt idx="1179">
                  <c:v>43840</c:v>
                </c:pt>
                <c:pt idx="1180">
                  <c:v>43843</c:v>
                </c:pt>
                <c:pt idx="1181">
                  <c:v>43844</c:v>
                </c:pt>
                <c:pt idx="1182">
                  <c:v>43845</c:v>
                </c:pt>
                <c:pt idx="1183">
                  <c:v>43846</c:v>
                </c:pt>
                <c:pt idx="1184">
                  <c:v>43847</c:v>
                </c:pt>
                <c:pt idx="1185">
                  <c:v>43850</c:v>
                </c:pt>
                <c:pt idx="1186">
                  <c:v>43851</c:v>
                </c:pt>
                <c:pt idx="1187">
                  <c:v>43852</c:v>
                </c:pt>
                <c:pt idx="1188">
                  <c:v>43853</c:v>
                </c:pt>
                <c:pt idx="1189">
                  <c:v>43854</c:v>
                </c:pt>
                <c:pt idx="1190">
                  <c:v>43857</c:v>
                </c:pt>
                <c:pt idx="1191">
                  <c:v>43858</c:v>
                </c:pt>
                <c:pt idx="1192">
                  <c:v>43859</c:v>
                </c:pt>
                <c:pt idx="1193">
                  <c:v>43860</c:v>
                </c:pt>
                <c:pt idx="1194">
                  <c:v>43861</c:v>
                </c:pt>
                <c:pt idx="1195">
                  <c:v>43862</c:v>
                </c:pt>
                <c:pt idx="1196">
                  <c:v>43864</c:v>
                </c:pt>
                <c:pt idx="1197">
                  <c:v>43865</c:v>
                </c:pt>
                <c:pt idx="1198">
                  <c:v>43866</c:v>
                </c:pt>
                <c:pt idx="1199">
                  <c:v>43867</c:v>
                </c:pt>
                <c:pt idx="1200">
                  <c:v>43868</c:v>
                </c:pt>
                <c:pt idx="1201">
                  <c:v>43871</c:v>
                </c:pt>
                <c:pt idx="1202">
                  <c:v>43872</c:v>
                </c:pt>
                <c:pt idx="1203">
                  <c:v>43873</c:v>
                </c:pt>
                <c:pt idx="1204">
                  <c:v>43874</c:v>
                </c:pt>
                <c:pt idx="1205">
                  <c:v>43875</c:v>
                </c:pt>
                <c:pt idx="1206">
                  <c:v>43878</c:v>
                </c:pt>
                <c:pt idx="1207">
                  <c:v>43879</c:v>
                </c:pt>
                <c:pt idx="1208">
                  <c:v>43880</c:v>
                </c:pt>
                <c:pt idx="1209">
                  <c:v>43881</c:v>
                </c:pt>
                <c:pt idx="1210">
                  <c:v>43885</c:v>
                </c:pt>
                <c:pt idx="1211">
                  <c:v>43886</c:v>
                </c:pt>
                <c:pt idx="1212">
                  <c:v>43887</c:v>
                </c:pt>
                <c:pt idx="1213">
                  <c:v>43888</c:v>
                </c:pt>
                <c:pt idx="1214">
                  <c:v>43889</c:v>
                </c:pt>
                <c:pt idx="1215">
                  <c:v>43892</c:v>
                </c:pt>
                <c:pt idx="1216">
                  <c:v>43893</c:v>
                </c:pt>
                <c:pt idx="1217">
                  <c:v>43894</c:v>
                </c:pt>
                <c:pt idx="1218">
                  <c:v>43895</c:v>
                </c:pt>
                <c:pt idx="1219">
                  <c:v>43896</c:v>
                </c:pt>
                <c:pt idx="1220">
                  <c:v>43899</c:v>
                </c:pt>
                <c:pt idx="1221">
                  <c:v>43901</c:v>
                </c:pt>
                <c:pt idx="1222">
                  <c:v>43902</c:v>
                </c:pt>
                <c:pt idx="1223">
                  <c:v>43903</c:v>
                </c:pt>
                <c:pt idx="1224">
                  <c:v>43906</c:v>
                </c:pt>
                <c:pt idx="1225">
                  <c:v>43907</c:v>
                </c:pt>
                <c:pt idx="1226">
                  <c:v>43908</c:v>
                </c:pt>
                <c:pt idx="1227">
                  <c:v>43909</c:v>
                </c:pt>
                <c:pt idx="1228">
                  <c:v>43910</c:v>
                </c:pt>
                <c:pt idx="1229">
                  <c:v>43913</c:v>
                </c:pt>
                <c:pt idx="1230">
                  <c:v>43914</c:v>
                </c:pt>
                <c:pt idx="1231">
                  <c:v>43915</c:v>
                </c:pt>
                <c:pt idx="1232">
                  <c:v>43916</c:v>
                </c:pt>
                <c:pt idx="1233">
                  <c:v>43917</c:v>
                </c:pt>
                <c:pt idx="1234">
                  <c:v>43920</c:v>
                </c:pt>
                <c:pt idx="1235">
                  <c:v>43921</c:v>
                </c:pt>
                <c:pt idx="1236">
                  <c:v>43922</c:v>
                </c:pt>
                <c:pt idx="1237">
                  <c:v>43924</c:v>
                </c:pt>
                <c:pt idx="1238">
                  <c:v>43928</c:v>
                </c:pt>
                <c:pt idx="1239">
                  <c:v>43929</c:v>
                </c:pt>
                <c:pt idx="1240">
                  <c:v>43930</c:v>
                </c:pt>
                <c:pt idx="1241">
                  <c:v>43934</c:v>
                </c:pt>
                <c:pt idx="1242">
                  <c:v>43936</c:v>
                </c:pt>
                <c:pt idx="1243">
                  <c:v>43937</c:v>
                </c:pt>
                <c:pt idx="1244">
                  <c:v>43938</c:v>
                </c:pt>
                <c:pt idx="1245">
                  <c:v>43941</c:v>
                </c:pt>
                <c:pt idx="1246">
                  <c:v>43942</c:v>
                </c:pt>
                <c:pt idx="1247">
                  <c:v>43943</c:v>
                </c:pt>
                <c:pt idx="1248">
                  <c:v>43944</c:v>
                </c:pt>
                <c:pt idx="1249">
                  <c:v>43945</c:v>
                </c:pt>
                <c:pt idx="1250">
                  <c:v>43948</c:v>
                </c:pt>
                <c:pt idx="1251">
                  <c:v>43949</c:v>
                </c:pt>
                <c:pt idx="1252">
                  <c:v>43950</c:v>
                </c:pt>
                <c:pt idx="1253">
                  <c:v>43951</c:v>
                </c:pt>
                <c:pt idx="1254">
                  <c:v>43955</c:v>
                </c:pt>
                <c:pt idx="1255">
                  <c:v>43956</c:v>
                </c:pt>
                <c:pt idx="1256">
                  <c:v>43957</c:v>
                </c:pt>
                <c:pt idx="1257">
                  <c:v>43958</c:v>
                </c:pt>
                <c:pt idx="1258">
                  <c:v>43959</c:v>
                </c:pt>
                <c:pt idx="1259">
                  <c:v>43962</c:v>
                </c:pt>
                <c:pt idx="1260">
                  <c:v>43963</c:v>
                </c:pt>
                <c:pt idx="1261">
                  <c:v>43964</c:v>
                </c:pt>
                <c:pt idx="1262">
                  <c:v>43965</c:v>
                </c:pt>
                <c:pt idx="1263">
                  <c:v>43966</c:v>
                </c:pt>
                <c:pt idx="1264">
                  <c:v>43969</c:v>
                </c:pt>
                <c:pt idx="1265">
                  <c:v>43970</c:v>
                </c:pt>
                <c:pt idx="1266">
                  <c:v>43971</c:v>
                </c:pt>
                <c:pt idx="1267">
                  <c:v>43972</c:v>
                </c:pt>
                <c:pt idx="1268">
                  <c:v>43973</c:v>
                </c:pt>
                <c:pt idx="1269">
                  <c:v>43977</c:v>
                </c:pt>
                <c:pt idx="1270">
                  <c:v>43978</c:v>
                </c:pt>
                <c:pt idx="1271">
                  <c:v>43979</c:v>
                </c:pt>
                <c:pt idx="1272">
                  <c:v>43980</c:v>
                </c:pt>
                <c:pt idx="1273">
                  <c:v>43983</c:v>
                </c:pt>
                <c:pt idx="1274">
                  <c:v>43984</c:v>
                </c:pt>
                <c:pt idx="1275">
                  <c:v>43985</c:v>
                </c:pt>
                <c:pt idx="1276">
                  <c:v>43986</c:v>
                </c:pt>
                <c:pt idx="1277">
                  <c:v>43987</c:v>
                </c:pt>
                <c:pt idx="1278">
                  <c:v>43990</c:v>
                </c:pt>
                <c:pt idx="1279">
                  <c:v>43991</c:v>
                </c:pt>
                <c:pt idx="1280">
                  <c:v>43992</c:v>
                </c:pt>
                <c:pt idx="1281">
                  <c:v>43993</c:v>
                </c:pt>
                <c:pt idx="1282">
                  <c:v>43994</c:v>
                </c:pt>
                <c:pt idx="1283">
                  <c:v>43997</c:v>
                </c:pt>
                <c:pt idx="1284">
                  <c:v>43998</c:v>
                </c:pt>
                <c:pt idx="1285">
                  <c:v>43999</c:v>
                </c:pt>
                <c:pt idx="1286">
                  <c:v>44000</c:v>
                </c:pt>
                <c:pt idx="1287">
                  <c:v>44001</c:v>
                </c:pt>
                <c:pt idx="1288">
                  <c:v>44004</c:v>
                </c:pt>
                <c:pt idx="1289">
                  <c:v>44005</c:v>
                </c:pt>
                <c:pt idx="1290">
                  <c:v>44006</c:v>
                </c:pt>
                <c:pt idx="1291">
                  <c:v>44007</c:v>
                </c:pt>
                <c:pt idx="1292">
                  <c:v>44008</c:v>
                </c:pt>
                <c:pt idx="1293">
                  <c:v>44011</c:v>
                </c:pt>
                <c:pt idx="1294">
                  <c:v>44012</c:v>
                </c:pt>
                <c:pt idx="1295">
                  <c:v>44013</c:v>
                </c:pt>
                <c:pt idx="1296">
                  <c:v>44014</c:v>
                </c:pt>
                <c:pt idx="1297">
                  <c:v>44015</c:v>
                </c:pt>
                <c:pt idx="1298">
                  <c:v>44018</c:v>
                </c:pt>
                <c:pt idx="1299">
                  <c:v>44019</c:v>
                </c:pt>
                <c:pt idx="1300">
                  <c:v>44020</c:v>
                </c:pt>
                <c:pt idx="1301">
                  <c:v>44021</c:v>
                </c:pt>
                <c:pt idx="1302">
                  <c:v>44022</c:v>
                </c:pt>
                <c:pt idx="1303">
                  <c:v>44025</c:v>
                </c:pt>
                <c:pt idx="1304">
                  <c:v>44026</c:v>
                </c:pt>
                <c:pt idx="1305">
                  <c:v>44027</c:v>
                </c:pt>
                <c:pt idx="1306">
                  <c:v>44028</c:v>
                </c:pt>
                <c:pt idx="1307">
                  <c:v>44029</c:v>
                </c:pt>
                <c:pt idx="1308">
                  <c:v>44032</c:v>
                </c:pt>
                <c:pt idx="1309">
                  <c:v>44033</c:v>
                </c:pt>
                <c:pt idx="1310">
                  <c:v>44034</c:v>
                </c:pt>
                <c:pt idx="1311">
                  <c:v>44035</c:v>
                </c:pt>
                <c:pt idx="1312">
                  <c:v>44036</c:v>
                </c:pt>
                <c:pt idx="1313">
                  <c:v>44039</c:v>
                </c:pt>
                <c:pt idx="1314">
                  <c:v>44040</c:v>
                </c:pt>
                <c:pt idx="1315">
                  <c:v>44041</c:v>
                </c:pt>
                <c:pt idx="1316">
                  <c:v>44042</c:v>
                </c:pt>
                <c:pt idx="1317">
                  <c:v>44043</c:v>
                </c:pt>
                <c:pt idx="1318">
                  <c:v>44046</c:v>
                </c:pt>
                <c:pt idx="1319">
                  <c:v>44047</c:v>
                </c:pt>
                <c:pt idx="1320">
                  <c:v>44048</c:v>
                </c:pt>
                <c:pt idx="1321">
                  <c:v>44049</c:v>
                </c:pt>
                <c:pt idx="1322">
                  <c:v>44050</c:v>
                </c:pt>
                <c:pt idx="1323">
                  <c:v>44053</c:v>
                </c:pt>
                <c:pt idx="1324">
                  <c:v>44054</c:v>
                </c:pt>
                <c:pt idx="1325">
                  <c:v>44055</c:v>
                </c:pt>
                <c:pt idx="1326">
                  <c:v>44056</c:v>
                </c:pt>
                <c:pt idx="1327">
                  <c:v>44057</c:v>
                </c:pt>
                <c:pt idx="1328">
                  <c:v>44060</c:v>
                </c:pt>
                <c:pt idx="1329">
                  <c:v>44061</c:v>
                </c:pt>
                <c:pt idx="1330">
                  <c:v>44062</c:v>
                </c:pt>
                <c:pt idx="1331">
                  <c:v>44063</c:v>
                </c:pt>
                <c:pt idx="1332">
                  <c:v>44064</c:v>
                </c:pt>
                <c:pt idx="1333">
                  <c:v>44067</c:v>
                </c:pt>
                <c:pt idx="1334">
                  <c:v>44068</c:v>
                </c:pt>
                <c:pt idx="1335">
                  <c:v>44069</c:v>
                </c:pt>
                <c:pt idx="1336">
                  <c:v>44070</c:v>
                </c:pt>
                <c:pt idx="1337">
                  <c:v>44071</c:v>
                </c:pt>
                <c:pt idx="1338">
                  <c:v>44074</c:v>
                </c:pt>
                <c:pt idx="1339">
                  <c:v>44075</c:v>
                </c:pt>
                <c:pt idx="1340">
                  <c:v>44076</c:v>
                </c:pt>
                <c:pt idx="1341">
                  <c:v>44077</c:v>
                </c:pt>
                <c:pt idx="1342">
                  <c:v>44078</c:v>
                </c:pt>
                <c:pt idx="1343">
                  <c:v>44081</c:v>
                </c:pt>
                <c:pt idx="1344">
                  <c:v>44082</c:v>
                </c:pt>
                <c:pt idx="1345">
                  <c:v>44083</c:v>
                </c:pt>
                <c:pt idx="1346">
                  <c:v>44084</c:v>
                </c:pt>
                <c:pt idx="1347">
                  <c:v>44085</c:v>
                </c:pt>
                <c:pt idx="1348">
                  <c:v>44088</c:v>
                </c:pt>
                <c:pt idx="1349">
                  <c:v>44089</c:v>
                </c:pt>
                <c:pt idx="1350">
                  <c:v>44090</c:v>
                </c:pt>
                <c:pt idx="1351">
                  <c:v>44091</c:v>
                </c:pt>
                <c:pt idx="1352">
                  <c:v>44092</c:v>
                </c:pt>
                <c:pt idx="1353">
                  <c:v>44095</c:v>
                </c:pt>
                <c:pt idx="1354">
                  <c:v>44096</c:v>
                </c:pt>
                <c:pt idx="1355">
                  <c:v>44097</c:v>
                </c:pt>
                <c:pt idx="1356">
                  <c:v>44098</c:v>
                </c:pt>
                <c:pt idx="1357">
                  <c:v>44099</c:v>
                </c:pt>
                <c:pt idx="1358">
                  <c:v>44102</c:v>
                </c:pt>
                <c:pt idx="1359">
                  <c:v>44103</c:v>
                </c:pt>
                <c:pt idx="1360">
                  <c:v>44104</c:v>
                </c:pt>
                <c:pt idx="1361">
                  <c:v>44105</c:v>
                </c:pt>
                <c:pt idx="1362">
                  <c:v>44109</c:v>
                </c:pt>
                <c:pt idx="1363">
                  <c:v>44110</c:v>
                </c:pt>
                <c:pt idx="1364">
                  <c:v>44111</c:v>
                </c:pt>
                <c:pt idx="1365">
                  <c:v>44112</c:v>
                </c:pt>
                <c:pt idx="1366">
                  <c:v>44113</c:v>
                </c:pt>
                <c:pt idx="1367">
                  <c:v>44116</c:v>
                </c:pt>
                <c:pt idx="1368">
                  <c:v>44117</c:v>
                </c:pt>
                <c:pt idx="1369">
                  <c:v>44118</c:v>
                </c:pt>
                <c:pt idx="1370">
                  <c:v>44119</c:v>
                </c:pt>
                <c:pt idx="1371">
                  <c:v>44120</c:v>
                </c:pt>
                <c:pt idx="1372">
                  <c:v>44123</c:v>
                </c:pt>
                <c:pt idx="1373">
                  <c:v>44124</c:v>
                </c:pt>
                <c:pt idx="1374">
                  <c:v>44125</c:v>
                </c:pt>
                <c:pt idx="1375">
                  <c:v>44126</c:v>
                </c:pt>
                <c:pt idx="1376">
                  <c:v>44127</c:v>
                </c:pt>
                <c:pt idx="1377">
                  <c:v>44130</c:v>
                </c:pt>
                <c:pt idx="1378">
                  <c:v>44131</c:v>
                </c:pt>
                <c:pt idx="1379">
                  <c:v>44132</c:v>
                </c:pt>
                <c:pt idx="1380">
                  <c:v>44133</c:v>
                </c:pt>
                <c:pt idx="1381">
                  <c:v>44134</c:v>
                </c:pt>
                <c:pt idx="1382">
                  <c:v>44137</c:v>
                </c:pt>
                <c:pt idx="1383">
                  <c:v>44138</c:v>
                </c:pt>
                <c:pt idx="1384">
                  <c:v>44139</c:v>
                </c:pt>
                <c:pt idx="1385">
                  <c:v>44140</c:v>
                </c:pt>
                <c:pt idx="1386">
                  <c:v>44141</c:v>
                </c:pt>
                <c:pt idx="1387">
                  <c:v>44144</c:v>
                </c:pt>
                <c:pt idx="1388">
                  <c:v>44145</c:v>
                </c:pt>
                <c:pt idx="1389">
                  <c:v>44146</c:v>
                </c:pt>
                <c:pt idx="1390">
                  <c:v>44147</c:v>
                </c:pt>
                <c:pt idx="1391">
                  <c:v>44148</c:v>
                </c:pt>
                <c:pt idx="1392">
                  <c:v>44149</c:v>
                </c:pt>
                <c:pt idx="1393">
                  <c:v>44152</c:v>
                </c:pt>
                <c:pt idx="1394">
                  <c:v>44153</c:v>
                </c:pt>
                <c:pt idx="1395">
                  <c:v>44154</c:v>
                </c:pt>
                <c:pt idx="1396">
                  <c:v>44155</c:v>
                </c:pt>
                <c:pt idx="1397">
                  <c:v>44158</c:v>
                </c:pt>
                <c:pt idx="1398">
                  <c:v>44159</c:v>
                </c:pt>
                <c:pt idx="1399">
                  <c:v>44160</c:v>
                </c:pt>
                <c:pt idx="1400">
                  <c:v>44161</c:v>
                </c:pt>
                <c:pt idx="1401">
                  <c:v>44162</c:v>
                </c:pt>
                <c:pt idx="1402">
                  <c:v>44166</c:v>
                </c:pt>
                <c:pt idx="1403">
                  <c:v>44167</c:v>
                </c:pt>
                <c:pt idx="1404">
                  <c:v>44168</c:v>
                </c:pt>
                <c:pt idx="1405">
                  <c:v>44169</c:v>
                </c:pt>
                <c:pt idx="1406">
                  <c:v>44172</c:v>
                </c:pt>
                <c:pt idx="1407">
                  <c:v>44173</c:v>
                </c:pt>
                <c:pt idx="1408">
                  <c:v>44174</c:v>
                </c:pt>
                <c:pt idx="1409">
                  <c:v>44175</c:v>
                </c:pt>
                <c:pt idx="1410">
                  <c:v>44176</c:v>
                </c:pt>
                <c:pt idx="1411">
                  <c:v>44179</c:v>
                </c:pt>
                <c:pt idx="1412">
                  <c:v>44180</c:v>
                </c:pt>
                <c:pt idx="1413">
                  <c:v>44181</c:v>
                </c:pt>
                <c:pt idx="1414">
                  <c:v>44182</c:v>
                </c:pt>
                <c:pt idx="1415">
                  <c:v>44183</c:v>
                </c:pt>
                <c:pt idx="1416">
                  <c:v>44186</c:v>
                </c:pt>
                <c:pt idx="1417">
                  <c:v>44187</c:v>
                </c:pt>
                <c:pt idx="1418">
                  <c:v>44188</c:v>
                </c:pt>
                <c:pt idx="1419">
                  <c:v>44189</c:v>
                </c:pt>
                <c:pt idx="1420">
                  <c:v>44193</c:v>
                </c:pt>
                <c:pt idx="1421">
                  <c:v>44194</c:v>
                </c:pt>
                <c:pt idx="1422">
                  <c:v>44195</c:v>
                </c:pt>
                <c:pt idx="1423">
                  <c:v>44196</c:v>
                </c:pt>
                <c:pt idx="1424">
                  <c:v>44197</c:v>
                </c:pt>
                <c:pt idx="1425">
                  <c:v>44200</c:v>
                </c:pt>
                <c:pt idx="1426">
                  <c:v>44201</c:v>
                </c:pt>
                <c:pt idx="1427">
                  <c:v>44202</c:v>
                </c:pt>
                <c:pt idx="1428">
                  <c:v>44203</c:v>
                </c:pt>
                <c:pt idx="1429">
                  <c:v>44204</c:v>
                </c:pt>
                <c:pt idx="1430">
                  <c:v>44207</c:v>
                </c:pt>
                <c:pt idx="1431">
                  <c:v>44208</c:v>
                </c:pt>
                <c:pt idx="1432">
                  <c:v>44209</c:v>
                </c:pt>
                <c:pt idx="1433">
                  <c:v>44210</c:v>
                </c:pt>
                <c:pt idx="1434">
                  <c:v>44211</c:v>
                </c:pt>
                <c:pt idx="1435">
                  <c:v>44214</c:v>
                </c:pt>
                <c:pt idx="1436">
                  <c:v>44215</c:v>
                </c:pt>
                <c:pt idx="1437">
                  <c:v>44216</c:v>
                </c:pt>
                <c:pt idx="1438">
                  <c:v>44217</c:v>
                </c:pt>
                <c:pt idx="1439">
                  <c:v>44218</c:v>
                </c:pt>
                <c:pt idx="1440">
                  <c:v>44221</c:v>
                </c:pt>
                <c:pt idx="1441">
                  <c:v>44223</c:v>
                </c:pt>
                <c:pt idx="1442">
                  <c:v>44224</c:v>
                </c:pt>
                <c:pt idx="1443">
                  <c:v>44225</c:v>
                </c:pt>
                <c:pt idx="1444">
                  <c:v>44228</c:v>
                </c:pt>
                <c:pt idx="1445">
                  <c:v>44229</c:v>
                </c:pt>
                <c:pt idx="1446">
                  <c:v>44230</c:v>
                </c:pt>
                <c:pt idx="1447">
                  <c:v>44231</c:v>
                </c:pt>
                <c:pt idx="1448">
                  <c:v>44232</c:v>
                </c:pt>
                <c:pt idx="1449">
                  <c:v>44235</c:v>
                </c:pt>
                <c:pt idx="1450">
                  <c:v>44236</c:v>
                </c:pt>
                <c:pt idx="1451">
                  <c:v>44237</c:v>
                </c:pt>
                <c:pt idx="1452">
                  <c:v>44238</c:v>
                </c:pt>
                <c:pt idx="1453">
                  <c:v>44239</c:v>
                </c:pt>
                <c:pt idx="1454">
                  <c:v>44242</c:v>
                </c:pt>
                <c:pt idx="1455">
                  <c:v>44243</c:v>
                </c:pt>
                <c:pt idx="1456">
                  <c:v>44244</c:v>
                </c:pt>
                <c:pt idx="1457">
                  <c:v>44245</c:v>
                </c:pt>
                <c:pt idx="1458">
                  <c:v>44246</c:v>
                </c:pt>
                <c:pt idx="1459">
                  <c:v>44249</c:v>
                </c:pt>
                <c:pt idx="1460">
                  <c:v>44250</c:v>
                </c:pt>
                <c:pt idx="1461">
                  <c:v>44251</c:v>
                </c:pt>
                <c:pt idx="1462">
                  <c:v>44252</c:v>
                </c:pt>
                <c:pt idx="1463">
                  <c:v>44253</c:v>
                </c:pt>
                <c:pt idx="1464">
                  <c:v>44256</c:v>
                </c:pt>
                <c:pt idx="1465">
                  <c:v>44257</c:v>
                </c:pt>
                <c:pt idx="1466">
                  <c:v>44258</c:v>
                </c:pt>
                <c:pt idx="1467">
                  <c:v>44259</c:v>
                </c:pt>
                <c:pt idx="1468">
                  <c:v>44260</c:v>
                </c:pt>
                <c:pt idx="1469">
                  <c:v>44263</c:v>
                </c:pt>
                <c:pt idx="1470">
                  <c:v>44264</c:v>
                </c:pt>
                <c:pt idx="1471">
                  <c:v>44265</c:v>
                </c:pt>
                <c:pt idx="1472">
                  <c:v>44267</c:v>
                </c:pt>
                <c:pt idx="1473">
                  <c:v>44270</c:v>
                </c:pt>
                <c:pt idx="1474">
                  <c:v>44271</c:v>
                </c:pt>
                <c:pt idx="1475">
                  <c:v>44272</c:v>
                </c:pt>
                <c:pt idx="1476">
                  <c:v>44273</c:v>
                </c:pt>
                <c:pt idx="1477">
                  <c:v>44274</c:v>
                </c:pt>
                <c:pt idx="1478">
                  <c:v>44277</c:v>
                </c:pt>
                <c:pt idx="1479">
                  <c:v>44278</c:v>
                </c:pt>
                <c:pt idx="1480">
                  <c:v>44279</c:v>
                </c:pt>
                <c:pt idx="1481">
                  <c:v>44280</c:v>
                </c:pt>
                <c:pt idx="1482">
                  <c:v>44281</c:v>
                </c:pt>
                <c:pt idx="1483">
                  <c:v>44285</c:v>
                </c:pt>
                <c:pt idx="1484">
                  <c:v>44286</c:v>
                </c:pt>
                <c:pt idx="1485">
                  <c:v>44287</c:v>
                </c:pt>
                <c:pt idx="1486">
                  <c:v>44291</c:v>
                </c:pt>
                <c:pt idx="1487">
                  <c:v>44292</c:v>
                </c:pt>
                <c:pt idx="1488">
                  <c:v>44293</c:v>
                </c:pt>
                <c:pt idx="1489">
                  <c:v>44294</c:v>
                </c:pt>
                <c:pt idx="1490">
                  <c:v>44295</c:v>
                </c:pt>
                <c:pt idx="1491">
                  <c:v>44298</c:v>
                </c:pt>
                <c:pt idx="1492">
                  <c:v>44299</c:v>
                </c:pt>
                <c:pt idx="1493">
                  <c:v>44301</c:v>
                </c:pt>
                <c:pt idx="1494">
                  <c:v>44302</c:v>
                </c:pt>
                <c:pt idx="1495">
                  <c:v>44305</c:v>
                </c:pt>
                <c:pt idx="1496">
                  <c:v>44306</c:v>
                </c:pt>
                <c:pt idx="1497">
                  <c:v>44308</c:v>
                </c:pt>
                <c:pt idx="1498">
                  <c:v>44309</c:v>
                </c:pt>
                <c:pt idx="1499">
                  <c:v>44312</c:v>
                </c:pt>
                <c:pt idx="1500">
                  <c:v>44313</c:v>
                </c:pt>
                <c:pt idx="1501">
                  <c:v>44314</c:v>
                </c:pt>
                <c:pt idx="1502">
                  <c:v>44315</c:v>
                </c:pt>
                <c:pt idx="1503">
                  <c:v>44316</c:v>
                </c:pt>
                <c:pt idx="1504">
                  <c:v>44319</c:v>
                </c:pt>
                <c:pt idx="1505">
                  <c:v>44320</c:v>
                </c:pt>
                <c:pt idx="1506">
                  <c:v>44321</c:v>
                </c:pt>
                <c:pt idx="1507">
                  <c:v>44322</c:v>
                </c:pt>
                <c:pt idx="1508">
                  <c:v>44323</c:v>
                </c:pt>
                <c:pt idx="1509">
                  <c:v>44326</c:v>
                </c:pt>
                <c:pt idx="1510">
                  <c:v>44327</c:v>
                </c:pt>
                <c:pt idx="1511">
                  <c:v>44328</c:v>
                </c:pt>
                <c:pt idx="1512">
                  <c:v>44330</c:v>
                </c:pt>
                <c:pt idx="1513">
                  <c:v>44333</c:v>
                </c:pt>
                <c:pt idx="1514">
                  <c:v>44334</c:v>
                </c:pt>
                <c:pt idx="1515">
                  <c:v>44335</c:v>
                </c:pt>
                <c:pt idx="1516">
                  <c:v>44336</c:v>
                </c:pt>
                <c:pt idx="1517">
                  <c:v>44337</c:v>
                </c:pt>
                <c:pt idx="1518">
                  <c:v>44340</c:v>
                </c:pt>
                <c:pt idx="1519">
                  <c:v>44341</c:v>
                </c:pt>
                <c:pt idx="1520">
                  <c:v>44342</c:v>
                </c:pt>
                <c:pt idx="1521">
                  <c:v>44343</c:v>
                </c:pt>
                <c:pt idx="1522">
                  <c:v>44344</c:v>
                </c:pt>
                <c:pt idx="1523">
                  <c:v>44347</c:v>
                </c:pt>
                <c:pt idx="1524">
                  <c:v>44348</c:v>
                </c:pt>
                <c:pt idx="1525">
                  <c:v>44349</c:v>
                </c:pt>
                <c:pt idx="1526">
                  <c:v>44350</c:v>
                </c:pt>
                <c:pt idx="1527">
                  <c:v>44351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44361</c:v>
                </c:pt>
                <c:pt idx="1534">
                  <c:v>44362</c:v>
                </c:pt>
                <c:pt idx="1535">
                  <c:v>44363</c:v>
                </c:pt>
                <c:pt idx="1536">
                  <c:v>44364</c:v>
                </c:pt>
                <c:pt idx="1537">
                  <c:v>44365</c:v>
                </c:pt>
                <c:pt idx="1538">
                  <c:v>44368</c:v>
                </c:pt>
                <c:pt idx="1539">
                  <c:v>44369</c:v>
                </c:pt>
                <c:pt idx="1540">
                  <c:v>44370</c:v>
                </c:pt>
                <c:pt idx="1541">
                  <c:v>44371</c:v>
                </c:pt>
                <c:pt idx="1542">
                  <c:v>44372</c:v>
                </c:pt>
                <c:pt idx="1543">
                  <c:v>44375</c:v>
                </c:pt>
                <c:pt idx="1544">
                  <c:v>44376</c:v>
                </c:pt>
                <c:pt idx="1545">
                  <c:v>44377</c:v>
                </c:pt>
                <c:pt idx="1546">
                  <c:v>44378</c:v>
                </c:pt>
                <c:pt idx="1547">
                  <c:v>44379</c:v>
                </c:pt>
                <c:pt idx="1548">
                  <c:v>44382</c:v>
                </c:pt>
                <c:pt idx="1549">
                  <c:v>44383</c:v>
                </c:pt>
                <c:pt idx="1550">
                  <c:v>44384</c:v>
                </c:pt>
                <c:pt idx="1551">
                  <c:v>44385</c:v>
                </c:pt>
                <c:pt idx="1552">
                  <c:v>44386</c:v>
                </c:pt>
                <c:pt idx="1553">
                  <c:v>44389</c:v>
                </c:pt>
                <c:pt idx="1554">
                  <c:v>44390</c:v>
                </c:pt>
                <c:pt idx="1555">
                  <c:v>44391</c:v>
                </c:pt>
                <c:pt idx="1556">
                  <c:v>44392</c:v>
                </c:pt>
                <c:pt idx="1557">
                  <c:v>44393</c:v>
                </c:pt>
                <c:pt idx="1558">
                  <c:v>44396</c:v>
                </c:pt>
                <c:pt idx="1559">
                  <c:v>44397</c:v>
                </c:pt>
                <c:pt idx="1560">
                  <c:v>44399</c:v>
                </c:pt>
                <c:pt idx="1561">
                  <c:v>44400</c:v>
                </c:pt>
                <c:pt idx="1562">
                  <c:v>44403</c:v>
                </c:pt>
                <c:pt idx="1563">
                  <c:v>44404</c:v>
                </c:pt>
                <c:pt idx="1564">
                  <c:v>44405</c:v>
                </c:pt>
                <c:pt idx="1565">
                  <c:v>44406</c:v>
                </c:pt>
                <c:pt idx="1566">
                  <c:v>44407</c:v>
                </c:pt>
                <c:pt idx="1567">
                  <c:v>44410</c:v>
                </c:pt>
                <c:pt idx="1568">
                  <c:v>44411</c:v>
                </c:pt>
                <c:pt idx="1569">
                  <c:v>44412</c:v>
                </c:pt>
                <c:pt idx="1570">
                  <c:v>44413</c:v>
                </c:pt>
                <c:pt idx="1571">
                  <c:v>44414</c:v>
                </c:pt>
                <c:pt idx="1572">
                  <c:v>44417</c:v>
                </c:pt>
                <c:pt idx="1573">
                  <c:v>44418</c:v>
                </c:pt>
                <c:pt idx="1574">
                  <c:v>44419</c:v>
                </c:pt>
                <c:pt idx="1575">
                  <c:v>44420</c:v>
                </c:pt>
                <c:pt idx="1576">
                  <c:v>44421</c:v>
                </c:pt>
                <c:pt idx="1577">
                  <c:v>44424</c:v>
                </c:pt>
                <c:pt idx="1578">
                  <c:v>44425</c:v>
                </c:pt>
                <c:pt idx="1579">
                  <c:v>44426</c:v>
                </c:pt>
                <c:pt idx="1580">
                  <c:v>44428</c:v>
                </c:pt>
                <c:pt idx="1581">
                  <c:v>44431</c:v>
                </c:pt>
                <c:pt idx="1582">
                  <c:v>44432</c:v>
                </c:pt>
                <c:pt idx="1583">
                  <c:v>44433</c:v>
                </c:pt>
                <c:pt idx="1584">
                  <c:v>44434</c:v>
                </c:pt>
                <c:pt idx="1585">
                  <c:v>44435</c:v>
                </c:pt>
                <c:pt idx="1586">
                  <c:v>44438</c:v>
                </c:pt>
                <c:pt idx="1587">
                  <c:v>44439</c:v>
                </c:pt>
                <c:pt idx="1588">
                  <c:v>44440</c:v>
                </c:pt>
                <c:pt idx="1589">
                  <c:v>44441</c:v>
                </c:pt>
                <c:pt idx="1590">
                  <c:v>44442</c:v>
                </c:pt>
                <c:pt idx="1591">
                  <c:v>44445</c:v>
                </c:pt>
                <c:pt idx="1592">
                  <c:v>44446</c:v>
                </c:pt>
                <c:pt idx="1593">
                  <c:v>44447</c:v>
                </c:pt>
                <c:pt idx="1594">
                  <c:v>44448</c:v>
                </c:pt>
                <c:pt idx="1595">
                  <c:v>44452</c:v>
                </c:pt>
                <c:pt idx="1596">
                  <c:v>44453</c:v>
                </c:pt>
                <c:pt idx="1597">
                  <c:v>44454</c:v>
                </c:pt>
                <c:pt idx="1598">
                  <c:v>44455</c:v>
                </c:pt>
                <c:pt idx="1599">
                  <c:v>44456</c:v>
                </c:pt>
                <c:pt idx="1600">
                  <c:v>44459</c:v>
                </c:pt>
                <c:pt idx="1601">
                  <c:v>44460</c:v>
                </c:pt>
                <c:pt idx="1602">
                  <c:v>44461</c:v>
                </c:pt>
                <c:pt idx="1603">
                  <c:v>44462</c:v>
                </c:pt>
                <c:pt idx="1604">
                  <c:v>44463</c:v>
                </c:pt>
                <c:pt idx="1605">
                  <c:v>44466</c:v>
                </c:pt>
                <c:pt idx="1606">
                  <c:v>44467</c:v>
                </c:pt>
                <c:pt idx="1607">
                  <c:v>44468</c:v>
                </c:pt>
                <c:pt idx="1608">
                  <c:v>44469</c:v>
                </c:pt>
                <c:pt idx="1609">
                  <c:v>44470</c:v>
                </c:pt>
                <c:pt idx="1610">
                  <c:v>44473</c:v>
                </c:pt>
                <c:pt idx="1611">
                  <c:v>44474</c:v>
                </c:pt>
                <c:pt idx="1612">
                  <c:v>44475</c:v>
                </c:pt>
                <c:pt idx="1613">
                  <c:v>44476</c:v>
                </c:pt>
                <c:pt idx="1614">
                  <c:v>44477</c:v>
                </c:pt>
                <c:pt idx="1615">
                  <c:v>44480</c:v>
                </c:pt>
                <c:pt idx="1616">
                  <c:v>44481</c:v>
                </c:pt>
                <c:pt idx="1617">
                  <c:v>44482</c:v>
                </c:pt>
                <c:pt idx="1618">
                  <c:v>44483</c:v>
                </c:pt>
                <c:pt idx="1619">
                  <c:v>44487</c:v>
                </c:pt>
                <c:pt idx="1620">
                  <c:v>44488</c:v>
                </c:pt>
                <c:pt idx="1621">
                  <c:v>44489</c:v>
                </c:pt>
                <c:pt idx="1622">
                  <c:v>44490</c:v>
                </c:pt>
                <c:pt idx="1623">
                  <c:v>44491</c:v>
                </c:pt>
                <c:pt idx="1624">
                  <c:v>44494</c:v>
                </c:pt>
                <c:pt idx="1625">
                  <c:v>44495</c:v>
                </c:pt>
                <c:pt idx="1626">
                  <c:v>44496</c:v>
                </c:pt>
                <c:pt idx="1627">
                  <c:v>44497</c:v>
                </c:pt>
                <c:pt idx="1628">
                  <c:v>44498</c:v>
                </c:pt>
                <c:pt idx="1629">
                  <c:v>44501</c:v>
                </c:pt>
                <c:pt idx="1630">
                  <c:v>44502</c:v>
                </c:pt>
                <c:pt idx="1631">
                  <c:v>44503</c:v>
                </c:pt>
                <c:pt idx="1632">
                  <c:v>44504</c:v>
                </c:pt>
                <c:pt idx="1633">
                  <c:v>44508</c:v>
                </c:pt>
                <c:pt idx="1634">
                  <c:v>44509</c:v>
                </c:pt>
                <c:pt idx="1635">
                  <c:v>44510</c:v>
                </c:pt>
                <c:pt idx="1636">
                  <c:v>44511</c:v>
                </c:pt>
                <c:pt idx="1637">
                  <c:v>44512</c:v>
                </c:pt>
                <c:pt idx="1638">
                  <c:v>44515</c:v>
                </c:pt>
                <c:pt idx="1639">
                  <c:v>44516</c:v>
                </c:pt>
                <c:pt idx="1640">
                  <c:v>44517</c:v>
                </c:pt>
                <c:pt idx="1641">
                  <c:v>44518</c:v>
                </c:pt>
                <c:pt idx="1642">
                  <c:v>44522</c:v>
                </c:pt>
                <c:pt idx="1643">
                  <c:v>44523</c:v>
                </c:pt>
                <c:pt idx="1644">
                  <c:v>44524</c:v>
                </c:pt>
                <c:pt idx="1645">
                  <c:v>44525</c:v>
                </c:pt>
                <c:pt idx="1646">
                  <c:v>44526</c:v>
                </c:pt>
                <c:pt idx="1647">
                  <c:v>44529</c:v>
                </c:pt>
                <c:pt idx="1648">
                  <c:v>44530</c:v>
                </c:pt>
                <c:pt idx="1649">
                  <c:v>44531</c:v>
                </c:pt>
                <c:pt idx="1650">
                  <c:v>44532</c:v>
                </c:pt>
                <c:pt idx="1651">
                  <c:v>44533</c:v>
                </c:pt>
                <c:pt idx="1652">
                  <c:v>44536</c:v>
                </c:pt>
                <c:pt idx="1653">
                  <c:v>44537</c:v>
                </c:pt>
                <c:pt idx="1654">
                  <c:v>44538</c:v>
                </c:pt>
                <c:pt idx="1655">
                  <c:v>44539</c:v>
                </c:pt>
                <c:pt idx="1656">
                  <c:v>44540</c:v>
                </c:pt>
                <c:pt idx="1657">
                  <c:v>44543</c:v>
                </c:pt>
                <c:pt idx="1658">
                  <c:v>44544</c:v>
                </c:pt>
                <c:pt idx="1659">
                  <c:v>44545</c:v>
                </c:pt>
                <c:pt idx="1660">
                  <c:v>44546</c:v>
                </c:pt>
                <c:pt idx="1661">
                  <c:v>44547</c:v>
                </c:pt>
                <c:pt idx="1662">
                  <c:v>44550</c:v>
                </c:pt>
                <c:pt idx="1663">
                  <c:v>44551</c:v>
                </c:pt>
                <c:pt idx="1664">
                  <c:v>44552</c:v>
                </c:pt>
                <c:pt idx="1665">
                  <c:v>44553</c:v>
                </c:pt>
                <c:pt idx="1666">
                  <c:v>44554</c:v>
                </c:pt>
                <c:pt idx="1667">
                  <c:v>44557</c:v>
                </c:pt>
                <c:pt idx="1668">
                  <c:v>44558</c:v>
                </c:pt>
                <c:pt idx="1669">
                  <c:v>44559</c:v>
                </c:pt>
                <c:pt idx="1670">
                  <c:v>44560</c:v>
                </c:pt>
                <c:pt idx="1671">
                  <c:v>44561</c:v>
                </c:pt>
                <c:pt idx="1672">
                  <c:v>44564</c:v>
                </c:pt>
                <c:pt idx="1673">
                  <c:v>44565</c:v>
                </c:pt>
                <c:pt idx="1674">
                  <c:v>44566</c:v>
                </c:pt>
                <c:pt idx="1675">
                  <c:v>44567</c:v>
                </c:pt>
                <c:pt idx="1676">
                  <c:v>44568</c:v>
                </c:pt>
                <c:pt idx="1677">
                  <c:v>44571</c:v>
                </c:pt>
                <c:pt idx="1678">
                  <c:v>44572</c:v>
                </c:pt>
                <c:pt idx="1679">
                  <c:v>44573</c:v>
                </c:pt>
                <c:pt idx="1680">
                  <c:v>44574</c:v>
                </c:pt>
                <c:pt idx="1681">
                  <c:v>44575</c:v>
                </c:pt>
                <c:pt idx="1682">
                  <c:v>44578</c:v>
                </c:pt>
                <c:pt idx="1683">
                  <c:v>44579</c:v>
                </c:pt>
                <c:pt idx="1684">
                  <c:v>44580</c:v>
                </c:pt>
                <c:pt idx="1685">
                  <c:v>44581</c:v>
                </c:pt>
                <c:pt idx="1686">
                  <c:v>44582</c:v>
                </c:pt>
                <c:pt idx="1687">
                  <c:v>44585</c:v>
                </c:pt>
                <c:pt idx="1688">
                  <c:v>44586</c:v>
                </c:pt>
                <c:pt idx="1689">
                  <c:v>44588</c:v>
                </c:pt>
                <c:pt idx="1690">
                  <c:v>44589</c:v>
                </c:pt>
                <c:pt idx="1691">
                  <c:v>44592</c:v>
                </c:pt>
                <c:pt idx="1692">
                  <c:v>44593</c:v>
                </c:pt>
                <c:pt idx="1693">
                  <c:v>44594</c:v>
                </c:pt>
                <c:pt idx="1694">
                  <c:v>44595</c:v>
                </c:pt>
                <c:pt idx="1695">
                  <c:v>44596</c:v>
                </c:pt>
                <c:pt idx="1696">
                  <c:v>44599</c:v>
                </c:pt>
                <c:pt idx="1697">
                  <c:v>44600</c:v>
                </c:pt>
                <c:pt idx="1698">
                  <c:v>44601</c:v>
                </c:pt>
                <c:pt idx="1699">
                  <c:v>44602</c:v>
                </c:pt>
                <c:pt idx="1700">
                  <c:v>44603</c:v>
                </c:pt>
                <c:pt idx="1701">
                  <c:v>44606</c:v>
                </c:pt>
                <c:pt idx="1702">
                  <c:v>44607</c:v>
                </c:pt>
                <c:pt idx="1703">
                  <c:v>44608</c:v>
                </c:pt>
                <c:pt idx="1704">
                  <c:v>44609</c:v>
                </c:pt>
                <c:pt idx="1705">
                  <c:v>44610</c:v>
                </c:pt>
                <c:pt idx="1706">
                  <c:v>44613</c:v>
                </c:pt>
                <c:pt idx="1707">
                  <c:v>44614</c:v>
                </c:pt>
                <c:pt idx="1708">
                  <c:v>44615</c:v>
                </c:pt>
                <c:pt idx="1709">
                  <c:v>44616</c:v>
                </c:pt>
                <c:pt idx="1710">
                  <c:v>44617</c:v>
                </c:pt>
                <c:pt idx="1711">
                  <c:v>44620</c:v>
                </c:pt>
                <c:pt idx="1712">
                  <c:v>44622</c:v>
                </c:pt>
                <c:pt idx="1713">
                  <c:v>44623</c:v>
                </c:pt>
                <c:pt idx="1714">
                  <c:v>44624</c:v>
                </c:pt>
                <c:pt idx="1715">
                  <c:v>44627</c:v>
                </c:pt>
                <c:pt idx="1716">
                  <c:v>44628</c:v>
                </c:pt>
                <c:pt idx="1717">
                  <c:v>44629</c:v>
                </c:pt>
                <c:pt idx="1718">
                  <c:v>44630</c:v>
                </c:pt>
                <c:pt idx="1719">
                  <c:v>44631</c:v>
                </c:pt>
                <c:pt idx="1720">
                  <c:v>44634</c:v>
                </c:pt>
                <c:pt idx="1721">
                  <c:v>44635</c:v>
                </c:pt>
                <c:pt idx="1722">
                  <c:v>44636</c:v>
                </c:pt>
                <c:pt idx="1723">
                  <c:v>44637</c:v>
                </c:pt>
                <c:pt idx="1724">
                  <c:v>44641</c:v>
                </c:pt>
                <c:pt idx="1725">
                  <c:v>44642</c:v>
                </c:pt>
                <c:pt idx="1726">
                  <c:v>44643</c:v>
                </c:pt>
                <c:pt idx="1727">
                  <c:v>44644</c:v>
                </c:pt>
                <c:pt idx="1728">
                  <c:v>44645</c:v>
                </c:pt>
                <c:pt idx="1729">
                  <c:v>44648</c:v>
                </c:pt>
                <c:pt idx="1730">
                  <c:v>44649</c:v>
                </c:pt>
                <c:pt idx="1731">
                  <c:v>44650</c:v>
                </c:pt>
              </c:numCache>
            </c:numRef>
          </c:cat>
          <c:val>
            <c:numRef>
              <c:f>SMA_3year!$B$2:$B$1733</c:f>
              <c:numCache>
                <c:formatCode>General</c:formatCode>
                <c:ptCount val="1732"/>
                <c:pt idx="0">
                  <c:v>569.65</c:v>
                </c:pt>
                <c:pt idx="1">
                  <c:v>569.04999999999995</c:v>
                </c:pt>
                <c:pt idx="2">
                  <c:v>557.85</c:v>
                </c:pt>
                <c:pt idx="3">
                  <c:v>555.9</c:v>
                </c:pt>
                <c:pt idx="4">
                  <c:v>572.15</c:v>
                </c:pt>
                <c:pt idx="5">
                  <c:v>568.04999999999995</c:v>
                </c:pt>
                <c:pt idx="6">
                  <c:v>566</c:v>
                </c:pt>
                <c:pt idx="7">
                  <c:v>550.20000000000005</c:v>
                </c:pt>
                <c:pt idx="8">
                  <c:v>550.79999999999995</c:v>
                </c:pt>
                <c:pt idx="9">
                  <c:v>533.70000000000005</c:v>
                </c:pt>
                <c:pt idx="10">
                  <c:v>518.25</c:v>
                </c:pt>
                <c:pt idx="11">
                  <c:v>523.20000000000005</c:v>
                </c:pt>
                <c:pt idx="12">
                  <c:v>540.1</c:v>
                </c:pt>
                <c:pt idx="13">
                  <c:v>538.20000000000005</c:v>
                </c:pt>
                <c:pt idx="14">
                  <c:v>527.25</c:v>
                </c:pt>
                <c:pt idx="15">
                  <c:v>524.20000000000005</c:v>
                </c:pt>
                <c:pt idx="16">
                  <c:v>535</c:v>
                </c:pt>
                <c:pt idx="17">
                  <c:v>551.95000000000005</c:v>
                </c:pt>
                <c:pt idx="18">
                  <c:v>567.79999999999995</c:v>
                </c:pt>
                <c:pt idx="19">
                  <c:v>568.35</c:v>
                </c:pt>
                <c:pt idx="20">
                  <c:v>565.85</c:v>
                </c:pt>
                <c:pt idx="21">
                  <c:v>543.29999999999995</c:v>
                </c:pt>
                <c:pt idx="22">
                  <c:v>527.35</c:v>
                </c:pt>
                <c:pt idx="23">
                  <c:v>540.79999999999995</c:v>
                </c:pt>
                <c:pt idx="24">
                  <c:v>551.1</c:v>
                </c:pt>
                <c:pt idx="25">
                  <c:v>532.35</c:v>
                </c:pt>
                <c:pt idx="26">
                  <c:v>558.5</c:v>
                </c:pt>
                <c:pt idx="27">
                  <c:v>555.85</c:v>
                </c:pt>
                <c:pt idx="28">
                  <c:v>562.04999999999995</c:v>
                </c:pt>
                <c:pt idx="29">
                  <c:v>567.5</c:v>
                </c:pt>
                <c:pt idx="30">
                  <c:v>561.45000000000005</c:v>
                </c:pt>
                <c:pt idx="31">
                  <c:v>558.25</c:v>
                </c:pt>
                <c:pt idx="32">
                  <c:v>570.45000000000005</c:v>
                </c:pt>
                <c:pt idx="33">
                  <c:v>568.65</c:v>
                </c:pt>
                <c:pt idx="34">
                  <c:v>562.1</c:v>
                </c:pt>
                <c:pt idx="35">
                  <c:v>564.25</c:v>
                </c:pt>
                <c:pt idx="36">
                  <c:v>577.79999999999995</c:v>
                </c:pt>
                <c:pt idx="37">
                  <c:v>574.65</c:v>
                </c:pt>
                <c:pt idx="38">
                  <c:v>585.4</c:v>
                </c:pt>
                <c:pt idx="39">
                  <c:v>578.45000000000005</c:v>
                </c:pt>
                <c:pt idx="40">
                  <c:v>553.1</c:v>
                </c:pt>
                <c:pt idx="41">
                  <c:v>550.9</c:v>
                </c:pt>
                <c:pt idx="42">
                  <c:v>556.4</c:v>
                </c:pt>
                <c:pt idx="43">
                  <c:v>548.4</c:v>
                </c:pt>
                <c:pt idx="44">
                  <c:v>553.6</c:v>
                </c:pt>
                <c:pt idx="45">
                  <c:v>558.70000000000005</c:v>
                </c:pt>
                <c:pt idx="46">
                  <c:v>564.5</c:v>
                </c:pt>
                <c:pt idx="47">
                  <c:v>546.75</c:v>
                </c:pt>
                <c:pt idx="48">
                  <c:v>551.45000000000005</c:v>
                </c:pt>
                <c:pt idx="49">
                  <c:v>550.04999999999995</c:v>
                </c:pt>
                <c:pt idx="50">
                  <c:v>551.15</c:v>
                </c:pt>
                <c:pt idx="51">
                  <c:v>549.25</c:v>
                </c:pt>
                <c:pt idx="52">
                  <c:v>550.04999999999995</c:v>
                </c:pt>
                <c:pt idx="53">
                  <c:v>551.54999999999995</c:v>
                </c:pt>
                <c:pt idx="54">
                  <c:v>572.15</c:v>
                </c:pt>
                <c:pt idx="55">
                  <c:v>571.29999999999995</c:v>
                </c:pt>
                <c:pt idx="56">
                  <c:v>571.5</c:v>
                </c:pt>
                <c:pt idx="57">
                  <c:v>570.04999999999995</c:v>
                </c:pt>
                <c:pt idx="58">
                  <c:v>565.5</c:v>
                </c:pt>
                <c:pt idx="59">
                  <c:v>562.70000000000005</c:v>
                </c:pt>
                <c:pt idx="60">
                  <c:v>558.95000000000005</c:v>
                </c:pt>
                <c:pt idx="61">
                  <c:v>578.65</c:v>
                </c:pt>
                <c:pt idx="62">
                  <c:v>584</c:v>
                </c:pt>
                <c:pt idx="63">
                  <c:v>585.95000000000005</c:v>
                </c:pt>
                <c:pt idx="64">
                  <c:v>584.20000000000005</c:v>
                </c:pt>
                <c:pt idx="65">
                  <c:v>586.20000000000005</c:v>
                </c:pt>
                <c:pt idx="66">
                  <c:v>576.65</c:v>
                </c:pt>
                <c:pt idx="67">
                  <c:v>571.70000000000005</c:v>
                </c:pt>
                <c:pt idx="68">
                  <c:v>578.1</c:v>
                </c:pt>
                <c:pt idx="69">
                  <c:v>581.95000000000005</c:v>
                </c:pt>
                <c:pt idx="70">
                  <c:v>583.9</c:v>
                </c:pt>
                <c:pt idx="71">
                  <c:v>584</c:v>
                </c:pt>
                <c:pt idx="72">
                  <c:v>608.65</c:v>
                </c:pt>
                <c:pt idx="73">
                  <c:v>602.1</c:v>
                </c:pt>
                <c:pt idx="74">
                  <c:v>599.9</c:v>
                </c:pt>
                <c:pt idx="75">
                  <c:v>584.65</c:v>
                </c:pt>
                <c:pt idx="76">
                  <c:v>589.85</c:v>
                </c:pt>
                <c:pt idx="77">
                  <c:v>583.75</c:v>
                </c:pt>
                <c:pt idx="78">
                  <c:v>580.45000000000005</c:v>
                </c:pt>
                <c:pt idx="79">
                  <c:v>555.79999999999995</c:v>
                </c:pt>
                <c:pt idx="80">
                  <c:v>561.25</c:v>
                </c:pt>
                <c:pt idx="81">
                  <c:v>567.20000000000005</c:v>
                </c:pt>
                <c:pt idx="82">
                  <c:v>565.70000000000005</c:v>
                </c:pt>
                <c:pt idx="83">
                  <c:v>573.5</c:v>
                </c:pt>
                <c:pt idx="84">
                  <c:v>576.70000000000005</c:v>
                </c:pt>
                <c:pt idx="85">
                  <c:v>580.1</c:v>
                </c:pt>
                <c:pt idx="86">
                  <c:v>580.4</c:v>
                </c:pt>
                <c:pt idx="87">
                  <c:v>584.75</c:v>
                </c:pt>
                <c:pt idx="88">
                  <c:v>580.29999999999995</c:v>
                </c:pt>
                <c:pt idx="89">
                  <c:v>575.9</c:v>
                </c:pt>
                <c:pt idx="90">
                  <c:v>571.25</c:v>
                </c:pt>
                <c:pt idx="91">
                  <c:v>557.85</c:v>
                </c:pt>
                <c:pt idx="92">
                  <c:v>567.54999999999995</c:v>
                </c:pt>
                <c:pt idx="93">
                  <c:v>570</c:v>
                </c:pt>
                <c:pt idx="94">
                  <c:v>561.4</c:v>
                </c:pt>
                <c:pt idx="95">
                  <c:v>561.35</c:v>
                </c:pt>
                <c:pt idx="96">
                  <c:v>554</c:v>
                </c:pt>
                <c:pt idx="97">
                  <c:v>533.4</c:v>
                </c:pt>
                <c:pt idx="98">
                  <c:v>525.29999999999995</c:v>
                </c:pt>
                <c:pt idx="99">
                  <c:v>482.05</c:v>
                </c:pt>
                <c:pt idx="100">
                  <c:v>502.95</c:v>
                </c:pt>
                <c:pt idx="101">
                  <c:v>495.6</c:v>
                </c:pt>
                <c:pt idx="102">
                  <c:v>509.25</c:v>
                </c:pt>
                <c:pt idx="103">
                  <c:v>508.15</c:v>
                </c:pt>
                <c:pt idx="104">
                  <c:v>507.75</c:v>
                </c:pt>
                <c:pt idx="105">
                  <c:v>480.1</c:v>
                </c:pt>
                <c:pt idx="106">
                  <c:v>466.6</c:v>
                </c:pt>
                <c:pt idx="107">
                  <c:v>486.9</c:v>
                </c:pt>
                <c:pt idx="108">
                  <c:v>468</c:v>
                </c:pt>
                <c:pt idx="109">
                  <c:v>449.85</c:v>
                </c:pt>
                <c:pt idx="110">
                  <c:v>473.9</c:v>
                </c:pt>
                <c:pt idx="111">
                  <c:v>486.25</c:v>
                </c:pt>
                <c:pt idx="112">
                  <c:v>482.6</c:v>
                </c:pt>
                <c:pt idx="113">
                  <c:v>481.25</c:v>
                </c:pt>
                <c:pt idx="114">
                  <c:v>496.2</c:v>
                </c:pt>
                <c:pt idx="115">
                  <c:v>482.75</c:v>
                </c:pt>
                <c:pt idx="116">
                  <c:v>494.25</c:v>
                </c:pt>
                <c:pt idx="117">
                  <c:v>517.45000000000005</c:v>
                </c:pt>
                <c:pt idx="118">
                  <c:v>528</c:v>
                </c:pt>
                <c:pt idx="119">
                  <c:v>509.7</c:v>
                </c:pt>
                <c:pt idx="120">
                  <c:v>511.7</c:v>
                </c:pt>
                <c:pt idx="121">
                  <c:v>513.95000000000005</c:v>
                </c:pt>
                <c:pt idx="122">
                  <c:v>506.7</c:v>
                </c:pt>
                <c:pt idx="123">
                  <c:v>504.5</c:v>
                </c:pt>
                <c:pt idx="124">
                  <c:v>495.65</c:v>
                </c:pt>
                <c:pt idx="125">
                  <c:v>496.25</c:v>
                </c:pt>
                <c:pt idx="126">
                  <c:v>513.25</c:v>
                </c:pt>
                <c:pt idx="127">
                  <c:v>506.4</c:v>
                </c:pt>
                <c:pt idx="128">
                  <c:v>496.8</c:v>
                </c:pt>
                <c:pt idx="129">
                  <c:v>491.5</c:v>
                </c:pt>
                <c:pt idx="130">
                  <c:v>490.45</c:v>
                </c:pt>
                <c:pt idx="131">
                  <c:v>487.05</c:v>
                </c:pt>
                <c:pt idx="132">
                  <c:v>490.9</c:v>
                </c:pt>
                <c:pt idx="133">
                  <c:v>495.5</c:v>
                </c:pt>
                <c:pt idx="134">
                  <c:v>498.7</c:v>
                </c:pt>
                <c:pt idx="135">
                  <c:v>504.65</c:v>
                </c:pt>
                <c:pt idx="136">
                  <c:v>506.65</c:v>
                </c:pt>
                <c:pt idx="137">
                  <c:v>509.4</c:v>
                </c:pt>
                <c:pt idx="138">
                  <c:v>511.75</c:v>
                </c:pt>
                <c:pt idx="139">
                  <c:v>525.65</c:v>
                </c:pt>
                <c:pt idx="140">
                  <c:v>521.04999999999995</c:v>
                </c:pt>
                <c:pt idx="141">
                  <c:v>521.79999999999995</c:v>
                </c:pt>
                <c:pt idx="142">
                  <c:v>482.9</c:v>
                </c:pt>
                <c:pt idx="143">
                  <c:v>468.95</c:v>
                </c:pt>
                <c:pt idx="144">
                  <c:v>475.4</c:v>
                </c:pt>
                <c:pt idx="145">
                  <c:v>478.25</c:v>
                </c:pt>
                <c:pt idx="146">
                  <c:v>474.65</c:v>
                </c:pt>
                <c:pt idx="147">
                  <c:v>472.5</c:v>
                </c:pt>
                <c:pt idx="148">
                  <c:v>463.8</c:v>
                </c:pt>
                <c:pt idx="149">
                  <c:v>465.15</c:v>
                </c:pt>
                <c:pt idx="150">
                  <c:v>464.95</c:v>
                </c:pt>
                <c:pt idx="151">
                  <c:v>468.35</c:v>
                </c:pt>
                <c:pt idx="152">
                  <c:v>480.35</c:v>
                </c:pt>
                <c:pt idx="153">
                  <c:v>484.95</c:v>
                </c:pt>
                <c:pt idx="154">
                  <c:v>481.45</c:v>
                </c:pt>
                <c:pt idx="155">
                  <c:v>475.6</c:v>
                </c:pt>
                <c:pt idx="156">
                  <c:v>463.55</c:v>
                </c:pt>
                <c:pt idx="157">
                  <c:v>463.05</c:v>
                </c:pt>
                <c:pt idx="158">
                  <c:v>459.85</c:v>
                </c:pt>
                <c:pt idx="159">
                  <c:v>462.7</c:v>
                </c:pt>
                <c:pt idx="160">
                  <c:v>463.85</c:v>
                </c:pt>
                <c:pt idx="161">
                  <c:v>465.3</c:v>
                </c:pt>
                <c:pt idx="162">
                  <c:v>471</c:v>
                </c:pt>
                <c:pt idx="163">
                  <c:v>469.15</c:v>
                </c:pt>
                <c:pt idx="164">
                  <c:v>461.6</c:v>
                </c:pt>
                <c:pt idx="165">
                  <c:v>459.5</c:v>
                </c:pt>
                <c:pt idx="166">
                  <c:v>462.5</c:v>
                </c:pt>
                <c:pt idx="167">
                  <c:v>460.5</c:v>
                </c:pt>
                <c:pt idx="168">
                  <c:v>462.3</c:v>
                </c:pt>
                <c:pt idx="169">
                  <c:v>458.8</c:v>
                </c:pt>
                <c:pt idx="170">
                  <c:v>450.6</c:v>
                </c:pt>
                <c:pt idx="171">
                  <c:v>449.95</c:v>
                </c:pt>
                <c:pt idx="172">
                  <c:v>440.65</c:v>
                </c:pt>
                <c:pt idx="173">
                  <c:v>431.35</c:v>
                </c:pt>
                <c:pt idx="174">
                  <c:v>436.1</c:v>
                </c:pt>
                <c:pt idx="175">
                  <c:v>438.15</c:v>
                </c:pt>
                <c:pt idx="176">
                  <c:v>435.55</c:v>
                </c:pt>
                <c:pt idx="177">
                  <c:v>432.55</c:v>
                </c:pt>
                <c:pt idx="178">
                  <c:v>442.35</c:v>
                </c:pt>
                <c:pt idx="179">
                  <c:v>446.7</c:v>
                </c:pt>
                <c:pt idx="180">
                  <c:v>452</c:v>
                </c:pt>
                <c:pt idx="181">
                  <c:v>450.75</c:v>
                </c:pt>
                <c:pt idx="182">
                  <c:v>455.35</c:v>
                </c:pt>
                <c:pt idx="183">
                  <c:v>458.35</c:v>
                </c:pt>
                <c:pt idx="184">
                  <c:v>455.1</c:v>
                </c:pt>
                <c:pt idx="185">
                  <c:v>449.1</c:v>
                </c:pt>
                <c:pt idx="186">
                  <c:v>449.9</c:v>
                </c:pt>
                <c:pt idx="187">
                  <c:v>438.4</c:v>
                </c:pt>
                <c:pt idx="188">
                  <c:v>436.45</c:v>
                </c:pt>
                <c:pt idx="189">
                  <c:v>430.7</c:v>
                </c:pt>
                <c:pt idx="190">
                  <c:v>409.25</c:v>
                </c:pt>
                <c:pt idx="191">
                  <c:v>413.7</c:v>
                </c:pt>
                <c:pt idx="192">
                  <c:v>417.2</c:v>
                </c:pt>
                <c:pt idx="193">
                  <c:v>406.1</c:v>
                </c:pt>
                <c:pt idx="194">
                  <c:v>406.7</c:v>
                </c:pt>
                <c:pt idx="195">
                  <c:v>390.6</c:v>
                </c:pt>
                <c:pt idx="196">
                  <c:v>374.25</c:v>
                </c:pt>
                <c:pt idx="197">
                  <c:v>373.2</c:v>
                </c:pt>
                <c:pt idx="198">
                  <c:v>393</c:v>
                </c:pt>
                <c:pt idx="199">
                  <c:v>387.6</c:v>
                </c:pt>
                <c:pt idx="200">
                  <c:v>409.15</c:v>
                </c:pt>
                <c:pt idx="201">
                  <c:v>424.15</c:v>
                </c:pt>
                <c:pt idx="202">
                  <c:v>420.85</c:v>
                </c:pt>
                <c:pt idx="203">
                  <c:v>415.4</c:v>
                </c:pt>
                <c:pt idx="204">
                  <c:v>405.65</c:v>
                </c:pt>
                <c:pt idx="205">
                  <c:v>408.4</c:v>
                </c:pt>
                <c:pt idx="206">
                  <c:v>399.3</c:v>
                </c:pt>
                <c:pt idx="207">
                  <c:v>390.9</c:v>
                </c:pt>
                <c:pt idx="208">
                  <c:v>380.55</c:v>
                </c:pt>
                <c:pt idx="209">
                  <c:v>382.75</c:v>
                </c:pt>
                <c:pt idx="210">
                  <c:v>399.55</c:v>
                </c:pt>
                <c:pt idx="211">
                  <c:v>408.55</c:v>
                </c:pt>
                <c:pt idx="212">
                  <c:v>399.9</c:v>
                </c:pt>
                <c:pt idx="213">
                  <c:v>393.6</c:v>
                </c:pt>
                <c:pt idx="214">
                  <c:v>377.2</c:v>
                </c:pt>
                <c:pt idx="215">
                  <c:v>391.1</c:v>
                </c:pt>
                <c:pt idx="216">
                  <c:v>417.65</c:v>
                </c:pt>
                <c:pt idx="217">
                  <c:v>405.8</c:v>
                </c:pt>
                <c:pt idx="218">
                  <c:v>403.1</c:v>
                </c:pt>
                <c:pt idx="219">
                  <c:v>398.05</c:v>
                </c:pt>
                <c:pt idx="220">
                  <c:v>392.5</c:v>
                </c:pt>
                <c:pt idx="221">
                  <c:v>397.15</c:v>
                </c:pt>
                <c:pt idx="222">
                  <c:v>385.15</c:v>
                </c:pt>
                <c:pt idx="223">
                  <c:v>386.65</c:v>
                </c:pt>
                <c:pt idx="224">
                  <c:v>378.2</c:v>
                </c:pt>
                <c:pt idx="225">
                  <c:v>386.35</c:v>
                </c:pt>
                <c:pt idx="226">
                  <c:v>375.75</c:v>
                </c:pt>
                <c:pt idx="227">
                  <c:v>392</c:v>
                </c:pt>
                <c:pt idx="228">
                  <c:v>407.25</c:v>
                </c:pt>
                <c:pt idx="229">
                  <c:v>417.15</c:v>
                </c:pt>
                <c:pt idx="230">
                  <c:v>416.05</c:v>
                </c:pt>
                <c:pt idx="231">
                  <c:v>411.75</c:v>
                </c:pt>
                <c:pt idx="232">
                  <c:v>416.85</c:v>
                </c:pt>
                <c:pt idx="233">
                  <c:v>413</c:v>
                </c:pt>
                <c:pt idx="234">
                  <c:v>412.8</c:v>
                </c:pt>
                <c:pt idx="235">
                  <c:v>415.45</c:v>
                </c:pt>
                <c:pt idx="236">
                  <c:v>418.85</c:v>
                </c:pt>
                <c:pt idx="237">
                  <c:v>424.6</c:v>
                </c:pt>
                <c:pt idx="238">
                  <c:v>428.15</c:v>
                </c:pt>
                <c:pt idx="239">
                  <c:v>436.1</c:v>
                </c:pt>
                <c:pt idx="240">
                  <c:v>444.5</c:v>
                </c:pt>
                <c:pt idx="241">
                  <c:v>441.25</c:v>
                </c:pt>
                <c:pt idx="242">
                  <c:v>437.5</c:v>
                </c:pt>
                <c:pt idx="243">
                  <c:v>422.9</c:v>
                </c:pt>
                <c:pt idx="244">
                  <c:v>429.45</c:v>
                </c:pt>
                <c:pt idx="245">
                  <c:v>444.25</c:v>
                </c:pt>
                <c:pt idx="246">
                  <c:v>444.15</c:v>
                </c:pt>
                <c:pt idx="247">
                  <c:v>449.9</c:v>
                </c:pt>
                <c:pt idx="248">
                  <c:v>444.75</c:v>
                </c:pt>
                <c:pt idx="249">
                  <c:v>432.6</c:v>
                </c:pt>
                <c:pt idx="250">
                  <c:v>424.65</c:v>
                </c:pt>
                <c:pt idx="251">
                  <c:v>426.65</c:v>
                </c:pt>
                <c:pt idx="252">
                  <c:v>421.6</c:v>
                </c:pt>
                <c:pt idx="253">
                  <c:v>429.8</c:v>
                </c:pt>
                <c:pt idx="254">
                  <c:v>434.05</c:v>
                </c:pt>
                <c:pt idx="255">
                  <c:v>440.5</c:v>
                </c:pt>
                <c:pt idx="256">
                  <c:v>445.25</c:v>
                </c:pt>
                <c:pt idx="257">
                  <c:v>459.1</c:v>
                </c:pt>
                <c:pt idx="258">
                  <c:v>467.95</c:v>
                </c:pt>
                <c:pt idx="259">
                  <c:v>475.85</c:v>
                </c:pt>
                <c:pt idx="260">
                  <c:v>469.9</c:v>
                </c:pt>
                <c:pt idx="261">
                  <c:v>480.2</c:v>
                </c:pt>
                <c:pt idx="262">
                  <c:v>465.5</c:v>
                </c:pt>
                <c:pt idx="263">
                  <c:v>468.05</c:v>
                </c:pt>
                <c:pt idx="264">
                  <c:v>472.4</c:v>
                </c:pt>
                <c:pt idx="265">
                  <c:v>471.8</c:v>
                </c:pt>
                <c:pt idx="266">
                  <c:v>470.55</c:v>
                </c:pt>
                <c:pt idx="267">
                  <c:v>462.45</c:v>
                </c:pt>
                <c:pt idx="268">
                  <c:v>461.05</c:v>
                </c:pt>
                <c:pt idx="269">
                  <c:v>461.45</c:v>
                </c:pt>
                <c:pt idx="270">
                  <c:v>477.1</c:v>
                </c:pt>
                <c:pt idx="271">
                  <c:v>487.95</c:v>
                </c:pt>
                <c:pt idx="272">
                  <c:v>498.2</c:v>
                </c:pt>
                <c:pt idx="273">
                  <c:v>492.55</c:v>
                </c:pt>
                <c:pt idx="274">
                  <c:v>490.65</c:v>
                </c:pt>
                <c:pt idx="275">
                  <c:v>486.45</c:v>
                </c:pt>
                <c:pt idx="276">
                  <c:v>503.35</c:v>
                </c:pt>
                <c:pt idx="277">
                  <c:v>501.1</c:v>
                </c:pt>
                <c:pt idx="278">
                  <c:v>490.5</c:v>
                </c:pt>
                <c:pt idx="279">
                  <c:v>490.6</c:v>
                </c:pt>
                <c:pt idx="280">
                  <c:v>486.5</c:v>
                </c:pt>
                <c:pt idx="281">
                  <c:v>488.95</c:v>
                </c:pt>
                <c:pt idx="282">
                  <c:v>502.15</c:v>
                </c:pt>
                <c:pt idx="283">
                  <c:v>519</c:v>
                </c:pt>
                <c:pt idx="284">
                  <c:v>512.4</c:v>
                </c:pt>
                <c:pt idx="285">
                  <c:v>513.70000000000005</c:v>
                </c:pt>
                <c:pt idx="286">
                  <c:v>515.20000000000005</c:v>
                </c:pt>
                <c:pt idx="287">
                  <c:v>511.95</c:v>
                </c:pt>
                <c:pt idx="288">
                  <c:v>524.35</c:v>
                </c:pt>
                <c:pt idx="289">
                  <c:v>542.65</c:v>
                </c:pt>
                <c:pt idx="290">
                  <c:v>532.85</c:v>
                </c:pt>
                <c:pt idx="291">
                  <c:v>534.4</c:v>
                </c:pt>
                <c:pt idx="292">
                  <c:v>539</c:v>
                </c:pt>
                <c:pt idx="293">
                  <c:v>542.6</c:v>
                </c:pt>
                <c:pt idx="294">
                  <c:v>541.04999999999995</c:v>
                </c:pt>
                <c:pt idx="295">
                  <c:v>531.15</c:v>
                </c:pt>
                <c:pt idx="296">
                  <c:v>529.65</c:v>
                </c:pt>
                <c:pt idx="297">
                  <c:v>528.79999999999995</c:v>
                </c:pt>
                <c:pt idx="298">
                  <c:v>523.45000000000005</c:v>
                </c:pt>
                <c:pt idx="299">
                  <c:v>526.9</c:v>
                </c:pt>
                <c:pt idx="300">
                  <c:v>522.45000000000005</c:v>
                </c:pt>
                <c:pt idx="301">
                  <c:v>517.4</c:v>
                </c:pt>
                <c:pt idx="302">
                  <c:v>516.20000000000005</c:v>
                </c:pt>
                <c:pt idx="303">
                  <c:v>526.4</c:v>
                </c:pt>
                <c:pt idx="304">
                  <c:v>510.5</c:v>
                </c:pt>
                <c:pt idx="305">
                  <c:v>514.45000000000005</c:v>
                </c:pt>
                <c:pt idx="306">
                  <c:v>514</c:v>
                </c:pt>
                <c:pt idx="307">
                  <c:v>517.85</c:v>
                </c:pt>
                <c:pt idx="308">
                  <c:v>533.5</c:v>
                </c:pt>
                <c:pt idx="309">
                  <c:v>542.9</c:v>
                </c:pt>
                <c:pt idx="310">
                  <c:v>543.85</c:v>
                </c:pt>
                <c:pt idx="311">
                  <c:v>539.70000000000005</c:v>
                </c:pt>
                <c:pt idx="312">
                  <c:v>542.25</c:v>
                </c:pt>
                <c:pt idx="313">
                  <c:v>546.45000000000005</c:v>
                </c:pt>
                <c:pt idx="314">
                  <c:v>544.4</c:v>
                </c:pt>
                <c:pt idx="315">
                  <c:v>561</c:v>
                </c:pt>
                <c:pt idx="316">
                  <c:v>556.85</c:v>
                </c:pt>
                <c:pt idx="317">
                  <c:v>560.25</c:v>
                </c:pt>
                <c:pt idx="318">
                  <c:v>565.04999999999995</c:v>
                </c:pt>
                <c:pt idx="319">
                  <c:v>571</c:v>
                </c:pt>
                <c:pt idx="320">
                  <c:v>565.45000000000005</c:v>
                </c:pt>
                <c:pt idx="321">
                  <c:v>558.25</c:v>
                </c:pt>
                <c:pt idx="322">
                  <c:v>538.04999999999995</c:v>
                </c:pt>
                <c:pt idx="323">
                  <c:v>537.70000000000005</c:v>
                </c:pt>
                <c:pt idx="324">
                  <c:v>538.1</c:v>
                </c:pt>
                <c:pt idx="325">
                  <c:v>553.79999999999995</c:v>
                </c:pt>
                <c:pt idx="326">
                  <c:v>548.85</c:v>
                </c:pt>
                <c:pt idx="327">
                  <c:v>543.85</c:v>
                </c:pt>
                <c:pt idx="328">
                  <c:v>546.15</c:v>
                </c:pt>
                <c:pt idx="329">
                  <c:v>550.54999999999995</c:v>
                </c:pt>
                <c:pt idx="330">
                  <c:v>549.65</c:v>
                </c:pt>
                <c:pt idx="331">
                  <c:v>549.35</c:v>
                </c:pt>
                <c:pt idx="332">
                  <c:v>547.5</c:v>
                </c:pt>
                <c:pt idx="333">
                  <c:v>567.25</c:v>
                </c:pt>
                <c:pt idx="334">
                  <c:v>571.15</c:v>
                </c:pt>
                <c:pt idx="335">
                  <c:v>574.1</c:v>
                </c:pt>
                <c:pt idx="336">
                  <c:v>567.9</c:v>
                </c:pt>
                <c:pt idx="337">
                  <c:v>569.75</c:v>
                </c:pt>
                <c:pt idx="338">
                  <c:v>591</c:v>
                </c:pt>
                <c:pt idx="339">
                  <c:v>583.29999999999995</c:v>
                </c:pt>
                <c:pt idx="340">
                  <c:v>589.5</c:v>
                </c:pt>
                <c:pt idx="341">
                  <c:v>593.15</c:v>
                </c:pt>
                <c:pt idx="342">
                  <c:v>588.54999999999995</c:v>
                </c:pt>
                <c:pt idx="343">
                  <c:v>580.25</c:v>
                </c:pt>
                <c:pt idx="344">
                  <c:v>582.5</c:v>
                </c:pt>
                <c:pt idx="345">
                  <c:v>583.4</c:v>
                </c:pt>
                <c:pt idx="346">
                  <c:v>586.54999999999995</c:v>
                </c:pt>
                <c:pt idx="347">
                  <c:v>586.4</c:v>
                </c:pt>
                <c:pt idx="348">
                  <c:v>589.15</c:v>
                </c:pt>
                <c:pt idx="349">
                  <c:v>591.15</c:v>
                </c:pt>
                <c:pt idx="350">
                  <c:v>596.85</c:v>
                </c:pt>
                <c:pt idx="351">
                  <c:v>596.65</c:v>
                </c:pt>
                <c:pt idx="352">
                  <c:v>599.20000000000005</c:v>
                </c:pt>
                <c:pt idx="353">
                  <c:v>635.9</c:v>
                </c:pt>
                <c:pt idx="354">
                  <c:v>625.1</c:v>
                </c:pt>
                <c:pt idx="355">
                  <c:v>629.35</c:v>
                </c:pt>
                <c:pt idx="356">
                  <c:v>613.1</c:v>
                </c:pt>
                <c:pt idx="357">
                  <c:v>592.1</c:v>
                </c:pt>
                <c:pt idx="358">
                  <c:v>601.79999999999995</c:v>
                </c:pt>
                <c:pt idx="359">
                  <c:v>588.75</c:v>
                </c:pt>
                <c:pt idx="360">
                  <c:v>602.20000000000005</c:v>
                </c:pt>
                <c:pt idx="361">
                  <c:v>594.35</c:v>
                </c:pt>
                <c:pt idx="362">
                  <c:v>592.95000000000005</c:v>
                </c:pt>
                <c:pt idx="363">
                  <c:v>598.9</c:v>
                </c:pt>
                <c:pt idx="364">
                  <c:v>591.79999999999995</c:v>
                </c:pt>
                <c:pt idx="365">
                  <c:v>557.45000000000005</c:v>
                </c:pt>
                <c:pt idx="366">
                  <c:v>547.4</c:v>
                </c:pt>
                <c:pt idx="367">
                  <c:v>541</c:v>
                </c:pt>
                <c:pt idx="368">
                  <c:v>549.1</c:v>
                </c:pt>
                <c:pt idx="369">
                  <c:v>539.29999999999995</c:v>
                </c:pt>
                <c:pt idx="370">
                  <c:v>541.35</c:v>
                </c:pt>
                <c:pt idx="371">
                  <c:v>550.9</c:v>
                </c:pt>
                <c:pt idx="372">
                  <c:v>546.6</c:v>
                </c:pt>
                <c:pt idx="373">
                  <c:v>535.70000000000005</c:v>
                </c:pt>
                <c:pt idx="374">
                  <c:v>530.79999999999995</c:v>
                </c:pt>
                <c:pt idx="375">
                  <c:v>533.85</c:v>
                </c:pt>
                <c:pt idx="376">
                  <c:v>531.54999999999995</c:v>
                </c:pt>
                <c:pt idx="377">
                  <c:v>518.79999999999995</c:v>
                </c:pt>
                <c:pt idx="378">
                  <c:v>520.65</c:v>
                </c:pt>
                <c:pt idx="379">
                  <c:v>519</c:v>
                </c:pt>
                <c:pt idx="380">
                  <c:v>532.45000000000005</c:v>
                </c:pt>
                <c:pt idx="381">
                  <c:v>535.54999999999995</c:v>
                </c:pt>
                <c:pt idx="382">
                  <c:v>540.04999999999995</c:v>
                </c:pt>
                <c:pt idx="383">
                  <c:v>526.1</c:v>
                </c:pt>
                <c:pt idx="384">
                  <c:v>521.54999999999995</c:v>
                </c:pt>
                <c:pt idx="385">
                  <c:v>529.1</c:v>
                </c:pt>
                <c:pt idx="386">
                  <c:v>487.55</c:v>
                </c:pt>
                <c:pt idx="387">
                  <c:v>485.65</c:v>
                </c:pt>
                <c:pt idx="388">
                  <c:v>486.9</c:v>
                </c:pt>
                <c:pt idx="389">
                  <c:v>487.7</c:v>
                </c:pt>
                <c:pt idx="390">
                  <c:v>475.8</c:v>
                </c:pt>
                <c:pt idx="391">
                  <c:v>476.8</c:v>
                </c:pt>
                <c:pt idx="392">
                  <c:v>475.85</c:v>
                </c:pt>
                <c:pt idx="393">
                  <c:v>478.7</c:v>
                </c:pt>
                <c:pt idx="394">
                  <c:v>485.4</c:v>
                </c:pt>
                <c:pt idx="395">
                  <c:v>490.85</c:v>
                </c:pt>
                <c:pt idx="396">
                  <c:v>487.55</c:v>
                </c:pt>
                <c:pt idx="397">
                  <c:v>506.95</c:v>
                </c:pt>
                <c:pt idx="398">
                  <c:v>498.75</c:v>
                </c:pt>
                <c:pt idx="399">
                  <c:v>479.3</c:v>
                </c:pt>
                <c:pt idx="400">
                  <c:v>472.7</c:v>
                </c:pt>
                <c:pt idx="401">
                  <c:v>474.1</c:v>
                </c:pt>
                <c:pt idx="402">
                  <c:v>473.45</c:v>
                </c:pt>
                <c:pt idx="403">
                  <c:v>465.7</c:v>
                </c:pt>
                <c:pt idx="404">
                  <c:v>470.75</c:v>
                </c:pt>
                <c:pt idx="405">
                  <c:v>480.5</c:v>
                </c:pt>
                <c:pt idx="406">
                  <c:v>468.2</c:v>
                </c:pt>
                <c:pt idx="407">
                  <c:v>471.2</c:v>
                </c:pt>
                <c:pt idx="408">
                  <c:v>472.9</c:v>
                </c:pt>
                <c:pt idx="409">
                  <c:v>464.65</c:v>
                </c:pt>
                <c:pt idx="410">
                  <c:v>469.85</c:v>
                </c:pt>
                <c:pt idx="411">
                  <c:v>466.05</c:v>
                </c:pt>
                <c:pt idx="412">
                  <c:v>459.95</c:v>
                </c:pt>
                <c:pt idx="413">
                  <c:v>460.75</c:v>
                </c:pt>
                <c:pt idx="414">
                  <c:v>455.95</c:v>
                </c:pt>
                <c:pt idx="415">
                  <c:v>447.1</c:v>
                </c:pt>
                <c:pt idx="416">
                  <c:v>449.35</c:v>
                </c:pt>
                <c:pt idx="417">
                  <c:v>456.4</c:v>
                </c:pt>
                <c:pt idx="418">
                  <c:v>445.1</c:v>
                </c:pt>
                <c:pt idx="419">
                  <c:v>452.95</c:v>
                </c:pt>
                <c:pt idx="420">
                  <c:v>467.2</c:v>
                </c:pt>
                <c:pt idx="421">
                  <c:v>478.1</c:v>
                </c:pt>
                <c:pt idx="422">
                  <c:v>472.8</c:v>
                </c:pt>
                <c:pt idx="423">
                  <c:v>467.6</c:v>
                </c:pt>
                <c:pt idx="424">
                  <c:v>461.65</c:v>
                </c:pt>
                <c:pt idx="425">
                  <c:v>457.7</c:v>
                </c:pt>
                <c:pt idx="426">
                  <c:v>447.55</c:v>
                </c:pt>
                <c:pt idx="427">
                  <c:v>438.1</c:v>
                </c:pt>
                <c:pt idx="428">
                  <c:v>432</c:v>
                </c:pt>
                <c:pt idx="429">
                  <c:v>437.65</c:v>
                </c:pt>
                <c:pt idx="430">
                  <c:v>440.05</c:v>
                </c:pt>
                <c:pt idx="431">
                  <c:v>444.25</c:v>
                </c:pt>
                <c:pt idx="432">
                  <c:v>449.95</c:v>
                </c:pt>
                <c:pt idx="433">
                  <c:v>447.75</c:v>
                </c:pt>
                <c:pt idx="434">
                  <c:v>455.25</c:v>
                </c:pt>
                <c:pt idx="435">
                  <c:v>453.1</c:v>
                </c:pt>
                <c:pt idx="436">
                  <c:v>458.05</c:v>
                </c:pt>
                <c:pt idx="437">
                  <c:v>455.2</c:v>
                </c:pt>
                <c:pt idx="438">
                  <c:v>452.75</c:v>
                </c:pt>
                <c:pt idx="439">
                  <c:v>447.35</c:v>
                </c:pt>
                <c:pt idx="440">
                  <c:v>453.6</c:v>
                </c:pt>
                <c:pt idx="441">
                  <c:v>455.2</c:v>
                </c:pt>
                <c:pt idx="442">
                  <c:v>472.8</c:v>
                </c:pt>
                <c:pt idx="443">
                  <c:v>477.25</c:v>
                </c:pt>
                <c:pt idx="444">
                  <c:v>487.2</c:v>
                </c:pt>
                <c:pt idx="445">
                  <c:v>488.5</c:v>
                </c:pt>
                <c:pt idx="446">
                  <c:v>483.8</c:v>
                </c:pt>
                <c:pt idx="447">
                  <c:v>450.75</c:v>
                </c:pt>
                <c:pt idx="448">
                  <c:v>445</c:v>
                </c:pt>
                <c:pt idx="449">
                  <c:v>451.25</c:v>
                </c:pt>
                <c:pt idx="450">
                  <c:v>463.55</c:v>
                </c:pt>
                <c:pt idx="451">
                  <c:v>472.85</c:v>
                </c:pt>
                <c:pt idx="452">
                  <c:v>471.9</c:v>
                </c:pt>
                <c:pt idx="453">
                  <c:v>466</c:v>
                </c:pt>
                <c:pt idx="454">
                  <c:v>475.65</c:v>
                </c:pt>
                <c:pt idx="455">
                  <c:v>482.55</c:v>
                </c:pt>
                <c:pt idx="456">
                  <c:v>490.7</c:v>
                </c:pt>
                <c:pt idx="457">
                  <c:v>498.3</c:v>
                </c:pt>
                <c:pt idx="458">
                  <c:v>493.4</c:v>
                </c:pt>
                <c:pt idx="459">
                  <c:v>487.6</c:v>
                </c:pt>
                <c:pt idx="460">
                  <c:v>485.25</c:v>
                </c:pt>
                <c:pt idx="461">
                  <c:v>488.9</c:v>
                </c:pt>
                <c:pt idx="462">
                  <c:v>490.3</c:v>
                </c:pt>
                <c:pt idx="463">
                  <c:v>486.9</c:v>
                </c:pt>
                <c:pt idx="464">
                  <c:v>488.2</c:v>
                </c:pt>
                <c:pt idx="465">
                  <c:v>493.15</c:v>
                </c:pt>
                <c:pt idx="466">
                  <c:v>489.1</c:v>
                </c:pt>
                <c:pt idx="467">
                  <c:v>481.05</c:v>
                </c:pt>
                <c:pt idx="468">
                  <c:v>504.35</c:v>
                </c:pt>
                <c:pt idx="469">
                  <c:v>525.29999999999995</c:v>
                </c:pt>
                <c:pt idx="470">
                  <c:v>528.15</c:v>
                </c:pt>
                <c:pt idx="471">
                  <c:v>508.95</c:v>
                </c:pt>
                <c:pt idx="472">
                  <c:v>506.65</c:v>
                </c:pt>
                <c:pt idx="473">
                  <c:v>513.4</c:v>
                </c:pt>
                <c:pt idx="474">
                  <c:v>506.3</c:v>
                </c:pt>
                <c:pt idx="475">
                  <c:v>512.9</c:v>
                </c:pt>
                <c:pt idx="476">
                  <c:v>518.65</c:v>
                </c:pt>
                <c:pt idx="477">
                  <c:v>511.8</c:v>
                </c:pt>
                <c:pt idx="478">
                  <c:v>510.15</c:v>
                </c:pt>
                <c:pt idx="479">
                  <c:v>516.4</c:v>
                </c:pt>
                <c:pt idx="480">
                  <c:v>515.9</c:v>
                </c:pt>
                <c:pt idx="481">
                  <c:v>510.9</c:v>
                </c:pt>
                <c:pt idx="482">
                  <c:v>511.7</c:v>
                </c:pt>
                <c:pt idx="483">
                  <c:v>513.65</c:v>
                </c:pt>
                <c:pt idx="484">
                  <c:v>517.15</c:v>
                </c:pt>
                <c:pt idx="485">
                  <c:v>502.85</c:v>
                </c:pt>
                <c:pt idx="486">
                  <c:v>488.3</c:v>
                </c:pt>
                <c:pt idx="487">
                  <c:v>485.45</c:v>
                </c:pt>
                <c:pt idx="488">
                  <c:v>488.25</c:v>
                </c:pt>
                <c:pt idx="489">
                  <c:v>489.35</c:v>
                </c:pt>
                <c:pt idx="490">
                  <c:v>487.15</c:v>
                </c:pt>
                <c:pt idx="491">
                  <c:v>502.8</c:v>
                </c:pt>
                <c:pt idx="492">
                  <c:v>504.2</c:v>
                </c:pt>
                <c:pt idx="493">
                  <c:v>499.25</c:v>
                </c:pt>
                <c:pt idx="494">
                  <c:v>490.8</c:v>
                </c:pt>
                <c:pt idx="495">
                  <c:v>500.6</c:v>
                </c:pt>
                <c:pt idx="496">
                  <c:v>508.3</c:v>
                </c:pt>
                <c:pt idx="497">
                  <c:v>508.7</c:v>
                </c:pt>
                <c:pt idx="498">
                  <c:v>504.2</c:v>
                </c:pt>
                <c:pt idx="499">
                  <c:v>510.75</c:v>
                </c:pt>
                <c:pt idx="500">
                  <c:v>515.04999999999995</c:v>
                </c:pt>
                <c:pt idx="501">
                  <c:v>506</c:v>
                </c:pt>
                <c:pt idx="502">
                  <c:v>507.55</c:v>
                </c:pt>
                <c:pt idx="503">
                  <c:v>502.35</c:v>
                </c:pt>
                <c:pt idx="504">
                  <c:v>499.65</c:v>
                </c:pt>
                <c:pt idx="505">
                  <c:v>499.5</c:v>
                </c:pt>
                <c:pt idx="506">
                  <c:v>488</c:v>
                </c:pt>
                <c:pt idx="507">
                  <c:v>486.25</c:v>
                </c:pt>
                <c:pt idx="508">
                  <c:v>498.65</c:v>
                </c:pt>
                <c:pt idx="509">
                  <c:v>516.4</c:v>
                </c:pt>
                <c:pt idx="510">
                  <c:v>517.15</c:v>
                </c:pt>
                <c:pt idx="511">
                  <c:v>506.6</c:v>
                </c:pt>
                <c:pt idx="512">
                  <c:v>509.65</c:v>
                </c:pt>
                <c:pt idx="513">
                  <c:v>505.55</c:v>
                </c:pt>
                <c:pt idx="514">
                  <c:v>500.85</c:v>
                </c:pt>
                <c:pt idx="515">
                  <c:v>518.85</c:v>
                </c:pt>
                <c:pt idx="516">
                  <c:v>504.5</c:v>
                </c:pt>
                <c:pt idx="517">
                  <c:v>511.2</c:v>
                </c:pt>
                <c:pt idx="518">
                  <c:v>518.20000000000005</c:v>
                </c:pt>
                <c:pt idx="519">
                  <c:v>526.35</c:v>
                </c:pt>
                <c:pt idx="520">
                  <c:v>516.9</c:v>
                </c:pt>
                <c:pt idx="521">
                  <c:v>503</c:v>
                </c:pt>
                <c:pt idx="522">
                  <c:v>500.1</c:v>
                </c:pt>
                <c:pt idx="523">
                  <c:v>501.5</c:v>
                </c:pt>
                <c:pt idx="524">
                  <c:v>502.8</c:v>
                </c:pt>
                <c:pt idx="525">
                  <c:v>492</c:v>
                </c:pt>
                <c:pt idx="526">
                  <c:v>501.7</c:v>
                </c:pt>
                <c:pt idx="527">
                  <c:v>502.3</c:v>
                </c:pt>
                <c:pt idx="528">
                  <c:v>500.6</c:v>
                </c:pt>
                <c:pt idx="529">
                  <c:v>499.3</c:v>
                </c:pt>
                <c:pt idx="530">
                  <c:v>507.45</c:v>
                </c:pt>
                <c:pt idx="531">
                  <c:v>511.45</c:v>
                </c:pt>
                <c:pt idx="532">
                  <c:v>507.25</c:v>
                </c:pt>
                <c:pt idx="533">
                  <c:v>514.4</c:v>
                </c:pt>
                <c:pt idx="534">
                  <c:v>514.04999999999995</c:v>
                </c:pt>
                <c:pt idx="535">
                  <c:v>509.3</c:v>
                </c:pt>
                <c:pt idx="536">
                  <c:v>508.05</c:v>
                </c:pt>
                <c:pt idx="537">
                  <c:v>513.65</c:v>
                </c:pt>
                <c:pt idx="538">
                  <c:v>510.2</c:v>
                </c:pt>
                <c:pt idx="539">
                  <c:v>514.20000000000005</c:v>
                </c:pt>
                <c:pt idx="540">
                  <c:v>515.75</c:v>
                </c:pt>
                <c:pt idx="541">
                  <c:v>513.65</c:v>
                </c:pt>
                <c:pt idx="542">
                  <c:v>507.5</c:v>
                </c:pt>
                <c:pt idx="543">
                  <c:v>506.45</c:v>
                </c:pt>
                <c:pt idx="544">
                  <c:v>509.5</c:v>
                </c:pt>
                <c:pt idx="545">
                  <c:v>507.6</c:v>
                </c:pt>
                <c:pt idx="546">
                  <c:v>510.45</c:v>
                </c:pt>
                <c:pt idx="547">
                  <c:v>520.15</c:v>
                </c:pt>
                <c:pt idx="548">
                  <c:v>511.85</c:v>
                </c:pt>
                <c:pt idx="549">
                  <c:v>507.75</c:v>
                </c:pt>
                <c:pt idx="550">
                  <c:v>508</c:v>
                </c:pt>
                <c:pt idx="551">
                  <c:v>504.65</c:v>
                </c:pt>
                <c:pt idx="552">
                  <c:v>492.85</c:v>
                </c:pt>
                <c:pt idx="553">
                  <c:v>492</c:v>
                </c:pt>
                <c:pt idx="554">
                  <c:v>512.1</c:v>
                </c:pt>
                <c:pt idx="555">
                  <c:v>517.35</c:v>
                </c:pt>
                <c:pt idx="556">
                  <c:v>517.25</c:v>
                </c:pt>
                <c:pt idx="557">
                  <c:v>508.4</c:v>
                </c:pt>
                <c:pt idx="558">
                  <c:v>513.9</c:v>
                </c:pt>
                <c:pt idx="559">
                  <c:v>509.5</c:v>
                </c:pt>
                <c:pt idx="560">
                  <c:v>503.15</c:v>
                </c:pt>
                <c:pt idx="561">
                  <c:v>509.95</c:v>
                </c:pt>
                <c:pt idx="562">
                  <c:v>506.8</c:v>
                </c:pt>
                <c:pt idx="563">
                  <c:v>506.75</c:v>
                </c:pt>
                <c:pt idx="564">
                  <c:v>511.9</c:v>
                </c:pt>
                <c:pt idx="565">
                  <c:v>512.95000000000005</c:v>
                </c:pt>
                <c:pt idx="566">
                  <c:v>510.5</c:v>
                </c:pt>
                <c:pt idx="567">
                  <c:v>516.54999999999995</c:v>
                </c:pt>
                <c:pt idx="568">
                  <c:v>520.20000000000005</c:v>
                </c:pt>
                <c:pt idx="569">
                  <c:v>540</c:v>
                </c:pt>
                <c:pt idx="570">
                  <c:v>540.79999999999995</c:v>
                </c:pt>
                <c:pt idx="571">
                  <c:v>534.79999999999995</c:v>
                </c:pt>
                <c:pt idx="572">
                  <c:v>544.95000000000005</c:v>
                </c:pt>
                <c:pt idx="573">
                  <c:v>528.85</c:v>
                </c:pt>
                <c:pt idx="574">
                  <c:v>524.65</c:v>
                </c:pt>
                <c:pt idx="575">
                  <c:v>515.1</c:v>
                </c:pt>
                <c:pt idx="576">
                  <c:v>519.79999999999995</c:v>
                </c:pt>
                <c:pt idx="577">
                  <c:v>516.54999999999995</c:v>
                </c:pt>
                <c:pt idx="578">
                  <c:v>516.9</c:v>
                </c:pt>
                <c:pt idx="579">
                  <c:v>506</c:v>
                </c:pt>
                <c:pt idx="580">
                  <c:v>508.1</c:v>
                </c:pt>
                <c:pt idx="581">
                  <c:v>505.8</c:v>
                </c:pt>
                <c:pt idx="582">
                  <c:v>499.45</c:v>
                </c:pt>
                <c:pt idx="583">
                  <c:v>486.95</c:v>
                </c:pt>
                <c:pt idx="584">
                  <c:v>485.5</c:v>
                </c:pt>
                <c:pt idx="585">
                  <c:v>489.7</c:v>
                </c:pt>
                <c:pt idx="586">
                  <c:v>491.75</c:v>
                </c:pt>
                <c:pt idx="587">
                  <c:v>499.5</c:v>
                </c:pt>
                <c:pt idx="588">
                  <c:v>497.15</c:v>
                </c:pt>
                <c:pt idx="589">
                  <c:v>490.4</c:v>
                </c:pt>
                <c:pt idx="590">
                  <c:v>494.8</c:v>
                </c:pt>
                <c:pt idx="591">
                  <c:v>499.2</c:v>
                </c:pt>
                <c:pt idx="592">
                  <c:v>502.65</c:v>
                </c:pt>
                <c:pt idx="593">
                  <c:v>506.85</c:v>
                </c:pt>
                <c:pt idx="594">
                  <c:v>510.6</c:v>
                </c:pt>
                <c:pt idx="595">
                  <c:v>503.6</c:v>
                </c:pt>
                <c:pt idx="596">
                  <c:v>503.9</c:v>
                </c:pt>
                <c:pt idx="597">
                  <c:v>500.35</c:v>
                </c:pt>
                <c:pt idx="598">
                  <c:v>507.55</c:v>
                </c:pt>
                <c:pt idx="599">
                  <c:v>501.75</c:v>
                </c:pt>
                <c:pt idx="600">
                  <c:v>503.4</c:v>
                </c:pt>
                <c:pt idx="601">
                  <c:v>492.85</c:v>
                </c:pt>
                <c:pt idx="602">
                  <c:v>496.6</c:v>
                </c:pt>
                <c:pt idx="603">
                  <c:v>494</c:v>
                </c:pt>
                <c:pt idx="604">
                  <c:v>493.9</c:v>
                </c:pt>
                <c:pt idx="605">
                  <c:v>496.5</c:v>
                </c:pt>
                <c:pt idx="606">
                  <c:v>499.3</c:v>
                </c:pt>
                <c:pt idx="607">
                  <c:v>519.75</c:v>
                </c:pt>
                <c:pt idx="608">
                  <c:v>516.15</c:v>
                </c:pt>
                <c:pt idx="609">
                  <c:v>524.54999999999995</c:v>
                </c:pt>
                <c:pt idx="610">
                  <c:v>520.75</c:v>
                </c:pt>
                <c:pt idx="611">
                  <c:v>519.45000000000005</c:v>
                </c:pt>
                <c:pt idx="612">
                  <c:v>512.54999999999995</c:v>
                </c:pt>
                <c:pt idx="613">
                  <c:v>505.3</c:v>
                </c:pt>
                <c:pt idx="614">
                  <c:v>501.7</c:v>
                </c:pt>
                <c:pt idx="615">
                  <c:v>511.95</c:v>
                </c:pt>
                <c:pt idx="616">
                  <c:v>506.3</c:v>
                </c:pt>
                <c:pt idx="617">
                  <c:v>511.8</c:v>
                </c:pt>
                <c:pt idx="618">
                  <c:v>509.15</c:v>
                </c:pt>
                <c:pt idx="619">
                  <c:v>509.65</c:v>
                </c:pt>
                <c:pt idx="620">
                  <c:v>505.95</c:v>
                </c:pt>
                <c:pt idx="621">
                  <c:v>501.2</c:v>
                </c:pt>
                <c:pt idx="622">
                  <c:v>503.35</c:v>
                </c:pt>
                <c:pt idx="623">
                  <c:v>505.95</c:v>
                </c:pt>
                <c:pt idx="624">
                  <c:v>514.54999999999995</c:v>
                </c:pt>
                <c:pt idx="625">
                  <c:v>515.75</c:v>
                </c:pt>
                <c:pt idx="626">
                  <c:v>525.1</c:v>
                </c:pt>
                <c:pt idx="627">
                  <c:v>529.45000000000005</c:v>
                </c:pt>
                <c:pt idx="628">
                  <c:v>520.35</c:v>
                </c:pt>
                <c:pt idx="629">
                  <c:v>513.15</c:v>
                </c:pt>
                <c:pt idx="630">
                  <c:v>464.5</c:v>
                </c:pt>
                <c:pt idx="631">
                  <c:v>460.3</c:v>
                </c:pt>
                <c:pt idx="632">
                  <c:v>449.95</c:v>
                </c:pt>
                <c:pt idx="633">
                  <c:v>451.95</c:v>
                </c:pt>
                <c:pt idx="634">
                  <c:v>473</c:v>
                </c:pt>
                <c:pt idx="635">
                  <c:v>484.3</c:v>
                </c:pt>
                <c:pt idx="636">
                  <c:v>485.95</c:v>
                </c:pt>
                <c:pt idx="637">
                  <c:v>484</c:v>
                </c:pt>
                <c:pt idx="638">
                  <c:v>523.15</c:v>
                </c:pt>
                <c:pt idx="639">
                  <c:v>535.1</c:v>
                </c:pt>
                <c:pt idx="640">
                  <c:v>532.15</c:v>
                </c:pt>
                <c:pt idx="641">
                  <c:v>540.1</c:v>
                </c:pt>
                <c:pt idx="642">
                  <c:v>534.5</c:v>
                </c:pt>
                <c:pt idx="643">
                  <c:v>527.15</c:v>
                </c:pt>
                <c:pt idx="644">
                  <c:v>544.85</c:v>
                </c:pt>
                <c:pt idx="645">
                  <c:v>540.4</c:v>
                </c:pt>
                <c:pt idx="646">
                  <c:v>544.79999999999995</c:v>
                </c:pt>
                <c:pt idx="647">
                  <c:v>537.35</c:v>
                </c:pt>
                <c:pt idx="648">
                  <c:v>545.65</c:v>
                </c:pt>
                <c:pt idx="649">
                  <c:v>542</c:v>
                </c:pt>
                <c:pt idx="650">
                  <c:v>542.6</c:v>
                </c:pt>
                <c:pt idx="651">
                  <c:v>542.4</c:v>
                </c:pt>
                <c:pt idx="652">
                  <c:v>545.15</c:v>
                </c:pt>
                <c:pt idx="653">
                  <c:v>546.79999999999995</c:v>
                </c:pt>
                <c:pt idx="654">
                  <c:v>540.5</c:v>
                </c:pt>
                <c:pt idx="655">
                  <c:v>544.15</c:v>
                </c:pt>
                <c:pt idx="656">
                  <c:v>545.5</c:v>
                </c:pt>
                <c:pt idx="657">
                  <c:v>559.4</c:v>
                </c:pt>
                <c:pt idx="658">
                  <c:v>562.54999999999995</c:v>
                </c:pt>
                <c:pt idx="659">
                  <c:v>549.5</c:v>
                </c:pt>
                <c:pt idx="660">
                  <c:v>535.4</c:v>
                </c:pt>
                <c:pt idx="661">
                  <c:v>533.85</c:v>
                </c:pt>
                <c:pt idx="662">
                  <c:v>534.95000000000005</c:v>
                </c:pt>
                <c:pt idx="663">
                  <c:v>533.15</c:v>
                </c:pt>
                <c:pt idx="664">
                  <c:v>530.5</c:v>
                </c:pt>
                <c:pt idx="665">
                  <c:v>534.04999999999995</c:v>
                </c:pt>
                <c:pt idx="666">
                  <c:v>542.5</c:v>
                </c:pt>
                <c:pt idx="667">
                  <c:v>545.1</c:v>
                </c:pt>
                <c:pt idx="668">
                  <c:v>538.6</c:v>
                </c:pt>
                <c:pt idx="669">
                  <c:v>535.75</c:v>
                </c:pt>
                <c:pt idx="670">
                  <c:v>541.45000000000005</c:v>
                </c:pt>
                <c:pt idx="671">
                  <c:v>547.95000000000005</c:v>
                </c:pt>
                <c:pt idx="672">
                  <c:v>548.65</c:v>
                </c:pt>
                <c:pt idx="673">
                  <c:v>553.65</c:v>
                </c:pt>
                <c:pt idx="674">
                  <c:v>554.5</c:v>
                </c:pt>
                <c:pt idx="675">
                  <c:v>548.95000000000005</c:v>
                </c:pt>
                <c:pt idx="676">
                  <c:v>553.6</c:v>
                </c:pt>
                <c:pt idx="677">
                  <c:v>555</c:v>
                </c:pt>
                <c:pt idx="678">
                  <c:v>554.6</c:v>
                </c:pt>
                <c:pt idx="679">
                  <c:v>546.85</c:v>
                </c:pt>
                <c:pt idx="680">
                  <c:v>563.95000000000005</c:v>
                </c:pt>
                <c:pt idx="681">
                  <c:v>565.5</c:v>
                </c:pt>
                <c:pt idx="682">
                  <c:v>559.5</c:v>
                </c:pt>
                <c:pt idx="683">
                  <c:v>560.45000000000005</c:v>
                </c:pt>
                <c:pt idx="684">
                  <c:v>559.9</c:v>
                </c:pt>
                <c:pt idx="685">
                  <c:v>563.25</c:v>
                </c:pt>
                <c:pt idx="686">
                  <c:v>565.45000000000005</c:v>
                </c:pt>
                <c:pt idx="687">
                  <c:v>565.29999999999995</c:v>
                </c:pt>
                <c:pt idx="688">
                  <c:v>562.79999999999995</c:v>
                </c:pt>
                <c:pt idx="689">
                  <c:v>558.75</c:v>
                </c:pt>
                <c:pt idx="690">
                  <c:v>555.1</c:v>
                </c:pt>
                <c:pt idx="691">
                  <c:v>560.54999999999995</c:v>
                </c:pt>
                <c:pt idx="692">
                  <c:v>563.20000000000005</c:v>
                </c:pt>
                <c:pt idx="693">
                  <c:v>585.20000000000005</c:v>
                </c:pt>
                <c:pt idx="694">
                  <c:v>584.79999999999995</c:v>
                </c:pt>
                <c:pt idx="695">
                  <c:v>590.25</c:v>
                </c:pt>
                <c:pt idx="696">
                  <c:v>611.54999999999995</c:v>
                </c:pt>
                <c:pt idx="697">
                  <c:v>620.1</c:v>
                </c:pt>
                <c:pt idx="698">
                  <c:v>607.95000000000005</c:v>
                </c:pt>
                <c:pt idx="699">
                  <c:v>616.1</c:v>
                </c:pt>
                <c:pt idx="700">
                  <c:v>605.54999999999995</c:v>
                </c:pt>
                <c:pt idx="701">
                  <c:v>593.75</c:v>
                </c:pt>
                <c:pt idx="702">
                  <c:v>593.6</c:v>
                </c:pt>
                <c:pt idx="703">
                  <c:v>592.79999999999995</c:v>
                </c:pt>
                <c:pt idx="704">
                  <c:v>564.9</c:v>
                </c:pt>
                <c:pt idx="705">
                  <c:v>566.25</c:v>
                </c:pt>
                <c:pt idx="706">
                  <c:v>563.70000000000005</c:v>
                </c:pt>
                <c:pt idx="707">
                  <c:v>559.35</c:v>
                </c:pt>
                <c:pt idx="708">
                  <c:v>568.45000000000005</c:v>
                </c:pt>
                <c:pt idx="709">
                  <c:v>557.54999999999995</c:v>
                </c:pt>
                <c:pt idx="710">
                  <c:v>564.20000000000005</c:v>
                </c:pt>
                <c:pt idx="711">
                  <c:v>543.9</c:v>
                </c:pt>
                <c:pt idx="712">
                  <c:v>543.70000000000005</c:v>
                </c:pt>
                <c:pt idx="713">
                  <c:v>537.85</c:v>
                </c:pt>
                <c:pt idx="714">
                  <c:v>540.54999999999995</c:v>
                </c:pt>
                <c:pt idx="715">
                  <c:v>531.70000000000005</c:v>
                </c:pt>
                <c:pt idx="716">
                  <c:v>535.79999999999995</c:v>
                </c:pt>
                <c:pt idx="717">
                  <c:v>530.25</c:v>
                </c:pt>
                <c:pt idx="718">
                  <c:v>536.65</c:v>
                </c:pt>
                <c:pt idx="719">
                  <c:v>552.29999999999995</c:v>
                </c:pt>
                <c:pt idx="720">
                  <c:v>538.4</c:v>
                </c:pt>
                <c:pt idx="721">
                  <c:v>528.75</c:v>
                </c:pt>
                <c:pt idx="722">
                  <c:v>525.75</c:v>
                </c:pt>
                <c:pt idx="723">
                  <c:v>524.54999999999995</c:v>
                </c:pt>
                <c:pt idx="724">
                  <c:v>517.35</c:v>
                </c:pt>
                <c:pt idx="725">
                  <c:v>512.65</c:v>
                </c:pt>
                <c:pt idx="726">
                  <c:v>520.54999999999995</c:v>
                </c:pt>
                <c:pt idx="727">
                  <c:v>505.35</c:v>
                </c:pt>
                <c:pt idx="728">
                  <c:v>519.20000000000005</c:v>
                </c:pt>
                <c:pt idx="729">
                  <c:v>531.5</c:v>
                </c:pt>
                <c:pt idx="730">
                  <c:v>536.15</c:v>
                </c:pt>
                <c:pt idx="731">
                  <c:v>529.65</c:v>
                </c:pt>
                <c:pt idx="732">
                  <c:v>522.6</c:v>
                </c:pt>
                <c:pt idx="733">
                  <c:v>519.45000000000005</c:v>
                </c:pt>
                <c:pt idx="734">
                  <c:v>521.1</c:v>
                </c:pt>
                <c:pt idx="735">
                  <c:v>526.29999999999995</c:v>
                </c:pt>
                <c:pt idx="736">
                  <c:v>518.20000000000005</c:v>
                </c:pt>
                <c:pt idx="737">
                  <c:v>499.5</c:v>
                </c:pt>
                <c:pt idx="738">
                  <c:v>507.3</c:v>
                </c:pt>
                <c:pt idx="739">
                  <c:v>512.20000000000005</c:v>
                </c:pt>
                <c:pt idx="740">
                  <c:v>510.5</c:v>
                </c:pt>
                <c:pt idx="741">
                  <c:v>499.05</c:v>
                </c:pt>
                <c:pt idx="742">
                  <c:v>501.55</c:v>
                </c:pt>
                <c:pt idx="743">
                  <c:v>492.25</c:v>
                </c:pt>
                <c:pt idx="744">
                  <c:v>503.1</c:v>
                </c:pt>
                <c:pt idx="745">
                  <c:v>500.2</c:v>
                </c:pt>
                <c:pt idx="746">
                  <c:v>519.29999999999995</c:v>
                </c:pt>
                <c:pt idx="747">
                  <c:v>546.15</c:v>
                </c:pt>
                <c:pt idx="748">
                  <c:v>539.79999999999995</c:v>
                </c:pt>
                <c:pt idx="749">
                  <c:v>548.75</c:v>
                </c:pt>
                <c:pt idx="750">
                  <c:v>542.54999999999995</c:v>
                </c:pt>
                <c:pt idx="751">
                  <c:v>542.4</c:v>
                </c:pt>
                <c:pt idx="752">
                  <c:v>532.4</c:v>
                </c:pt>
                <c:pt idx="753">
                  <c:v>518.25</c:v>
                </c:pt>
                <c:pt idx="754">
                  <c:v>512.9</c:v>
                </c:pt>
                <c:pt idx="755">
                  <c:v>505.7</c:v>
                </c:pt>
                <c:pt idx="756">
                  <c:v>506.2</c:v>
                </c:pt>
                <c:pt idx="757">
                  <c:v>504.85</c:v>
                </c:pt>
                <c:pt idx="758">
                  <c:v>498.4</c:v>
                </c:pt>
                <c:pt idx="759">
                  <c:v>493.75</c:v>
                </c:pt>
                <c:pt idx="760">
                  <c:v>539.20000000000005</c:v>
                </c:pt>
                <c:pt idx="761">
                  <c:v>517.29999999999995</c:v>
                </c:pt>
                <c:pt idx="762">
                  <c:v>523.75</c:v>
                </c:pt>
                <c:pt idx="763">
                  <c:v>533.4</c:v>
                </c:pt>
                <c:pt idx="764">
                  <c:v>520.29999999999995</c:v>
                </c:pt>
                <c:pt idx="765">
                  <c:v>536.1</c:v>
                </c:pt>
                <c:pt idx="766">
                  <c:v>542.25</c:v>
                </c:pt>
                <c:pt idx="767">
                  <c:v>548.5</c:v>
                </c:pt>
                <c:pt idx="768">
                  <c:v>547.65</c:v>
                </c:pt>
                <c:pt idx="769">
                  <c:v>553.29999999999995</c:v>
                </c:pt>
                <c:pt idx="770">
                  <c:v>551.9</c:v>
                </c:pt>
                <c:pt idx="771">
                  <c:v>549.70000000000005</c:v>
                </c:pt>
                <c:pt idx="772">
                  <c:v>550</c:v>
                </c:pt>
                <c:pt idx="773">
                  <c:v>539.45000000000005</c:v>
                </c:pt>
                <c:pt idx="774">
                  <c:v>532.9</c:v>
                </c:pt>
                <c:pt idx="775">
                  <c:v>526.85</c:v>
                </c:pt>
                <c:pt idx="776">
                  <c:v>523.29999999999995</c:v>
                </c:pt>
                <c:pt idx="777">
                  <c:v>520.25</c:v>
                </c:pt>
                <c:pt idx="778">
                  <c:v>534.45000000000005</c:v>
                </c:pt>
                <c:pt idx="779">
                  <c:v>538.5</c:v>
                </c:pt>
                <c:pt idx="780">
                  <c:v>546.15</c:v>
                </c:pt>
                <c:pt idx="781">
                  <c:v>547.75</c:v>
                </c:pt>
                <c:pt idx="782">
                  <c:v>541.65</c:v>
                </c:pt>
                <c:pt idx="783">
                  <c:v>545.9</c:v>
                </c:pt>
                <c:pt idx="784">
                  <c:v>536.65</c:v>
                </c:pt>
                <c:pt idx="785">
                  <c:v>537.04999999999995</c:v>
                </c:pt>
                <c:pt idx="786">
                  <c:v>530.9</c:v>
                </c:pt>
                <c:pt idx="787">
                  <c:v>531.4</c:v>
                </c:pt>
                <c:pt idx="788">
                  <c:v>542.4</c:v>
                </c:pt>
                <c:pt idx="789">
                  <c:v>537.4</c:v>
                </c:pt>
                <c:pt idx="790">
                  <c:v>539.95000000000005</c:v>
                </c:pt>
                <c:pt idx="791">
                  <c:v>537.15</c:v>
                </c:pt>
                <c:pt idx="792">
                  <c:v>540.65</c:v>
                </c:pt>
                <c:pt idx="793">
                  <c:v>532</c:v>
                </c:pt>
                <c:pt idx="794">
                  <c:v>528.75</c:v>
                </c:pt>
                <c:pt idx="795">
                  <c:v>522.54999999999995</c:v>
                </c:pt>
                <c:pt idx="796">
                  <c:v>517.20000000000005</c:v>
                </c:pt>
                <c:pt idx="797">
                  <c:v>519.1</c:v>
                </c:pt>
                <c:pt idx="798">
                  <c:v>513.04999999999995</c:v>
                </c:pt>
                <c:pt idx="799">
                  <c:v>525.65</c:v>
                </c:pt>
                <c:pt idx="800">
                  <c:v>515.20000000000005</c:v>
                </c:pt>
                <c:pt idx="801">
                  <c:v>514.20000000000005</c:v>
                </c:pt>
                <c:pt idx="802">
                  <c:v>507.85</c:v>
                </c:pt>
                <c:pt idx="803">
                  <c:v>504.6</c:v>
                </c:pt>
                <c:pt idx="804">
                  <c:v>510.8</c:v>
                </c:pt>
                <c:pt idx="805">
                  <c:v>512.25</c:v>
                </c:pt>
                <c:pt idx="806">
                  <c:v>511.55</c:v>
                </c:pt>
                <c:pt idx="807">
                  <c:v>514.75</c:v>
                </c:pt>
                <c:pt idx="808">
                  <c:v>511</c:v>
                </c:pt>
                <c:pt idx="809">
                  <c:v>513.70000000000005</c:v>
                </c:pt>
                <c:pt idx="810">
                  <c:v>525.25</c:v>
                </c:pt>
                <c:pt idx="811">
                  <c:v>532.54999999999995</c:v>
                </c:pt>
                <c:pt idx="812">
                  <c:v>536.54999999999995</c:v>
                </c:pt>
                <c:pt idx="813">
                  <c:v>538.35</c:v>
                </c:pt>
                <c:pt idx="814">
                  <c:v>523</c:v>
                </c:pt>
                <c:pt idx="815">
                  <c:v>522.1</c:v>
                </c:pt>
                <c:pt idx="816">
                  <c:v>537.9</c:v>
                </c:pt>
                <c:pt idx="817">
                  <c:v>526.54999999999995</c:v>
                </c:pt>
                <c:pt idx="818">
                  <c:v>526.79999999999995</c:v>
                </c:pt>
                <c:pt idx="819">
                  <c:v>533.70000000000005</c:v>
                </c:pt>
                <c:pt idx="820">
                  <c:v>540.35</c:v>
                </c:pt>
                <c:pt idx="821">
                  <c:v>546.1</c:v>
                </c:pt>
                <c:pt idx="822">
                  <c:v>532.25</c:v>
                </c:pt>
                <c:pt idx="823">
                  <c:v>541.65</c:v>
                </c:pt>
                <c:pt idx="824">
                  <c:v>553.25</c:v>
                </c:pt>
                <c:pt idx="825">
                  <c:v>569.65</c:v>
                </c:pt>
                <c:pt idx="826">
                  <c:v>550.4</c:v>
                </c:pt>
                <c:pt idx="827">
                  <c:v>545.15</c:v>
                </c:pt>
                <c:pt idx="828">
                  <c:v>547.25</c:v>
                </c:pt>
                <c:pt idx="829">
                  <c:v>574.75</c:v>
                </c:pt>
                <c:pt idx="830">
                  <c:v>596.79999999999995</c:v>
                </c:pt>
                <c:pt idx="831">
                  <c:v>593.04999999999995</c:v>
                </c:pt>
                <c:pt idx="832">
                  <c:v>596.29999999999995</c:v>
                </c:pt>
                <c:pt idx="833">
                  <c:v>621.04999999999995</c:v>
                </c:pt>
                <c:pt idx="834">
                  <c:v>615.5</c:v>
                </c:pt>
                <c:pt idx="835">
                  <c:v>604.9</c:v>
                </c:pt>
                <c:pt idx="836">
                  <c:v>618.04999999999995</c:v>
                </c:pt>
                <c:pt idx="837">
                  <c:v>623.45000000000005</c:v>
                </c:pt>
                <c:pt idx="838">
                  <c:v>627.29999999999995</c:v>
                </c:pt>
                <c:pt idx="839">
                  <c:v>624.4</c:v>
                </c:pt>
                <c:pt idx="840">
                  <c:v>635.75</c:v>
                </c:pt>
                <c:pt idx="841">
                  <c:v>631.75</c:v>
                </c:pt>
                <c:pt idx="842">
                  <c:v>639.9</c:v>
                </c:pt>
                <c:pt idx="843">
                  <c:v>650.20000000000005</c:v>
                </c:pt>
                <c:pt idx="844">
                  <c:v>660.05</c:v>
                </c:pt>
                <c:pt idx="845">
                  <c:v>656.9</c:v>
                </c:pt>
                <c:pt idx="846">
                  <c:v>649.75</c:v>
                </c:pt>
                <c:pt idx="847">
                  <c:v>649.25</c:v>
                </c:pt>
                <c:pt idx="848">
                  <c:v>631.79999999999995</c:v>
                </c:pt>
                <c:pt idx="849">
                  <c:v>641.79999999999995</c:v>
                </c:pt>
                <c:pt idx="850">
                  <c:v>637.65</c:v>
                </c:pt>
                <c:pt idx="851">
                  <c:v>638.20000000000005</c:v>
                </c:pt>
                <c:pt idx="852">
                  <c:v>645.54999999999995</c:v>
                </c:pt>
                <c:pt idx="853">
                  <c:v>651.75</c:v>
                </c:pt>
                <c:pt idx="854">
                  <c:v>650.15</c:v>
                </c:pt>
                <c:pt idx="855">
                  <c:v>635.45000000000005</c:v>
                </c:pt>
                <c:pt idx="856">
                  <c:v>636.4</c:v>
                </c:pt>
                <c:pt idx="857">
                  <c:v>625.95000000000005</c:v>
                </c:pt>
                <c:pt idx="858">
                  <c:v>608.6</c:v>
                </c:pt>
                <c:pt idx="859">
                  <c:v>608.79999999999995</c:v>
                </c:pt>
                <c:pt idx="860">
                  <c:v>599.20000000000005</c:v>
                </c:pt>
                <c:pt idx="861">
                  <c:v>597.35</c:v>
                </c:pt>
                <c:pt idx="862">
                  <c:v>614.35</c:v>
                </c:pt>
                <c:pt idx="863">
                  <c:v>617.45000000000005</c:v>
                </c:pt>
                <c:pt idx="864">
                  <c:v>600.15</c:v>
                </c:pt>
                <c:pt idx="865">
                  <c:v>613.25</c:v>
                </c:pt>
                <c:pt idx="866">
                  <c:v>593.45000000000005</c:v>
                </c:pt>
                <c:pt idx="867">
                  <c:v>572.25</c:v>
                </c:pt>
                <c:pt idx="868">
                  <c:v>586.25</c:v>
                </c:pt>
                <c:pt idx="869">
                  <c:v>568.5</c:v>
                </c:pt>
                <c:pt idx="870">
                  <c:v>556.54999999999995</c:v>
                </c:pt>
                <c:pt idx="871">
                  <c:v>552.85</c:v>
                </c:pt>
                <c:pt idx="872">
                  <c:v>589.20000000000005</c:v>
                </c:pt>
                <c:pt idx="873">
                  <c:v>580.85</c:v>
                </c:pt>
                <c:pt idx="874">
                  <c:v>584.9</c:v>
                </c:pt>
                <c:pt idx="875">
                  <c:v>576.54999999999995</c:v>
                </c:pt>
                <c:pt idx="876">
                  <c:v>588.85</c:v>
                </c:pt>
                <c:pt idx="877">
                  <c:v>576.04999999999995</c:v>
                </c:pt>
                <c:pt idx="878">
                  <c:v>562.54999999999995</c:v>
                </c:pt>
                <c:pt idx="879">
                  <c:v>562.04999999999995</c:v>
                </c:pt>
                <c:pt idx="880">
                  <c:v>562.75</c:v>
                </c:pt>
                <c:pt idx="881">
                  <c:v>564.1</c:v>
                </c:pt>
                <c:pt idx="882">
                  <c:v>561.04999999999995</c:v>
                </c:pt>
                <c:pt idx="883">
                  <c:v>537.70000000000005</c:v>
                </c:pt>
                <c:pt idx="884">
                  <c:v>566.70000000000005</c:v>
                </c:pt>
                <c:pt idx="885">
                  <c:v>562.70000000000005</c:v>
                </c:pt>
                <c:pt idx="886">
                  <c:v>582.4</c:v>
                </c:pt>
                <c:pt idx="887">
                  <c:v>602.15</c:v>
                </c:pt>
                <c:pt idx="888">
                  <c:v>610.65</c:v>
                </c:pt>
                <c:pt idx="889">
                  <c:v>624.4</c:v>
                </c:pt>
                <c:pt idx="890">
                  <c:v>607.45000000000005</c:v>
                </c:pt>
                <c:pt idx="891">
                  <c:v>606.85</c:v>
                </c:pt>
                <c:pt idx="892">
                  <c:v>613.20000000000005</c:v>
                </c:pt>
                <c:pt idx="893">
                  <c:v>606.54999999999995</c:v>
                </c:pt>
                <c:pt idx="894">
                  <c:v>618.29999999999995</c:v>
                </c:pt>
                <c:pt idx="895">
                  <c:v>612.70000000000005</c:v>
                </c:pt>
                <c:pt idx="896">
                  <c:v>626.1</c:v>
                </c:pt>
                <c:pt idx="897">
                  <c:v>619.79999999999995</c:v>
                </c:pt>
                <c:pt idx="898">
                  <c:v>616.29999999999995</c:v>
                </c:pt>
                <c:pt idx="899">
                  <c:v>612.65</c:v>
                </c:pt>
                <c:pt idx="900">
                  <c:v>626.85</c:v>
                </c:pt>
                <c:pt idx="901">
                  <c:v>614.54999999999995</c:v>
                </c:pt>
                <c:pt idx="902">
                  <c:v>631.04999999999995</c:v>
                </c:pt>
                <c:pt idx="903">
                  <c:v>625.25</c:v>
                </c:pt>
                <c:pt idx="904">
                  <c:v>627.95000000000005</c:v>
                </c:pt>
                <c:pt idx="905">
                  <c:v>631.4</c:v>
                </c:pt>
                <c:pt idx="906">
                  <c:v>625.75</c:v>
                </c:pt>
                <c:pt idx="907">
                  <c:v>624.79999999999995</c:v>
                </c:pt>
                <c:pt idx="908">
                  <c:v>623.25</c:v>
                </c:pt>
                <c:pt idx="909">
                  <c:v>614.95000000000005</c:v>
                </c:pt>
                <c:pt idx="910">
                  <c:v>600.04999999999995</c:v>
                </c:pt>
                <c:pt idx="911">
                  <c:v>603.95000000000005</c:v>
                </c:pt>
                <c:pt idx="912">
                  <c:v>590.29999999999995</c:v>
                </c:pt>
                <c:pt idx="913">
                  <c:v>604.25</c:v>
                </c:pt>
                <c:pt idx="914">
                  <c:v>619.95000000000005</c:v>
                </c:pt>
                <c:pt idx="915">
                  <c:v>619.1</c:v>
                </c:pt>
                <c:pt idx="916">
                  <c:v>620.25</c:v>
                </c:pt>
                <c:pt idx="917">
                  <c:v>617.15</c:v>
                </c:pt>
                <c:pt idx="918">
                  <c:v>619.4</c:v>
                </c:pt>
                <c:pt idx="919">
                  <c:v>641.65</c:v>
                </c:pt>
                <c:pt idx="920">
                  <c:v>632.95000000000005</c:v>
                </c:pt>
                <c:pt idx="921">
                  <c:v>620.85</c:v>
                </c:pt>
                <c:pt idx="922">
                  <c:v>615</c:v>
                </c:pt>
                <c:pt idx="923">
                  <c:v>619.5</c:v>
                </c:pt>
                <c:pt idx="924">
                  <c:v>617.54999999999995</c:v>
                </c:pt>
                <c:pt idx="925">
                  <c:v>625.04999999999995</c:v>
                </c:pt>
                <c:pt idx="926">
                  <c:v>619.9</c:v>
                </c:pt>
                <c:pt idx="927">
                  <c:v>627.29999999999995</c:v>
                </c:pt>
                <c:pt idx="928">
                  <c:v>620.04999999999995</c:v>
                </c:pt>
                <c:pt idx="929">
                  <c:v>607.95000000000005</c:v>
                </c:pt>
                <c:pt idx="930">
                  <c:v>619.6</c:v>
                </c:pt>
                <c:pt idx="931">
                  <c:v>637.45000000000005</c:v>
                </c:pt>
                <c:pt idx="932">
                  <c:v>650.9</c:v>
                </c:pt>
                <c:pt idx="933">
                  <c:v>670.1</c:v>
                </c:pt>
                <c:pt idx="934">
                  <c:v>663.25</c:v>
                </c:pt>
                <c:pt idx="935">
                  <c:v>666.5</c:v>
                </c:pt>
                <c:pt idx="936">
                  <c:v>659.2</c:v>
                </c:pt>
                <c:pt idx="937">
                  <c:v>660.6</c:v>
                </c:pt>
                <c:pt idx="938">
                  <c:v>664</c:v>
                </c:pt>
                <c:pt idx="939">
                  <c:v>676.65</c:v>
                </c:pt>
                <c:pt idx="940">
                  <c:v>664.6</c:v>
                </c:pt>
                <c:pt idx="941">
                  <c:v>660.3</c:v>
                </c:pt>
                <c:pt idx="942">
                  <c:v>661.6</c:v>
                </c:pt>
                <c:pt idx="943">
                  <c:v>661.6</c:v>
                </c:pt>
                <c:pt idx="944">
                  <c:v>663.65</c:v>
                </c:pt>
                <c:pt idx="945">
                  <c:v>669.75</c:v>
                </c:pt>
                <c:pt idx="946">
                  <c:v>656.3</c:v>
                </c:pt>
                <c:pt idx="947">
                  <c:v>660.75</c:v>
                </c:pt>
                <c:pt idx="948">
                  <c:v>690.95</c:v>
                </c:pt>
                <c:pt idx="949">
                  <c:v>722.7</c:v>
                </c:pt>
                <c:pt idx="950">
                  <c:v>717.25</c:v>
                </c:pt>
                <c:pt idx="951">
                  <c:v>720.5</c:v>
                </c:pt>
                <c:pt idx="952">
                  <c:v>729.5</c:v>
                </c:pt>
                <c:pt idx="953">
                  <c:v>725.75</c:v>
                </c:pt>
                <c:pt idx="954">
                  <c:v>730.15</c:v>
                </c:pt>
                <c:pt idx="955">
                  <c:v>719.4</c:v>
                </c:pt>
                <c:pt idx="956">
                  <c:v>710.85</c:v>
                </c:pt>
                <c:pt idx="957">
                  <c:v>705.6</c:v>
                </c:pt>
                <c:pt idx="958">
                  <c:v>697.5</c:v>
                </c:pt>
                <c:pt idx="959">
                  <c:v>695</c:v>
                </c:pt>
                <c:pt idx="960">
                  <c:v>686.6</c:v>
                </c:pt>
                <c:pt idx="961">
                  <c:v>693.3</c:v>
                </c:pt>
                <c:pt idx="962">
                  <c:v>693.05</c:v>
                </c:pt>
                <c:pt idx="963">
                  <c:v>700.35</c:v>
                </c:pt>
                <c:pt idx="964">
                  <c:v>697.2</c:v>
                </c:pt>
                <c:pt idx="965">
                  <c:v>702.05</c:v>
                </c:pt>
                <c:pt idx="966">
                  <c:v>703.7</c:v>
                </c:pt>
                <c:pt idx="967">
                  <c:v>710.15</c:v>
                </c:pt>
                <c:pt idx="968">
                  <c:v>718.2</c:v>
                </c:pt>
                <c:pt idx="969">
                  <c:v>709.55</c:v>
                </c:pt>
                <c:pt idx="970">
                  <c:v>702.4</c:v>
                </c:pt>
                <c:pt idx="971">
                  <c:v>732.05</c:v>
                </c:pt>
                <c:pt idx="972">
                  <c:v>720.6</c:v>
                </c:pt>
                <c:pt idx="973">
                  <c:v>733.75</c:v>
                </c:pt>
                <c:pt idx="974">
                  <c:v>733.4</c:v>
                </c:pt>
                <c:pt idx="975">
                  <c:v>734.5</c:v>
                </c:pt>
                <c:pt idx="976">
                  <c:v>742.55</c:v>
                </c:pt>
                <c:pt idx="977">
                  <c:v>738</c:v>
                </c:pt>
                <c:pt idx="978">
                  <c:v>740.6</c:v>
                </c:pt>
                <c:pt idx="979">
                  <c:v>735.1</c:v>
                </c:pt>
                <c:pt idx="980">
                  <c:v>751.6</c:v>
                </c:pt>
                <c:pt idx="981">
                  <c:v>760.9</c:v>
                </c:pt>
                <c:pt idx="982">
                  <c:v>755.75</c:v>
                </c:pt>
                <c:pt idx="983">
                  <c:v>757.05</c:v>
                </c:pt>
                <c:pt idx="984">
                  <c:v>745.7</c:v>
                </c:pt>
                <c:pt idx="985">
                  <c:v>757.1</c:v>
                </c:pt>
                <c:pt idx="986">
                  <c:v>759.3</c:v>
                </c:pt>
                <c:pt idx="987">
                  <c:v>780.7</c:v>
                </c:pt>
                <c:pt idx="988">
                  <c:v>777.25</c:v>
                </c:pt>
                <c:pt idx="989">
                  <c:v>765.6</c:v>
                </c:pt>
                <c:pt idx="990">
                  <c:v>767.4</c:v>
                </c:pt>
                <c:pt idx="991">
                  <c:v>761.5</c:v>
                </c:pt>
                <c:pt idx="992">
                  <c:v>762.15</c:v>
                </c:pt>
                <c:pt idx="993">
                  <c:v>762.2</c:v>
                </c:pt>
                <c:pt idx="994">
                  <c:v>754.6</c:v>
                </c:pt>
                <c:pt idx="995">
                  <c:v>763.4</c:v>
                </c:pt>
                <c:pt idx="996">
                  <c:v>760.85</c:v>
                </c:pt>
                <c:pt idx="997">
                  <c:v>752.3</c:v>
                </c:pt>
                <c:pt idx="998">
                  <c:v>764.35</c:v>
                </c:pt>
                <c:pt idx="999">
                  <c:v>762.85</c:v>
                </c:pt>
                <c:pt idx="1000">
                  <c:v>771.1</c:v>
                </c:pt>
                <c:pt idx="1001">
                  <c:v>771.2</c:v>
                </c:pt>
                <c:pt idx="1002">
                  <c:v>755.5</c:v>
                </c:pt>
                <c:pt idx="1003">
                  <c:v>753.25</c:v>
                </c:pt>
                <c:pt idx="1004">
                  <c:v>752.85</c:v>
                </c:pt>
                <c:pt idx="1005">
                  <c:v>740.9</c:v>
                </c:pt>
                <c:pt idx="1006">
                  <c:v>759.9</c:v>
                </c:pt>
                <c:pt idx="1007">
                  <c:v>766.85</c:v>
                </c:pt>
                <c:pt idx="1008">
                  <c:v>752.35</c:v>
                </c:pt>
                <c:pt idx="1009">
                  <c:v>757.3</c:v>
                </c:pt>
                <c:pt idx="1010">
                  <c:v>747.45</c:v>
                </c:pt>
                <c:pt idx="1011">
                  <c:v>741.85</c:v>
                </c:pt>
                <c:pt idx="1012">
                  <c:v>735.5</c:v>
                </c:pt>
                <c:pt idx="1013">
                  <c:v>731</c:v>
                </c:pt>
                <c:pt idx="1014">
                  <c:v>735.05</c:v>
                </c:pt>
                <c:pt idx="1015">
                  <c:v>732.1</c:v>
                </c:pt>
                <c:pt idx="1016">
                  <c:v>731.35</c:v>
                </c:pt>
                <c:pt idx="1017">
                  <c:v>721.95</c:v>
                </c:pt>
                <c:pt idx="1018">
                  <c:v>731.85</c:v>
                </c:pt>
                <c:pt idx="1019">
                  <c:v>748.95</c:v>
                </c:pt>
                <c:pt idx="1020">
                  <c:v>782.4</c:v>
                </c:pt>
                <c:pt idx="1021">
                  <c:v>772.95</c:v>
                </c:pt>
                <c:pt idx="1022">
                  <c:v>779.15</c:v>
                </c:pt>
                <c:pt idx="1023">
                  <c:v>776.4</c:v>
                </c:pt>
                <c:pt idx="1024">
                  <c:v>793.2</c:v>
                </c:pt>
                <c:pt idx="1025">
                  <c:v>813.9</c:v>
                </c:pt>
                <c:pt idx="1026">
                  <c:v>808.4</c:v>
                </c:pt>
                <c:pt idx="1027">
                  <c:v>804.7</c:v>
                </c:pt>
                <c:pt idx="1028">
                  <c:v>807.55</c:v>
                </c:pt>
                <c:pt idx="1029">
                  <c:v>808.3</c:v>
                </c:pt>
                <c:pt idx="1030">
                  <c:v>812.65</c:v>
                </c:pt>
                <c:pt idx="1031">
                  <c:v>822.8</c:v>
                </c:pt>
                <c:pt idx="1032">
                  <c:v>807.7</c:v>
                </c:pt>
                <c:pt idx="1033">
                  <c:v>804</c:v>
                </c:pt>
                <c:pt idx="1034">
                  <c:v>814.15</c:v>
                </c:pt>
                <c:pt idx="1035">
                  <c:v>814.8</c:v>
                </c:pt>
                <c:pt idx="1036">
                  <c:v>813.55</c:v>
                </c:pt>
                <c:pt idx="1037">
                  <c:v>820.15</c:v>
                </c:pt>
                <c:pt idx="1038">
                  <c:v>801.2</c:v>
                </c:pt>
                <c:pt idx="1039">
                  <c:v>777.7</c:v>
                </c:pt>
                <c:pt idx="1040">
                  <c:v>775.75</c:v>
                </c:pt>
                <c:pt idx="1041">
                  <c:v>770.7</c:v>
                </c:pt>
                <c:pt idx="1042">
                  <c:v>771.4</c:v>
                </c:pt>
                <c:pt idx="1043">
                  <c:v>771.05</c:v>
                </c:pt>
                <c:pt idx="1044">
                  <c:v>762.85</c:v>
                </c:pt>
                <c:pt idx="1045">
                  <c:v>781.65</c:v>
                </c:pt>
                <c:pt idx="1046">
                  <c:v>788.6</c:v>
                </c:pt>
                <c:pt idx="1047">
                  <c:v>800.45</c:v>
                </c:pt>
                <c:pt idx="1048">
                  <c:v>808.55</c:v>
                </c:pt>
                <c:pt idx="1049">
                  <c:v>810.45</c:v>
                </c:pt>
                <c:pt idx="1050">
                  <c:v>802.6</c:v>
                </c:pt>
                <c:pt idx="1051">
                  <c:v>806.2</c:v>
                </c:pt>
                <c:pt idx="1052">
                  <c:v>808.85</c:v>
                </c:pt>
                <c:pt idx="1053">
                  <c:v>806.1</c:v>
                </c:pt>
                <c:pt idx="1054">
                  <c:v>782.9</c:v>
                </c:pt>
                <c:pt idx="1055">
                  <c:v>786.2</c:v>
                </c:pt>
                <c:pt idx="1056">
                  <c:v>769.25</c:v>
                </c:pt>
                <c:pt idx="1057">
                  <c:v>766.4</c:v>
                </c:pt>
                <c:pt idx="1058">
                  <c:v>755.8</c:v>
                </c:pt>
                <c:pt idx="1059">
                  <c:v>749.75</c:v>
                </c:pt>
                <c:pt idx="1060">
                  <c:v>761.05</c:v>
                </c:pt>
                <c:pt idx="1061">
                  <c:v>752.6</c:v>
                </c:pt>
                <c:pt idx="1062">
                  <c:v>740.4</c:v>
                </c:pt>
                <c:pt idx="1063">
                  <c:v>729.25</c:v>
                </c:pt>
                <c:pt idx="1064">
                  <c:v>727.45</c:v>
                </c:pt>
                <c:pt idx="1065">
                  <c:v>728</c:v>
                </c:pt>
                <c:pt idx="1066">
                  <c:v>712.3</c:v>
                </c:pt>
                <c:pt idx="1067">
                  <c:v>723.15</c:v>
                </c:pt>
                <c:pt idx="1068">
                  <c:v>729.85</c:v>
                </c:pt>
                <c:pt idx="1069">
                  <c:v>720.25</c:v>
                </c:pt>
                <c:pt idx="1070">
                  <c:v>707.6</c:v>
                </c:pt>
                <c:pt idx="1071">
                  <c:v>674.1</c:v>
                </c:pt>
                <c:pt idx="1072">
                  <c:v>669.3</c:v>
                </c:pt>
                <c:pt idx="1073">
                  <c:v>673.85</c:v>
                </c:pt>
                <c:pt idx="1074">
                  <c:v>662.45</c:v>
                </c:pt>
                <c:pt idx="1075">
                  <c:v>679</c:v>
                </c:pt>
                <c:pt idx="1076">
                  <c:v>659.95</c:v>
                </c:pt>
                <c:pt idx="1077">
                  <c:v>660.1</c:v>
                </c:pt>
                <c:pt idx="1078">
                  <c:v>660.8</c:v>
                </c:pt>
                <c:pt idx="1079">
                  <c:v>649.45000000000005</c:v>
                </c:pt>
                <c:pt idx="1080">
                  <c:v>663.2</c:v>
                </c:pt>
                <c:pt idx="1081">
                  <c:v>675.65</c:v>
                </c:pt>
                <c:pt idx="1082">
                  <c:v>685</c:v>
                </c:pt>
                <c:pt idx="1083">
                  <c:v>672.35</c:v>
                </c:pt>
                <c:pt idx="1084">
                  <c:v>664.7</c:v>
                </c:pt>
                <c:pt idx="1085">
                  <c:v>661.15</c:v>
                </c:pt>
                <c:pt idx="1086">
                  <c:v>663.9</c:v>
                </c:pt>
                <c:pt idx="1087">
                  <c:v>683.7</c:v>
                </c:pt>
                <c:pt idx="1088">
                  <c:v>682.95</c:v>
                </c:pt>
                <c:pt idx="1089">
                  <c:v>678.2</c:v>
                </c:pt>
                <c:pt idx="1090">
                  <c:v>661.15</c:v>
                </c:pt>
                <c:pt idx="1091">
                  <c:v>663.9</c:v>
                </c:pt>
                <c:pt idx="1092">
                  <c:v>645.70000000000005</c:v>
                </c:pt>
                <c:pt idx="1093">
                  <c:v>647.29999999999995</c:v>
                </c:pt>
                <c:pt idx="1094">
                  <c:v>649.6</c:v>
                </c:pt>
                <c:pt idx="1095">
                  <c:v>671.1</c:v>
                </c:pt>
                <c:pt idx="1096">
                  <c:v>671.55</c:v>
                </c:pt>
                <c:pt idx="1097">
                  <c:v>681.7</c:v>
                </c:pt>
                <c:pt idx="1098">
                  <c:v>662.9</c:v>
                </c:pt>
                <c:pt idx="1099">
                  <c:v>674.25</c:v>
                </c:pt>
                <c:pt idx="1100">
                  <c:v>670.9</c:v>
                </c:pt>
                <c:pt idx="1101">
                  <c:v>640.45000000000005</c:v>
                </c:pt>
                <c:pt idx="1102">
                  <c:v>648.4</c:v>
                </c:pt>
                <c:pt idx="1103">
                  <c:v>638.20000000000005</c:v>
                </c:pt>
                <c:pt idx="1104">
                  <c:v>680.35</c:v>
                </c:pt>
                <c:pt idx="1105">
                  <c:v>725.5</c:v>
                </c:pt>
                <c:pt idx="1106">
                  <c:v>704.4</c:v>
                </c:pt>
                <c:pt idx="1107">
                  <c:v>694.95</c:v>
                </c:pt>
                <c:pt idx="1108">
                  <c:v>699.9</c:v>
                </c:pt>
                <c:pt idx="1109">
                  <c:v>700.6</c:v>
                </c:pt>
                <c:pt idx="1110">
                  <c:v>685</c:v>
                </c:pt>
                <c:pt idx="1111">
                  <c:v>679.15</c:v>
                </c:pt>
                <c:pt idx="1112">
                  <c:v>668.4</c:v>
                </c:pt>
                <c:pt idx="1113">
                  <c:v>656.4</c:v>
                </c:pt>
                <c:pt idx="1114">
                  <c:v>673.45</c:v>
                </c:pt>
                <c:pt idx="1115">
                  <c:v>686.3</c:v>
                </c:pt>
                <c:pt idx="1116">
                  <c:v>672.95</c:v>
                </c:pt>
                <c:pt idx="1117">
                  <c:v>672.7</c:v>
                </c:pt>
                <c:pt idx="1118">
                  <c:v>683.5</c:v>
                </c:pt>
                <c:pt idx="1119">
                  <c:v>690.05</c:v>
                </c:pt>
                <c:pt idx="1120">
                  <c:v>693.4</c:v>
                </c:pt>
                <c:pt idx="1121">
                  <c:v>710.3</c:v>
                </c:pt>
                <c:pt idx="1122">
                  <c:v>709.55</c:v>
                </c:pt>
                <c:pt idx="1123">
                  <c:v>712.75</c:v>
                </c:pt>
                <c:pt idx="1124">
                  <c:v>714.85</c:v>
                </c:pt>
                <c:pt idx="1125">
                  <c:v>707.7</c:v>
                </c:pt>
                <c:pt idx="1126">
                  <c:v>708.6</c:v>
                </c:pt>
                <c:pt idx="1127">
                  <c:v>710.1</c:v>
                </c:pt>
                <c:pt idx="1128">
                  <c:v>738.45</c:v>
                </c:pt>
                <c:pt idx="1129">
                  <c:v>747.4</c:v>
                </c:pt>
                <c:pt idx="1130">
                  <c:v>736.35</c:v>
                </c:pt>
                <c:pt idx="1131">
                  <c:v>748.3</c:v>
                </c:pt>
                <c:pt idx="1132">
                  <c:v>742.6</c:v>
                </c:pt>
                <c:pt idx="1133">
                  <c:v>738.05</c:v>
                </c:pt>
                <c:pt idx="1134">
                  <c:v>747.25</c:v>
                </c:pt>
                <c:pt idx="1135">
                  <c:v>734.75</c:v>
                </c:pt>
                <c:pt idx="1136">
                  <c:v>725.5</c:v>
                </c:pt>
                <c:pt idx="1137">
                  <c:v>733.7</c:v>
                </c:pt>
                <c:pt idx="1138">
                  <c:v>711.2</c:v>
                </c:pt>
                <c:pt idx="1139">
                  <c:v>715.9</c:v>
                </c:pt>
                <c:pt idx="1140">
                  <c:v>716.9</c:v>
                </c:pt>
                <c:pt idx="1141">
                  <c:v>722.95</c:v>
                </c:pt>
                <c:pt idx="1142">
                  <c:v>747.8</c:v>
                </c:pt>
                <c:pt idx="1143">
                  <c:v>748.75</c:v>
                </c:pt>
                <c:pt idx="1144">
                  <c:v>737.4</c:v>
                </c:pt>
                <c:pt idx="1145">
                  <c:v>732.1</c:v>
                </c:pt>
                <c:pt idx="1146">
                  <c:v>754.75</c:v>
                </c:pt>
                <c:pt idx="1147">
                  <c:v>752.25</c:v>
                </c:pt>
                <c:pt idx="1148">
                  <c:v>752.9</c:v>
                </c:pt>
                <c:pt idx="1149">
                  <c:v>750.6</c:v>
                </c:pt>
                <c:pt idx="1150">
                  <c:v>739.05</c:v>
                </c:pt>
                <c:pt idx="1151">
                  <c:v>744.3</c:v>
                </c:pt>
                <c:pt idx="1152">
                  <c:v>733.4</c:v>
                </c:pt>
                <c:pt idx="1153">
                  <c:v>739.85</c:v>
                </c:pt>
                <c:pt idx="1154">
                  <c:v>729.25</c:v>
                </c:pt>
                <c:pt idx="1155">
                  <c:v>717.6</c:v>
                </c:pt>
                <c:pt idx="1156">
                  <c:v>732</c:v>
                </c:pt>
                <c:pt idx="1157">
                  <c:v>715.7</c:v>
                </c:pt>
                <c:pt idx="1158">
                  <c:v>716.55</c:v>
                </c:pt>
                <c:pt idx="1159">
                  <c:v>722.1</c:v>
                </c:pt>
                <c:pt idx="1160">
                  <c:v>752</c:v>
                </c:pt>
                <c:pt idx="1161">
                  <c:v>747.25</c:v>
                </c:pt>
                <c:pt idx="1162">
                  <c:v>745.65</c:v>
                </c:pt>
                <c:pt idx="1163">
                  <c:v>741.85</c:v>
                </c:pt>
                <c:pt idx="1164">
                  <c:v>742.55</c:v>
                </c:pt>
                <c:pt idx="1165">
                  <c:v>739.85</c:v>
                </c:pt>
                <c:pt idx="1166">
                  <c:v>743.15</c:v>
                </c:pt>
                <c:pt idx="1167">
                  <c:v>740.65</c:v>
                </c:pt>
                <c:pt idx="1168">
                  <c:v>736.5</c:v>
                </c:pt>
                <c:pt idx="1169">
                  <c:v>760.15</c:v>
                </c:pt>
                <c:pt idx="1170">
                  <c:v>754.1</c:v>
                </c:pt>
                <c:pt idx="1171">
                  <c:v>754.1</c:v>
                </c:pt>
                <c:pt idx="1172">
                  <c:v>748.7</c:v>
                </c:pt>
                <c:pt idx="1173">
                  <c:v>756.95</c:v>
                </c:pt>
                <c:pt idx="1174">
                  <c:v>742.95</c:v>
                </c:pt>
                <c:pt idx="1175">
                  <c:v>723.25</c:v>
                </c:pt>
                <c:pt idx="1176">
                  <c:v>725.75</c:v>
                </c:pt>
                <c:pt idx="1177">
                  <c:v>724.5</c:v>
                </c:pt>
                <c:pt idx="1178">
                  <c:v>742.85</c:v>
                </c:pt>
                <c:pt idx="1179">
                  <c:v>740.05</c:v>
                </c:pt>
                <c:pt idx="1180">
                  <c:v>737.4</c:v>
                </c:pt>
                <c:pt idx="1181">
                  <c:v>747.9</c:v>
                </c:pt>
                <c:pt idx="1182">
                  <c:v>746.3</c:v>
                </c:pt>
                <c:pt idx="1183">
                  <c:v>737.3</c:v>
                </c:pt>
                <c:pt idx="1184">
                  <c:v>739.9</c:v>
                </c:pt>
                <c:pt idx="1185">
                  <c:v>727.2</c:v>
                </c:pt>
                <c:pt idx="1186">
                  <c:v>717.6</c:v>
                </c:pt>
                <c:pt idx="1187">
                  <c:v>712.6</c:v>
                </c:pt>
                <c:pt idx="1188">
                  <c:v>723</c:v>
                </c:pt>
                <c:pt idx="1189">
                  <c:v>737.4</c:v>
                </c:pt>
                <c:pt idx="1190">
                  <c:v>740.25</c:v>
                </c:pt>
                <c:pt idx="1191">
                  <c:v>737.15</c:v>
                </c:pt>
                <c:pt idx="1192">
                  <c:v>735.25</c:v>
                </c:pt>
                <c:pt idx="1193">
                  <c:v>730.9</c:v>
                </c:pt>
                <c:pt idx="1194">
                  <c:v>729.3</c:v>
                </c:pt>
                <c:pt idx="1195">
                  <c:v>705.45</c:v>
                </c:pt>
                <c:pt idx="1196">
                  <c:v>708.95</c:v>
                </c:pt>
                <c:pt idx="1197">
                  <c:v>715</c:v>
                </c:pt>
                <c:pt idx="1198">
                  <c:v>724.05</c:v>
                </c:pt>
                <c:pt idx="1199">
                  <c:v>736.95</c:v>
                </c:pt>
                <c:pt idx="1200">
                  <c:v>748.15</c:v>
                </c:pt>
                <c:pt idx="1201">
                  <c:v>741.1</c:v>
                </c:pt>
                <c:pt idx="1202">
                  <c:v>749.95</c:v>
                </c:pt>
                <c:pt idx="1203">
                  <c:v>755.25</c:v>
                </c:pt>
                <c:pt idx="1204">
                  <c:v>747.8</c:v>
                </c:pt>
                <c:pt idx="1205">
                  <c:v>736.5</c:v>
                </c:pt>
                <c:pt idx="1206">
                  <c:v>738.4</c:v>
                </c:pt>
                <c:pt idx="1207">
                  <c:v>733.65</c:v>
                </c:pt>
                <c:pt idx="1208">
                  <c:v>741.05</c:v>
                </c:pt>
                <c:pt idx="1209">
                  <c:v>744.3</c:v>
                </c:pt>
                <c:pt idx="1210">
                  <c:v>725.45</c:v>
                </c:pt>
                <c:pt idx="1211">
                  <c:v>728.75</c:v>
                </c:pt>
                <c:pt idx="1212">
                  <c:v>729.4</c:v>
                </c:pt>
                <c:pt idx="1213">
                  <c:v>735.85</c:v>
                </c:pt>
                <c:pt idx="1214">
                  <c:v>697.3</c:v>
                </c:pt>
                <c:pt idx="1215">
                  <c:v>684.2</c:v>
                </c:pt>
                <c:pt idx="1216">
                  <c:v>687.15</c:v>
                </c:pt>
                <c:pt idx="1217">
                  <c:v>682.2</c:v>
                </c:pt>
                <c:pt idx="1218">
                  <c:v>677.9</c:v>
                </c:pt>
                <c:pt idx="1219">
                  <c:v>657.65</c:v>
                </c:pt>
                <c:pt idx="1220">
                  <c:v>623.54999999999995</c:v>
                </c:pt>
                <c:pt idx="1221">
                  <c:v>619.35</c:v>
                </c:pt>
                <c:pt idx="1222">
                  <c:v>543.25</c:v>
                </c:pt>
                <c:pt idx="1223">
                  <c:v>568.79999999999995</c:v>
                </c:pt>
                <c:pt idx="1224">
                  <c:v>508.6</c:v>
                </c:pt>
                <c:pt idx="1225">
                  <c:v>488.35</c:v>
                </c:pt>
                <c:pt idx="1226">
                  <c:v>473.45</c:v>
                </c:pt>
                <c:pt idx="1227">
                  <c:v>428.25</c:v>
                </c:pt>
                <c:pt idx="1228">
                  <c:v>428.15</c:v>
                </c:pt>
                <c:pt idx="1229">
                  <c:v>308.64999999999998</c:v>
                </c:pt>
                <c:pt idx="1230">
                  <c:v>303.14999999999998</c:v>
                </c:pt>
                <c:pt idx="1231">
                  <c:v>326.8</c:v>
                </c:pt>
                <c:pt idx="1232">
                  <c:v>341.4</c:v>
                </c:pt>
                <c:pt idx="1233">
                  <c:v>359.75</c:v>
                </c:pt>
                <c:pt idx="1234">
                  <c:v>368.15</c:v>
                </c:pt>
                <c:pt idx="1235">
                  <c:v>379</c:v>
                </c:pt>
                <c:pt idx="1236">
                  <c:v>358.65</c:v>
                </c:pt>
                <c:pt idx="1237">
                  <c:v>325.45</c:v>
                </c:pt>
                <c:pt idx="1238">
                  <c:v>388.85</c:v>
                </c:pt>
                <c:pt idx="1239">
                  <c:v>391.35</c:v>
                </c:pt>
                <c:pt idx="1240">
                  <c:v>420.15</c:v>
                </c:pt>
                <c:pt idx="1241">
                  <c:v>418.95</c:v>
                </c:pt>
                <c:pt idx="1242">
                  <c:v>417.3</c:v>
                </c:pt>
                <c:pt idx="1243">
                  <c:v>422.55</c:v>
                </c:pt>
                <c:pt idx="1244">
                  <c:v>478.8</c:v>
                </c:pt>
                <c:pt idx="1245">
                  <c:v>455.95</c:v>
                </c:pt>
                <c:pt idx="1246">
                  <c:v>420.65</c:v>
                </c:pt>
                <c:pt idx="1247">
                  <c:v>431.15</c:v>
                </c:pt>
                <c:pt idx="1248">
                  <c:v>430.05</c:v>
                </c:pt>
                <c:pt idx="1249">
                  <c:v>403.95</c:v>
                </c:pt>
                <c:pt idx="1250">
                  <c:v>427.3</c:v>
                </c:pt>
                <c:pt idx="1251">
                  <c:v>455.45</c:v>
                </c:pt>
                <c:pt idx="1252">
                  <c:v>439.1</c:v>
                </c:pt>
                <c:pt idx="1253">
                  <c:v>444.9</c:v>
                </c:pt>
                <c:pt idx="1254">
                  <c:v>402.8</c:v>
                </c:pt>
                <c:pt idx="1255">
                  <c:v>389</c:v>
                </c:pt>
                <c:pt idx="1256">
                  <c:v>388.85</c:v>
                </c:pt>
                <c:pt idx="1257">
                  <c:v>397.35</c:v>
                </c:pt>
                <c:pt idx="1258">
                  <c:v>382.05</c:v>
                </c:pt>
                <c:pt idx="1259">
                  <c:v>379.55</c:v>
                </c:pt>
                <c:pt idx="1260">
                  <c:v>386.85</c:v>
                </c:pt>
                <c:pt idx="1261">
                  <c:v>414</c:v>
                </c:pt>
                <c:pt idx="1262">
                  <c:v>401.95</c:v>
                </c:pt>
                <c:pt idx="1263">
                  <c:v>388.55</c:v>
                </c:pt>
                <c:pt idx="1264">
                  <c:v>358.8</c:v>
                </c:pt>
                <c:pt idx="1265">
                  <c:v>354.5</c:v>
                </c:pt>
                <c:pt idx="1266">
                  <c:v>362.5</c:v>
                </c:pt>
                <c:pt idx="1267">
                  <c:v>357.2</c:v>
                </c:pt>
                <c:pt idx="1268">
                  <c:v>336.95</c:v>
                </c:pt>
                <c:pt idx="1269">
                  <c:v>341.3</c:v>
                </c:pt>
                <c:pt idx="1270">
                  <c:v>387</c:v>
                </c:pt>
                <c:pt idx="1271">
                  <c:v>390.95</c:v>
                </c:pt>
                <c:pt idx="1272">
                  <c:v>384.95</c:v>
                </c:pt>
                <c:pt idx="1273">
                  <c:v>396.95</c:v>
                </c:pt>
                <c:pt idx="1274">
                  <c:v>410.1</c:v>
                </c:pt>
                <c:pt idx="1275">
                  <c:v>409.55</c:v>
                </c:pt>
                <c:pt idx="1276">
                  <c:v>394.35</c:v>
                </c:pt>
                <c:pt idx="1277">
                  <c:v>405.3</c:v>
                </c:pt>
                <c:pt idx="1278">
                  <c:v>430.25</c:v>
                </c:pt>
                <c:pt idx="1279">
                  <c:v>420.05</c:v>
                </c:pt>
                <c:pt idx="1280">
                  <c:v>427.45</c:v>
                </c:pt>
                <c:pt idx="1281">
                  <c:v>413.45</c:v>
                </c:pt>
                <c:pt idx="1282">
                  <c:v>408</c:v>
                </c:pt>
                <c:pt idx="1283">
                  <c:v>389.6</c:v>
                </c:pt>
                <c:pt idx="1284">
                  <c:v>381.55</c:v>
                </c:pt>
                <c:pt idx="1285">
                  <c:v>389.6</c:v>
                </c:pt>
                <c:pt idx="1286">
                  <c:v>405.4</c:v>
                </c:pt>
                <c:pt idx="1287">
                  <c:v>417.05</c:v>
                </c:pt>
                <c:pt idx="1288">
                  <c:v>430.15</c:v>
                </c:pt>
                <c:pt idx="1289">
                  <c:v>443.65</c:v>
                </c:pt>
                <c:pt idx="1290">
                  <c:v>424.65</c:v>
                </c:pt>
                <c:pt idx="1291">
                  <c:v>421.7</c:v>
                </c:pt>
                <c:pt idx="1292">
                  <c:v>424.85</c:v>
                </c:pt>
                <c:pt idx="1293">
                  <c:v>404.8</c:v>
                </c:pt>
                <c:pt idx="1294">
                  <c:v>406.65</c:v>
                </c:pt>
                <c:pt idx="1295">
                  <c:v>433.25</c:v>
                </c:pt>
                <c:pt idx="1296">
                  <c:v>423.2</c:v>
                </c:pt>
                <c:pt idx="1297">
                  <c:v>428.45</c:v>
                </c:pt>
                <c:pt idx="1298">
                  <c:v>434</c:v>
                </c:pt>
                <c:pt idx="1299">
                  <c:v>447.35</c:v>
                </c:pt>
                <c:pt idx="1300">
                  <c:v>444.15</c:v>
                </c:pt>
                <c:pt idx="1301">
                  <c:v>453.75</c:v>
                </c:pt>
                <c:pt idx="1302">
                  <c:v>439.6</c:v>
                </c:pt>
                <c:pt idx="1303">
                  <c:v>440.05</c:v>
                </c:pt>
                <c:pt idx="1304">
                  <c:v>417.7</c:v>
                </c:pt>
                <c:pt idx="1305">
                  <c:v>426.65</c:v>
                </c:pt>
                <c:pt idx="1306">
                  <c:v>434</c:v>
                </c:pt>
                <c:pt idx="1307">
                  <c:v>433.1</c:v>
                </c:pt>
                <c:pt idx="1308">
                  <c:v>434</c:v>
                </c:pt>
                <c:pt idx="1309">
                  <c:v>446.2</c:v>
                </c:pt>
                <c:pt idx="1310">
                  <c:v>478.95</c:v>
                </c:pt>
                <c:pt idx="1311">
                  <c:v>460.85</c:v>
                </c:pt>
                <c:pt idx="1312">
                  <c:v>445.6</c:v>
                </c:pt>
                <c:pt idx="1313">
                  <c:v>431.55</c:v>
                </c:pt>
                <c:pt idx="1314">
                  <c:v>437.05</c:v>
                </c:pt>
                <c:pt idx="1315">
                  <c:v>440.9</c:v>
                </c:pt>
                <c:pt idx="1316">
                  <c:v>425.85</c:v>
                </c:pt>
                <c:pt idx="1317">
                  <c:v>431.65</c:v>
                </c:pt>
                <c:pt idx="1318">
                  <c:v>417.35</c:v>
                </c:pt>
                <c:pt idx="1319">
                  <c:v>429.15</c:v>
                </c:pt>
                <c:pt idx="1320">
                  <c:v>434.95</c:v>
                </c:pt>
                <c:pt idx="1321">
                  <c:v>433</c:v>
                </c:pt>
                <c:pt idx="1322">
                  <c:v>433.3</c:v>
                </c:pt>
                <c:pt idx="1323">
                  <c:v>431.1</c:v>
                </c:pt>
                <c:pt idx="1324">
                  <c:v>448</c:v>
                </c:pt>
                <c:pt idx="1325">
                  <c:v>451.1</c:v>
                </c:pt>
                <c:pt idx="1326">
                  <c:v>448.1</c:v>
                </c:pt>
                <c:pt idx="1327">
                  <c:v>435.85</c:v>
                </c:pt>
                <c:pt idx="1328">
                  <c:v>438.15</c:v>
                </c:pt>
                <c:pt idx="1329">
                  <c:v>445.8</c:v>
                </c:pt>
                <c:pt idx="1330">
                  <c:v>444.2</c:v>
                </c:pt>
                <c:pt idx="1331">
                  <c:v>434.95</c:v>
                </c:pt>
                <c:pt idx="1332">
                  <c:v>440.45</c:v>
                </c:pt>
                <c:pt idx="1333">
                  <c:v>445.8</c:v>
                </c:pt>
                <c:pt idx="1334">
                  <c:v>451.8</c:v>
                </c:pt>
                <c:pt idx="1335">
                  <c:v>463.35</c:v>
                </c:pt>
                <c:pt idx="1336">
                  <c:v>473.05</c:v>
                </c:pt>
                <c:pt idx="1337">
                  <c:v>509.2</c:v>
                </c:pt>
                <c:pt idx="1338">
                  <c:v>496.75</c:v>
                </c:pt>
                <c:pt idx="1339">
                  <c:v>485.7</c:v>
                </c:pt>
                <c:pt idx="1340">
                  <c:v>484.4</c:v>
                </c:pt>
                <c:pt idx="1341">
                  <c:v>474.95</c:v>
                </c:pt>
                <c:pt idx="1342">
                  <c:v>455.2</c:v>
                </c:pt>
                <c:pt idx="1343">
                  <c:v>458.7</c:v>
                </c:pt>
                <c:pt idx="1344">
                  <c:v>444.35</c:v>
                </c:pt>
                <c:pt idx="1345">
                  <c:v>431.25</c:v>
                </c:pt>
                <c:pt idx="1346">
                  <c:v>446.85</c:v>
                </c:pt>
                <c:pt idx="1347">
                  <c:v>447.2</c:v>
                </c:pt>
                <c:pt idx="1348">
                  <c:v>440.55</c:v>
                </c:pt>
                <c:pt idx="1349">
                  <c:v>449.55</c:v>
                </c:pt>
                <c:pt idx="1350">
                  <c:v>446</c:v>
                </c:pt>
                <c:pt idx="1351">
                  <c:v>442.9</c:v>
                </c:pt>
                <c:pt idx="1352">
                  <c:v>443.35</c:v>
                </c:pt>
                <c:pt idx="1353">
                  <c:v>423.35</c:v>
                </c:pt>
                <c:pt idx="1354">
                  <c:v>412</c:v>
                </c:pt>
                <c:pt idx="1355">
                  <c:v>419.75</c:v>
                </c:pt>
                <c:pt idx="1356">
                  <c:v>402.45</c:v>
                </c:pt>
                <c:pt idx="1357">
                  <c:v>415.05</c:v>
                </c:pt>
                <c:pt idx="1358">
                  <c:v>439.25</c:v>
                </c:pt>
                <c:pt idx="1359">
                  <c:v>426.85</c:v>
                </c:pt>
                <c:pt idx="1360">
                  <c:v>424.65</c:v>
                </c:pt>
                <c:pt idx="1361">
                  <c:v>443.7</c:v>
                </c:pt>
                <c:pt idx="1362">
                  <c:v>444.15</c:v>
                </c:pt>
                <c:pt idx="1363">
                  <c:v>449.65</c:v>
                </c:pt>
                <c:pt idx="1364">
                  <c:v>453.1</c:v>
                </c:pt>
                <c:pt idx="1365">
                  <c:v>451.9</c:v>
                </c:pt>
                <c:pt idx="1366">
                  <c:v>468.05</c:v>
                </c:pt>
                <c:pt idx="1367">
                  <c:v>468</c:v>
                </c:pt>
                <c:pt idx="1368">
                  <c:v>461.35</c:v>
                </c:pt>
                <c:pt idx="1369">
                  <c:v>471.3</c:v>
                </c:pt>
                <c:pt idx="1370">
                  <c:v>462.6</c:v>
                </c:pt>
                <c:pt idx="1371">
                  <c:v>472.4</c:v>
                </c:pt>
                <c:pt idx="1372">
                  <c:v>492.95</c:v>
                </c:pt>
                <c:pt idx="1373">
                  <c:v>493.95</c:v>
                </c:pt>
                <c:pt idx="1374">
                  <c:v>501.45</c:v>
                </c:pt>
                <c:pt idx="1375">
                  <c:v>510.3</c:v>
                </c:pt>
                <c:pt idx="1376">
                  <c:v>507.2</c:v>
                </c:pt>
                <c:pt idx="1377">
                  <c:v>493.35</c:v>
                </c:pt>
                <c:pt idx="1378">
                  <c:v>508.1</c:v>
                </c:pt>
                <c:pt idx="1379">
                  <c:v>504.7</c:v>
                </c:pt>
                <c:pt idx="1380">
                  <c:v>493.85</c:v>
                </c:pt>
                <c:pt idx="1381">
                  <c:v>492.5</c:v>
                </c:pt>
                <c:pt idx="1382">
                  <c:v>522.65</c:v>
                </c:pt>
                <c:pt idx="1383">
                  <c:v>534.15</c:v>
                </c:pt>
                <c:pt idx="1384">
                  <c:v>525.15</c:v>
                </c:pt>
                <c:pt idx="1385">
                  <c:v>539.29999999999995</c:v>
                </c:pt>
                <c:pt idx="1386">
                  <c:v>541.75</c:v>
                </c:pt>
                <c:pt idx="1387">
                  <c:v>565.04999999999995</c:v>
                </c:pt>
                <c:pt idx="1388">
                  <c:v>583.6</c:v>
                </c:pt>
                <c:pt idx="1389">
                  <c:v>608.65</c:v>
                </c:pt>
                <c:pt idx="1390">
                  <c:v>599.70000000000005</c:v>
                </c:pt>
                <c:pt idx="1391">
                  <c:v>610.35</c:v>
                </c:pt>
                <c:pt idx="1392">
                  <c:v>613.15</c:v>
                </c:pt>
                <c:pt idx="1393">
                  <c:v>628.79999999999995</c:v>
                </c:pt>
                <c:pt idx="1394">
                  <c:v>636.29999999999995</c:v>
                </c:pt>
                <c:pt idx="1395">
                  <c:v>611.5</c:v>
                </c:pt>
                <c:pt idx="1396">
                  <c:v>607.85</c:v>
                </c:pt>
                <c:pt idx="1397">
                  <c:v>595.6</c:v>
                </c:pt>
                <c:pt idx="1398">
                  <c:v>619.65</c:v>
                </c:pt>
                <c:pt idx="1399">
                  <c:v>599.85</c:v>
                </c:pt>
                <c:pt idx="1400">
                  <c:v>612.54999999999995</c:v>
                </c:pt>
                <c:pt idx="1401">
                  <c:v>601.6</c:v>
                </c:pt>
                <c:pt idx="1402">
                  <c:v>603.65</c:v>
                </c:pt>
                <c:pt idx="1403">
                  <c:v>608.1</c:v>
                </c:pt>
                <c:pt idx="1404">
                  <c:v>602.70000000000005</c:v>
                </c:pt>
                <c:pt idx="1405">
                  <c:v>614.5</c:v>
                </c:pt>
                <c:pt idx="1406">
                  <c:v>619.25</c:v>
                </c:pt>
                <c:pt idx="1407">
                  <c:v>620.65</c:v>
                </c:pt>
                <c:pt idx="1408">
                  <c:v>634.20000000000005</c:v>
                </c:pt>
                <c:pt idx="1409">
                  <c:v>627.04999999999995</c:v>
                </c:pt>
                <c:pt idx="1410">
                  <c:v>613.25</c:v>
                </c:pt>
                <c:pt idx="1411">
                  <c:v>615.9</c:v>
                </c:pt>
                <c:pt idx="1412">
                  <c:v>607.1</c:v>
                </c:pt>
                <c:pt idx="1413">
                  <c:v>606.1</c:v>
                </c:pt>
                <c:pt idx="1414">
                  <c:v>605.4</c:v>
                </c:pt>
                <c:pt idx="1415">
                  <c:v>609.5</c:v>
                </c:pt>
                <c:pt idx="1416">
                  <c:v>582.5</c:v>
                </c:pt>
                <c:pt idx="1417">
                  <c:v>589.75</c:v>
                </c:pt>
                <c:pt idx="1418">
                  <c:v>592.45000000000005</c:v>
                </c:pt>
                <c:pt idx="1419">
                  <c:v>610.20000000000005</c:v>
                </c:pt>
                <c:pt idx="1420">
                  <c:v>617.65</c:v>
                </c:pt>
                <c:pt idx="1421">
                  <c:v>630.20000000000005</c:v>
                </c:pt>
                <c:pt idx="1422">
                  <c:v>625.1</c:v>
                </c:pt>
                <c:pt idx="1423">
                  <c:v>620.45000000000005</c:v>
                </c:pt>
                <c:pt idx="1424">
                  <c:v>623.79999999999995</c:v>
                </c:pt>
                <c:pt idx="1425">
                  <c:v>624.70000000000005</c:v>
                </c:pt>
                <c:pt idx="1426">
                  <c:v>664.45</c:v>
                </c:pt>
                <c:pt idx="1427">
                  <c:v>654.25</c:v>
                </c:pt>
                <c:pt idx="1428">
                  <c:v>671.1</c:v>
                </c:pt>
                <c:pt idx="1429">
                  <c:v>672.7</c:v>
                </c:pt>
                <c:pt idx="1430">
                  <c:v>666.95</c:v>
                </c:pt>
                <c:pt idx="1431">
                  <c:v>675.7</c:v>
                </c:pt>
                <c:pt idx="1432">
                  <c:v>687.8</c:v>
                </c:pt>
                <c:pt idx="1433">
                  <c:v>676</c:v>
                </c:pt>
                <c:pt idx="1434">
                  <c:v>674.85</c:v>
                </c:pt>
                <c:pt idx="1435">
                  <c:v>657</c:v>
                </c:pt>
                <c:pt idx="1436">
                  <c:v>668.75</c:v>
                </c:pt>
                <c:pt idx="1437">
                  <c:v>675.75</c:v>
                </c:pt>
                <c:pt idx="1438">
                  <c:v>675.85</c:v>
                </c:pt>
                <c:pt idx="1439">
                  <c:v>644.5</c:v>
                </c:pt>
                <c:pt idx="1440">
                  <c:v>658.4</c:v>
                </c:pt>
                <c:pt idx="1441">
                  <c:v>632.1</c:v>
                </c:pt>
                <c:pt idx="1442">
                  <c:v>670.7</c:v>
                </c:pt>
                <c:pt idx="1443">
                  <c:v>662.9</c:v>
                </c:pt>
                <c:pt idx="1444">
                  <c:v>709.35</c:v>
                </c:pt>
                <c:pt idx="1445">
                  <c:v>714.2</c:v>
                </c:pt>
                <c:pt idx="1446">
                  <c:v>733.8</c:v>
                </c:pt>
                <c:pt idx="1447">
                  <c:v>743.9</c:v>
                </c:pt>
                <c:pt idx="1448">
                  <c:v>719.6</c:v>
                </c:pt>
                <c:pt idx="1449">
                  <c:v>736.15</c:v>
                </c:pt>
                <c:pt idx="1450">
                  <c:v>742.5</c:v>
                </c:pt>
                <c:pt idx="1451">
                  <c:v>734.8</c:v>
                </c:pt>
                <c:pt idx="1452">
                  <c:v>740.1</c:v>
                </c:pt>
                <c:pt idx="1453">
                  <c:v>750.4</c:v>
                </c:pt>
                <c:pt idx="1454">
                  <c:v>794</c:v>
                </c:pt>
                <c:pt idx="1455">
                  <c:v>775.05</c:v>
                </c:pt>
                <c:pt idx="1456">
                  <c:v>777.75</c:v>
                </c:pt>
                <c:pt idx="1457">
                  <c:v>777</c:v>
                </c:pt>
                <c:pt idx="1458">
                  <c:v>749.65</c:v>
                </c:pt>
                <c:pt idx="1459">
                  <c:v>719.45</c:v>
                </c:pt>
                <c:pt idx="1460">
                  <c:v>715.95</c:v>
                </c:pt>
                <c:pt idx="1461">
                  <c:v>749.4</c:v>
                </c:pt>
                <c:pt idx="1462">
                  <c:v>770.65</c:v>
                </c:pt>
                <c:pt idx="1463">
                  <c:v>724.8</c:v>
                </c:pt>
                <c:pt idx="1464">
                  <c:v>728.55</c:v>
                </c:pt>
                <c:pt idx="1465">
                  <c:v>731.25</c:v>
                </c:pt>
                <c:pt idx="1466">
                  <c:v>753.95</c:v>
                </c:pt>
                <c:pt idx="1467">
                  <c:v>736.8</c:v>
                </c:pt>
                <c:pt idx="1468">
                  <c:v>730.75</c:v>
                </c:pt>
                <c:pt idx="1469">
                  <c:v>743.3</c:v>
                </c:pt>
                <c:pt idx="1470">
                  <c:v>745.45</c:v>
                </c:pt>
                <c:pt idx="1471">
                  <c:v>760.75</c:v>
                </c:pt>
                <c:pt idx="1472">
                  <c:v>750.6</c:v>
                </c:pt>
                <c:pt idx="1473">
                  <c:v>744.4</c:v>
                </c:pt>
                <c:pt idx="1474">
                  <c:v>737.75</c:v>
                </c:pt>
                <c:pt idx="1475">
                  <c:v>727.9</c:v>
                </c:pt>
                <c:pt idx="1476">
                  <c:v>718.75</c:v>
                </c:pt>
                <c:pt idx="1477">
                  <c:v>726.25</c:v>
                </c:pt>
                <c:pt idx="1478">
                  <c:v>716.2</c:v>
                </c:pt>
                <c:pt idx="1479">
                  <c:v>730.55</c:v>
                </c:pt>
                <c:pt idx="1480">
                  <c:v>706.4</c:v>
                </c:pt>
                <c:pt idx="1481">
                  <c:v>694.6</c:v>
                </c:pt>
                <c:pt idx="1482">
                  <c:v>698.2</c:v>
                </c:pt>
                <c:pt idx="1483">
                  <c:v>695.35</c:v>
                </c:pt>
                <c:pt idx="1484">
                  <c:v>697.45</c:v>
                </c:pt>
                <c:pt idx="1485">
                  <c:v>713</c:v>
                </c:pt>
                <c:pt idx="1486">
                  <c:v>685.25</c:v>
                </c:pt>
                <c:pt idx="1487">
                  <c:v>677.9</c:v>
                </c:pt>
                <c:pt idx="1488">
                  <c:v>688.25</c:v>
                </c:pt>
                <c:pt idx="1489">
                  <c:v>681.6</c:v>
                </c:pt>
                <c:pt idx="1490">
                  <c:v>668.2</c:v>
                </c:pt>
                <c:pt idx="1491">
                  <c:v>635.6</c:v>
                </c:pt>
                <c:pt idx="1492">
                  <c:v>661</c:v>
                </c:pt>
                <c:pt idx="1493">
                  <c:v>668.85</c:v>
                </c:pt>
                <c:pt idx="1494">
                  <c:v>669.2</c:v>
                </c:pt>
                <c:pt idx="1495">
                  <c:v>648.15</c:v>
                </c:pt>
                <c:pt idx="1496">
                  <c:v>651.75</c:v>
                </c:pt>
                <c:pt idx="1497">
                  <c:v>658.7</c:v>
                </c:pt>
                <c:pt idx="1498">
                  <c:v>671.35</c:v>
                </c:pt>
                <c:pt idx="1499">
                  <c:v>700.45</c:v>
                </c:pt>
                <c:pt idx="1500">
                  <c:v>699.55</c:v>
                </c:pt>
                <c:pt idx="1501">
                  <c:v>708.15</c:v>
                </c:pt>
                <c:pt idx="1502">
                  <c:v>719.4</c:v>
                </c:pt>
                <c:pt idx="1503">
                  <c:v>714.9</c:v>
                </c:pt>
                <c:pt idx="1504">
                  <c:v>702.75</c:v>
                </c:pt>
                <c:pt idx="1505">
                  <c:v>700.35</c:v>
                </c:pt>
                <c:pt idx="1506">
                  <c:v>717.2</c:v>
                </c:pt>
                <c:pt idx="1507">
                  <c:v>715.75</c:v>
                </c:pt>
                <c:pt idx="1508">
                  <c:v>716.75</c:v>
                </c:pt>
                <c:pt idx="1509">
                  <c:v>715.25</c:v>
                </c:pt>
                <c:pt idx="1510">
                  <c:v>707.35</c:v>
                </c:pt>
                <c:pt idx="1511">
                  <c:v>691.3</c:v>
                </c:pt>
                <c:pt idx="1512">
                  <c:v>685</c:v>
                </c:pt>
                <c:pt idx="1513">
                  <c:v>709.25</c:v>
                </c:pt>
                <c:pt idx="1514">
                  <c:v>711.65</c:v>
                </c:pt>
                <c:pt idx="1515">
                  <c:v>716.8</c:v>
                </c:pt>
                <c:pt idx="1516">
                  <c:v>705.9</c:v>
                </c:pt>
                <c:pt idx="1517">
                  <c:v>730.9</c:v>
                </c:pt>
                <c:pt idx="1518">
                  <c:v>741.15</c:v>
                </c:pt>
                <c:pt idx="1519">
                  <c:v>731.55</c:v>
                </c:pt>
                <c:pt idx="1520">
                  <c:v>735.1</c:v>
                </c:pt>
                <c:pt idx="1521">
                  <c:v>750.35</c:v>
                </c:pt>
                <c:pt idx="1522">
                  <c:v>739.85</c:v>
                </c:pt>
                <c:pt idx="1523">
                  <c:v>750.7</c:v>
                </c:pt>
                <c:pt idx="1524">
                  <c:v>745.15</c:v>
                </c:pt>
                <c:pt idx="1525">
                  <c:v>737</c:v>
                </c:pt>
                <c:pt idx="1526">
                  <c:v>750.65</c:v>
                </c:pt>
                <c:pt idx="1527">
                  <c:v>742.05</c:v>
                </c:pt>
                <c:pt idx="1528">
                  <c:v>751.1</c:v>
                </c:pt>
                <c:pt idx="1529">
                  <c:v>746.35</c:v>
                </c:pt>
                <c:pt idx="1530">
                  <c:v>736.75</c:v>
                </c:pt>
                <c:pt idx="1531">
                  <c:v>744.25</c:v>
                </c:pt>
                <c:pt idx="1532">
                  <c:v>738.45</c:v>
                </c:pt>
                <c:pt idx="1533">
                  <c:v>736.25</c:v>
                </c:pt>
                <c:pt idx="1534">
                  <c:v>750.9</c:v>
                </c:pt>
                <c:pt idx="1535">
                  <c:v>749.8</c:v>
                </c:pt>
                <c:pt idx="1536">
                  <c:v>738.6</c:v>
                </c:pt>
                <c:pt idx="1537">
                  <c:v>736.3</c:v>
                </c:pt>
                <c:pt idx="1538">
                  <c:v>739.55</c:v>
                </c:pt>
                <c:pt idx="1539">
                  <c:v>739.35</c:v>
                </c:pt>
                <c:pt idx="1540">
                  <c:v>732.35</c:v>
                </c:pt>
                <c:pt idx="1541">
                  <c:v>739.15</c:v>
                </c:pt>
                <c:pt idx="1542">
                  <c:v>761.35</c:v>
                </c:pt>
                <c:pt idx="1543">
                  <c:v>762.4</c:v>
                </c:pt>
                <c:pt idx="1544">
                  <c:v>751.95</c:v>
                </c:pt>
                <c:pt idx="1545">
                  <c:v>748.3</c:v>
                </c:pt>
                <c:pt idx="1546">
                  <c:v>746.45</c:v>
                </c:pt>
                <c:pt idx="1547">
                  <c:v>750.65</c:v>
                </c:pt>
                <c:pt idx="1548">
                  <c:v>760.35</c:v>
                </c:pt>
                <c:pt idx="1549">
                  <c:v>758.35</c:v>
                </c:pt>
                <c:pt idx="1550">
                  <c:v>762.9</c:v>
                </c:pt>
                <c:pt idx="1551">
                  <c:v>754.4</c:v>
                </c:pt>
                <c:pt idx="1552">
                  <c:v>747.35</c:v>
                </c:pt>
                <c:pt idx="1553">
                  <c:v>753.6</c:v>
                </c:pt>
                <c:pt idx="1554">
                  <c:v>770.75</c:v>
                </c:pt>
                <c:pt idx="1555">
                  <c:v>770.05</c:v>
                </c:pt>
                <c:pt idx="1556">
                  <c:v>774.15</c:v>
                </c:pt>
                <c:pt idx="1557">
                  <c:v>771.15</c:v>
                </c:pt>
                <c:pt idx="1558">
                  <c:v>755.2</c:v>
                </c:pt>
                <c:pt idx="1559">
                  <c:v>745.75</c:v>
                </c:pt>
                <c:pt idx="1560">
                  <c:v>746.75</c:v>
                </c:pt>
                <c:pt idx="1561">
                  <c:v>755.4</c:v>
                </c:pt>
                <c:pt idx="1562">
                  <c:v>756.3</c:v>
                </c:pt>
                <c:pt idx="1563">
                  <c:v>731.7</c:v>
                </c:pt>
                <c:pt idx="1564">
                  <c:v>722.9</c:v>
                </c:pt>
                <c:pt idx="1565">
                  <c:v>717.25</c:v>
                </c:pt>
                <c:pt idx="1566">
                  <c:v>708.9</c:v>
                </c:pt>
                <c:pt idx="1567">
                  <c:v>721.15</c:v>
                </c:pt>
                <c:pt idx="1568">
                  <c:v>738.6</c:v>
                </c:pt>
                <c:pt idx="1569">
                  <c:v>753.8</c:v>
                </c:pt>
                <c:pt idx="1570">
                  <c:v>749.3</c:v>
                </c:pt>
                <c:pt idx="1571">
                  <c:v>740.85</c:v>
                </c:pt>
                <c:pt idx="1572">
                  <c:v>755.5</c:v>
                </c:pt>
                <c:pt idx="1573">
                  <c:v>761.55</c:v>
                </c:pt>
                <c:pt idx="1574">
                  <c:v>760.8</c:v>
                </c:pt>
                <c:pt idx="1575">
                  <c:v>757.35</c:v>
                </c:pt>
                <c:pt idx="1576">
                  <c:v>759.9</c:v>
                </c:pt>
                <c:pt idx="1577">
                  <c:v>762</c:v>
                </c:pt>
                <c:pt idx="1578">
                  <c:v>756.75</c:v>
                </c:pt>
                <c:pt idx="1579">
                  <c:v>754.4</c:v>
                </c:pt>
                <c:pt idx="1580">
                  <c:v>740.25</c:v>
                </c:pt>
                <c:pt idx="1581">
                  <c:v>736.1</c:v>
                </c:pt>
                <c:pt idx="1582">
                  <c:v>746.35</c:v>
                </c:pt>
                <c:pt idx="1583">
                  <c:v>739.05</c:v>
                </c:pt>
                <c:pt idx="1584">
                  <c:v>746.35</c:v>
                </c:pt>
                <c:pt idx="1585">
                  <c:v>752.4</c:v>
                </c:pt>
                <c:pt idx="1586">
                  <c:v>784.05</c:v>
                </c:pt>
                <c:pt idx="1587">
                  <c:v>786.5</c:v>
                </c:pt>
                <c:pt idx="1588">
                  <c:v>798.9</c:v>
                </c:pt>
                <c:pt idx="1589">
                  <c:v>802.7</c:v>
                </c:pt>
                <c:pt idx="1590">
                  <c:v>798</c:v>
                </c:pt>
                <c:pt idx="1591">
                  <c:v>800.8</c:v>
                </c:pt>
                <c:pt idx="1592">
                  <c:v>787.85</c:v>
                </c:pt>
                <c:pt idx="1593">
                  <c:v>794.7</c:v>
                </c:pt>
                <c:pt idx="1594">
                  <c:v>790.15</c:v>
                </c:pt>
                <c:pt idx="1595">
                  <c:v>788.35</c:v>
                </c:pt>
                <c:pt idx="1596">
                  <c:v>794.4</c:v>
                </c:pt>
                <c:pt idx="1597">
                  <c:v>791.4</c:v>
                </c:pt>
                <c:pt idx="1598">
                  <c:v>802.6</c:v>
                </c:pt>
                <c:pt idx="1599">
                  <c:v>807.35</c:v>
                </c:pt>
                <c:pt idx="1600">
                  <c:v>795.85</c:v>
                </c:pt>
                <c:pt idx="1601">
                  <c:v>795.35</c:v>
                </c:pt>
                <c:pt idx="1602">
                  <c:v>788.35</c:v>
                </c:pt>
                <c:pt idx="1603">
                  <c:v>812.15</c:v>
                </c:pt>
                <c:pt idx="1604">
                  <c:v>798.05</c:v>
                </c:pt>
                <c:pt idx="1605">
                  <c:v>796.95</c:v>
                </c:pt>
                <c:pt idx="1606">
                  <c:v>789.2</c:v>
                </c:pt>
                <c:pt idx="1607">
                  <c:v>782.15</c:v>
                </c:pt>
                <c:pt idx="1608">
                  <c:v>766.55</c:v>
                </c:pt>
                <c:pt idx="1609">
                  <c:v>768.15</c:v>
                </c:pt>
                <c:pt idx="1610">
                  <c:v>779</c:v>
                </c:pt>
                <c:pt idx="1611">
                  <c:v>782.6</c:v>
                </c:pt>
                <c:pt idx="1612">
                  <c:v>778.95</c:v>
                </c:pt>
                <c:pt idx="1613">
                  <c:v>777.1</c:v>
                </c:pt>
                <c:pt idx="1614">
                  <c:v>781.95</c:v>
                </c:pt>
                <c:pt idx="1615">
                  <c:v>787.15</c:v>
                </c:pt>
                <c:pt idx="1616">
                  <c:v>797.15</c:v>
                </c:pt>
                <c:pt idx="1617">
                  <c:v>794.6</c:v>
                </c:pt>
                <c:pt idx="1618">
                  <c:v>802.05</c:v>
                </c:pt>
                <c:pt idx="1619">
                  <c:v>813.3</c:v>
                </c:pt>
                <c:pt idx="1620">
                  <c:v>801.65</c:v>
                </c:pt>
                <c:pt idx="1621">
                  <c:v>804.8</c:v>
                </c:pt>
                <c:pt idx="1622">
                  <c:v>807.8</c:v>
                </c:pt>
                <c:pt idx="1623">
                  <c:v>816.7</c:v>
                </c:pt>
                <c:pt idx="1624">
                  <c:v>845.1</c:v>
                </c:pt>
                <c:pt idx="1625">
                  <c:v>841.9</c:v>
                </c:pt>
                <c:pt idx="1626">
                  <c:v>787.5</c:v>
                </c:pt>
                <c:pt idx="1627">
                  <c:v>758.35</c:v>
                </c:pt>
                <c:pt idx="1628">
                  <c:v>742</c:v>
                </c:pt>
                <c:pt idx="1629">
                  <c:v>752.35</c:v>
                </c:pt>
                <c:pt idx="1630">
                  <c:v>755.85</c:v>
                </c:pt>
                <c:pt idx="1631">
                  <c:v>750.6</c:v>
                </c:pt>
                <c:pt idx="1632">
                  <c:v>752.95</c:v>
                </c:pt>
                <c:pt idx="1633">
                  <c:v>751.05</c:v>
                </c:pt>
                <c:pt idx="1634">
                  <c:v>745.05</c:v>
                </c:pt>
                <c:pt idx="1635">
                  <c:v>749.35</c:v>
                </c:pt>
                <c:pt idx="1636">
                  <c:v>738.05</c:v>
                </c:pt>
                <c:pt idx="1637">
                  <c:v>736.05</c:v>
                </c:pt>
                <c:pt idx="1638">
                  <c:v>733.25</c:v>
                </c:pt>
                <c:pt idx="1639">
                  <c:v>726.15</c:v>
                </c:pt>
                <c:pt idx="1640">
                  <c:v>712.35</c:v>
                </c:pt>
                <c:pt idx="1641">
                  <c:v>706.35</c:v>
                </c:pt>
                <c:pt idx="1642">
                  <c:v>686.4</c:v>
                </c:pt>
                <c:pt idx="1643">
                  <c:v>685.65</c:v>
                </c:pt>
                <c:pt idx="1644">
                  <c:v>685.15</c:v>
                </c:pt>
                <c:pt idx="1645">
                  <c:v>679.9</c:v>
                </c:pt>
                <c:pt idx="1646">
                  <c:v>661.75</c:v>
                </c:pt>
                <c:pt idx="1647">
                  <c:v>651.1</c:v>
                </c:pt>
                <c:pt idx="1648">
                  <c:v>655.65</c:v>
                </c:pt>
                <c:pt idx="1649">
                  <c:v>679.6</c:v>
                </c:pt>
                <c:pt idx="1650">
                  <c:v>676.1</c:v>
                </c:pt>
                <c:pt idx="1651">
                  <c:v>673</c:v>
                </c:pt>
                <c:pt idx="1652">
                  <c:v>663.1</c:v>
                </c:pt>
                <c:pt idx="1653">
                  <c:v>687</c:v>
                </c:pt>
                <c:pt idx="1654">
                  <c:v>697.1</c:v>
                </c:pt>
                <c:pt idx="1655">
                  <c:v>693.95</c:v>
                </c:pt>
                <c:pt idx="1656">
                  <c:v>688.05</c:v>
                </c:pt>
                <c:pt idx="1657">
                  <c:v>704</c:v>
                </c:pt>
                <c:pt idx="1658">
                  <c:v>710.9</c:v>
                </c:pt>
                <c:pt idx="1659">
                  <c:v>712.5</c:v>
                </c:pt>
                <c:pt idx="1660">
                  <c:v>709.65</c:v>
                </c:pt>
                <c:pt idx="1661">
                  <c:v>688.9</c:v>
                </c:pt>
                <c:pt idx="1662">
                  <c:v>674.35</c:v>
                </c:pt>
                <c:pt idx="1663">
                  <c:v>665.85</c:v>
                </c:pt>
                <c:pt idx="1664">
                  <c:v>669.35</c:v>
                </c:pt>
                <c:pt idx="1665">
                  <c:v>678.8</c:v>
                </c:pt>
                <c:pt idx="1666">
                  <c:v>667.5</c:v>
                </c:pt>
                <c:pt idx="1667">
                  <c:v>672.15</c:v>
                </c:pt>
                <c:pt idx="1668">
                  <c:v>675.45</c:v>
                </c:pt>
                <c:pt idx="1669">
                  <c:v>670.5</c:v>
                </c:pt>
                <c:pt idx="1670">
                  <c:v>668.85</c:v>
                </c:pt>
                <c:pt idx="1671">
                  <c:v>678.55</c:v>
                </c:pt>
                <c:pt idx="1672">
                  <c:v>696.35</c:v>
                </c:pt>
                <c:pt idx="1673">
                  <c:v>709.15</c:v>
                </c:pt>
                <c:pt idx="1674">
                  <c:v>726.9</c:v>
                </c:pt>
                <c:pt idx="1675">
                  <c:v>730.3</c:v>
                </c:pt>
                <c:pt idx="1676">
                  <c:v>730.6</c:v>
                </c:pt>
                <c:pt idx="1677">
                  <c:v>742.8</c:v>
                </c:pt>
                <c:pt idx="1678">
                  <c:v>743.25</c:v>
                </c:pt>
                <c:pt idx="1679">
                  <c:v>746.85</c:v>
                </c:pt>
                <c:pt idx="1680">
                  <c:v>740.7</c:v>
                </c:pt>
                <c:pt idx="1681">
                  <c:v>721.7</c:v>
                </c:pt>
                <c:pt idx="1682">
                  <c:v>712.65</c:v>
                </c:pt>
                <c:pt idx="1683">
                  <c:v>725.2</c:v>
                </c:pt>
                <c:pt idx="1684">
                  <c:v>729.6</c:v>
                </c:pt>
                <c:pt idx="1685">
                  <c:v>728.9</c:v>
                </c:pt>
                <c:pt idx="1686">
                  <c:v>712.5</c:v>
                </c:pt>
                <c:pt idx="1687">
                  <c:v>704.6</c:v>
                </c:pt>
                <c:pt idx="1688">
                  <c:v>752.2</c:v>
                </c:pt>
                <c:pt idx="1689">
                  <c:v>773.85</c:v>
                </c:pt>
                <c:pt idx="1690">
                  <c:v>764.7</c:v>
                </c:pt>
                <c:pt idx="1691">
                  <c:v>773.05</c:v>
                </c:pt>
                <c:pt idx="1692">
                  <c:v>781.9</c:v>
                </c:pt>
                <c:pt idx="1693">
                  <c:v>804.1</c:v>
                </c:pt>
                <c:pt idx="1694">
                  <c:v>799.55</c:v>
                </c:pt>
                <c:pt idx="1695">
                  <c:v>798.55</c:v>
                </c:pt>
                <c:pt idx="1696">
                  <c:v>789.6</c:v>
                </c:pt>
                <c:pt idx="1697">
                  <c:v>798.55</c:v>
                </c:pt>
                <c:pt idx="1698">
                  <c:v>803.85</c:v>
                </c:pt>
                <c:pt idx="1699">
                  <c:v>809.8</c:v>
                </c:pt>
                <c:pt idx="1700">
                  <c:v>803.8</c:v>
                </c:pt>
                <c:pt idx="1701">
                  <c:v>773.35</c:v>
                </c:pt>
                <c:pt idx="1702">
                  <c:v>796.95</c:v>
                </c:pt>
                <c:pt idx="1703">
                  <c:v>797.05</c:v>
                </c:pt>
                <c:pt idx="1704">
                  <c:v>782.8</c:v>
                </c:pt>
                <c:pt idx="1705">
                  <c:v>787.4</c:v>
                </c:pt>
                <c:pt idx="1706">
                  <c:v>788.85</c:v>
                </c:pt>
                <c:pt idx="1707">
                  <c:v>779.15</c:v>
                </c:pt>
                <c:pt idx="1708">
                  <c:v>777.2</c:v>
                </c:pt>
                <c:pt idx="1709">
                  <c:v>730.3</c:v>
                </c:pt>
                <c:pt idx="1710">
                  <c:v>758.05</c:v>
                </c:pt>
                <c:pt idx="1711">
                  <c:v>742.4</c:v>
                </c:pt>
                <c:pt idx="1712">
                  <c:v>750.25</c:v>
                </c:pt>
                <c:pt idx="1713">
                  <c:v>737.65</c:v>
                </c:pt>
                <c:pt idx="1714">
                  <c:v>715</c:v>
                </c:pt>
                <c:pt idx="1715">
                  <c:v>667.55</c:v>
                </c:pt>
                <c:pt idx="1716">
                  <c:v>670.4</c:v>
                </c:pt>
                <c:pt idx="1717">
                  <c:v>674.2</c:v>
                </c:pt>
                <c:pt idx="1718">
                  <c:v>694.95</c:v>
                </c:pt>
                <c:pt idx="1719">
                  <c:v>690.85</c:v>
                </c:pt>
                <c:pt idx="1720">
                  <c:v>710.05</c:v>
                </c:pt>
                <c:pt idx="1721">
                  <c:v>698.15</c:v>
                </c:pt>
                <c:pt idx="1722">
                  <c:v>723.85</c:v>
                </c:pt>
                <c:pt idx="1723">
                  <c:v>739.25</c:v>
                </c:pt>
                <c:pt idx="1724">
                  <c:v>725.9</c:v>
                </c:pt>
                <c:pt idx="1725">
                  <c:v>731.4</c:v>
                </c:pt>
                <c:pt idx="1726">
                  <c:v>726.75</c:v>
                </c:pt>
                <c:pt idx="1727">
                  <c:v>722.25</c:v>
                </c:pt>
                <c:pt idx="1728">
                  <c:v>721.25</c:v>
                </c:pt>
                <c:pt idx="1729">
                  <c:v>736</c:v>
                </c:pt>
                <c:pt idx="1730">
                  <c:v>737.8</c:v>
                </c:pt>
                <c:pt idx="1731">
                  <c:v>750.45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3-4742-BBF4-E8FA4B79C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119823"/>
        <c:axId val="581120303"/>
      </c:lineChart>
      <c:dateAx>
        <c:axId val="581119823"/>
        <c:scaling>
          <c:orientation val="minMax"/>
        </c:scaling>
        <c:delete val="0"/>
        <c:axPos val="b"/>
        <c:numFmt formatCode="dd\-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20303"/>
        <c:crosses val="autoZero"/>
        <c:auto val="1"/>
        <c:lblOffset val="100"/>
        <c:baseTimeUnit val="days"/>
      </c:dateAx>
      <c:valAx>
        <c:axId val="58112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1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SMA_3year!$D$1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SMA_3year!$C$2:$C$85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SMA_3year!$D$2:$D$85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31-4868-BDE3-4749D42CEC9B}"/>
            </c:ext>
          </c:extLst>
        </c:ser>
        <c:ser>
          <c:idx val="1"/>
          <c:order val="1"/>
          <c:tx>
            <c:strRef>
              <c:f>SMA_3year!$E$1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SMA_3year!$C$2:$C$85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SMA_3year!$E$2:$E$85</c:f>
              <c:numCache>
                <c:formatCode>General</c:formatCode>
                <c:ptCount val="84"/>
                <c:pt idx="1">
                  <c:v>555.55307017543862</c:v>
                </c:pt>
                <c:pt idx="2">
                  <c:v>566.4989130434783</c:v>
                </c:pt>
                <c:pt idx="3">
                  <c:v>562.21637336093852</c:v>
                </c:pt>
                <c:pt idx="4">
                  <c:v>539.99637336093872</c:v>
                </c:pt>
                <c:pt idx="5">
                  <c:v>512.83912698412689</c:v>
                </c:pt>
                <c:pt idx="6">
                  <c:v>487.16114035087713</c:v>
                </c:pt>
                <c:pt idx="7">
                  <c:v>473.06826156299843</c:v>
                </c:pt>
                <c:pt idx="8">
                  <c:v>443.32909489633175</c:v>
                </c:pt>
                <c:pt idx="9">
                  <c:v>417.63803391053392</c:v>
                </c:pt>
                <c:pt idx="10">
                  <c:v>409.02591269841264</c:v>
                </c:pt>
                <c:pt idx="11">
                  <c:v>422.34285714285716</c:v>
                </c:pt>
                <c:pt idx="12">
                  <c:v>454.78308080808091</c:v>
                </c:pt>
                <c:pt idx="13">
                  <c:v>489.02777777777783</c:v>
                </c:pt>
                <c:pt idx="14">
                  <c:v>522.26499999999999</c:v>
                </c:pt>
                <c:pt idx="15">
                  <c:v>551.1331818181817</c:v>
                </c:pt>
                <c:pt idx="16">
                  <c:v>571.28431818181821</c:v>
                </c:pt>
                <c:pt idx="17">
                  <c:v>561.92896730462519</c:v>
                </c:pt>
                <c:pt idx="18">
                  <c:v>529.03643483709277</c:v>
                </c:pt>
                <c:pt idx="19">
                  <c:v>484.74363180678967</c:v>
                </c:pt>
                <c:pt idx="20">
                  <c:v>464.81334776334774</c:v>
                </c:pt>
                <c:pt idx="21">
                  <c:v>470.43941292625505</c:v>
                </c:pt>
                <c:pt idx="22">
                  <c:v>487.24395838080045</c:v>
                </c:pt>
                <c:pt idx="23">
                  <c:v>501.37848219032429</c:v>
                </c:pt>
                <c:pt idx="24">
                  <c:v>505.48358585858574</c:v>
                </c:pt>
                <c:pt idx="25">
                  <c:v>507.07283549783551</c:v>
                </c:pt>
                <c:pt idx="26">
                  <c:v>511.78989898989903</c:v>
                </c:pt>
                <c:pt idx="27">
                  <c:v>509.6103174603175</c:v>
                </c:pt>
                <c:pt idx="28">
                  <c:v>508.85238095238088</c:v>
                </c:pt>
                <c:pt idx="29">
                  <c:v>501.24726190476184</c:v>
                </c:pt>
                <c:pt idx="30">
                  <c:v>515.21017676767667</c:v>
                </c:pt>
                <c:pt idx="31">
                  <c:v>527.86462121212116</c:v>
                </c:pt>
                <c:pt idx="32">
                  <c:v>555.66606060606057</c:v>
                </c:pt>
                <c:pt idx="33">
                  <c:v>558.2442902711324</c:v>
                </c:pt>
                <c:pt idx="34">
                  <c:v>549.5974481658692</c:v>
                </c:pt>
                <c:pt idx="35">
                  <c:v>528.88208020050126</c:v>
                </c:pt>
                <c:pt idx="36">
                  <c:v>525.03112326270218</c:v>
                </c:pt>
                <c:pt idx="37">
                  <c:v>527.36082251082246</c:v>
                </c:pt>
                <c:pt idx="38">
                  <c:v>532.18300865800859</c:v>
                </c:pt>
                <c:pt idx="39">
                  <c:v>558.31504329004338</c:v>
                </c:pt>
                <c:pt idx="40">
                  <c:v>591.41014911014906</c:v>
                </c:pt>
                <c:pt idx="41">
                  <c:v>604.43240740740748</c:v>
                </c:pt>
                <c:pt idx="42">
                  <c:v>604.69264550264552</c:v>
                </c:pt>
                <c:pt idx="43">
                  <c:v>602.1188492063493</c:v>
                </c:pt>
                <c:pt idx="44">
                  <c:v>631.18786231884053</c:v>
                </c:pt>
                <c:pt idx="45">
                  <c:v>661.28369565217395</c:v>
                </c:pt>
                <c:pt idx="46">
                  <c:v>703.84409038901606</c:v>
                </c:pt>
                <c:pt idx="47">
                  <c:v>737.9722368421053</c:v>
                </c:pt>
                <c:pt idx="48">
                  <c:v>756.6303429027115</c:v>
                </c:pt>
                <c:pt idx="49">
                  <c:v>773.49700956937806</c:v>
                </c:pt>
                <c:pt idx="50">
                  <c:v>771.46668920324521</c:v>
                </c:pt>
                <c:pt idx="51">
                  <c:v>739.56024980930579</c:v>
                </c:pt>
                <c:pt idx="52">
                  <c:v>698.73656559877952</c:v>
                </c:pt>
                <c:pt idx="53">
                  <c:v>680.1525438596492</c:v>
                </c:pt>
                <c:pt idx="54">
                  <c:v>703.185043859649</c:v>
                </c:pt>
                <c:pt idx="55">
                  <c:v>724.91829365079366</c:v>
                </c:pt>
                <c:pt idx="56">
                  <c:v>737.0378226363008</c:v>
                </c:pt>
                <c:pt idx="57">
                  <c:v>735.21448930296754</c:v>
                </c:pt>
                <c:pt idx="58">
                  <c:v>655.04306073153896</c:v>
                </c:pt>
                <c:pt idx="59">
                  <c:v>549.50566137566136</c:v>
                </c:pt>
                <c:pt idx="60">
                  <c:v>431.85592453355611</c:v>
                </c:pt>
                <c:pt idx="61">
                  <c:v>403.0583776360092</c:v>
                </c:pt>
                <c:pt idx="62">
                  <c:v>409.80447264406075</c:v>
                </c:pt>
                <c:pt idx="63">
                  <c:v>432.69127297822951</c:v>
                </c:pt>
                <c:pt idx="64">
                  <c:v>442.6791517661083</c:v>
                </c:pt>
                <c:pt idx="65">
                  <c:v>455.91572871572868</c:v>
                </c:pt>
                <c:pt idx="66">
                  <c:v>502.57699855699849</c:v>
                </c:pt>
                <c:pt idx="67">
                  <c:v>559.26411976911993</c:v>
                </c:pt>
                <c:pt idx="68">
                  <c:v>620.46431818181827</c:v>
                </c:pt>
                <c:pt idx="69">
                  <c:v>672.48598484848492</c:v>
                </c:pt>
                <c:pt idx="70">
                  <c:v>711.07599206349221</c:v>
                </c:pt>
                <c:pt idx="71">
                  <c:v>717.1270885547201</c:v>
                </c:pt>
                <c:pt idx="72">
                  <c:v>708.73375522138679</c:v>
                </c:pt>
                <c:pt idx="73">
                  <c:v>714.42177830940989</c:v>
                </c:pt>
                <c:pt idx="74">
                  <c:v>737.89667388167379</c:v>
                </c:pt>
                <c:pt idx="75">
                  <c:v>749.15627705627696</c:v>
                </c:pt>
                <c:pt idx="76">
                  <c:v>765.79523809523801</c:v>
                </c:pt>
                <c:pt idx="77">
                  <c:v>780.09507936507941</c:v>
                </c:pt>
                <c:pt idx="78">
                  <c:v>767.83714285714279</c:v>
                </c:pt>
                <c:pt idx="79">
                  <c:v>730.6582608695652</c:v>
                </c:pt>
                <c:pt idx="80">
                  <c:v>710.62576086956517</c:v>
                </c:pt>
                <c:pt idx="81">
                  <c:v>733.76242753623183</c:v>
                </c:pt>
                <c:pt idx="82">
                  <c:v>744.88333333333321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1-4868-BDE3-4749D42CE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229568"/>
        <c:axId val="256230048"/>
      </c:lineChart>
      <c:dateAx>
        <c:axId val="2562295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30048"/>
        <c:crosses val="autoZero"/>
        <c:auto val="1"/>
        <c:lblOffset val="100"/>
        <c:baseTimeUnit val="days"/>
      </c:dateAx>
      <c:valAx>
        <c:axId val="2562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2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SMA_4year!$B$1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SMA_4year!$A$2:$A$85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SMA_4year!$B$2:$B$85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91-42E0-B709-79B32ABC2501}"/>
            </c:ext>
          </c:extLst>
        </c:ser>
        <c:ser>
          <c:idx val="1"/>
          <c:order val="1"/>
          <c:tx>
            <c:strRef>
              <c:f>SMA_4year!$C$1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SMA_4year!$A$2:$A$85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SMA_4year!$C$2:$C$85</c:f>
              <c:numCache>
                <c:formatCode>General</c:formatCode>
                <c:ptCount val="84"/>
                <c:pt idx="2">
                  <c:v>561.79125871744577</c:v>
                </c:pt>
                <c:pt idx="3">
                  <c:v>553.11415502070395</c:v>
                </c:pt>
                <c:pt idx="4">
                  <c:v>537.27540502070394</c:v>
                </c:pt>
                <c:pt idx="5">
                  <c:v>516.02186526097853</c:v>
                </c:pt>
                <c:pt idx="6">
                  <c:v>489.93194833675091</c:v>
                </c:pt>
                <c:pt idx="7">
                  <c:v>467.59463367224879</c:v>
                </c:pt>
                <c:pt idx="8">
                  <c:v>444.07122593415357</c:v>
                </c:pt>
                <c:pt idx="9">
                  <c:v>424.93082806447939</c:v>
                </c:pt>
                <c:pt idx="10">
                  <c:v>419.27189664502163</c:v>
                </c:pt>
                <c:pt idx="11">
                  <c:v>429.3444439935065</c:v>
                </c:pt>
                <c:pt idx="12">
                  <c:v>455.99722673160181</c:v>
                </c:pt>
                <c:pt idx="13">
                  <c:v>488.50770833333337</c:v>
                </c:pt>
                <c:pt idx="14">
                  <c:v>520.10547348484852</c:v>
                </c:pt>
                <c:pt idx="15">
                  <c:v>547.9815625</c:v>
                </c:pt>
                <c:pt idx="16">
                  <c:v>559.53361842105267</c:v>
                </c:pt>
                <c:pt idx="17">
                  <c:v>549.98270762132609</c:v>
                </c:pt>
                <c:pt idx="18">
                  <c:v>525.62476930963771</c:v>
                </c:pt>
                <c:pt idx="19">
                  <c:v>494.71092325985421</c:v>
                </c:pt>
                <c:pt idx="20">
                  <c:v>475.74751082251078</c:v>
                </c:pt>
                <c:pt idx="21">
                  <c:v>475.64400774663932</c:v>
                </c:pt>
                <c:pt idx="22">
                  <c:v>485.27681348256999</c:v>
                </c:pt>
                <c:pt idx="23">
                  <c:v>497.23691900205051</c:v>
                </c:pt>
                <c:pt idx="24">
                  <c:v>504.63288049669626</c:v>
                </c:pt>
                <c:pt idx="25">
                  <c:v>508.21907467532469</c:v>
                </c:pt>
                <c:pt idx="26">
                  <c:v>509.52858495671001</c:v>
                </c:pt>
                <c:pt idx="27">
                  <c:v>508.98311688311691</c:v>
                </c:pt>
                <c:pt idx="28">
                  <c:v>507.29778273809524</c:v>
                </c:pt>
                <c:pt idx="29">
                  <c:v>508.62659902597397</c:v>
                </c:pt>
                <c:pt idx="30">
                  <c:v>517.11108495670987</c:v>
                </c:pt>
                <c:pt idx="31">
                  <c:v>531.69827651515152</c:v>
                </c:pt>
                <c:pt idx="32">
                  <c:v>547.55561453349287</c:v>
                </c:pt>
                <c:pt idx="33">
                  <c:v>551.38019736842102</c:v>
                </c:pt>
                <c:pt idx="34">
                  <c:v>544.97505041011618</c:v>
                </c:pt>
                <c:pt idx="35">
                  <c:v>536.449060150376</c:v>
                </c:pt>
                <c:pt idx="36">
                  <c:v>528.31079545454543</c:v>
                </c:pt>
                <c:pt idx="37">
                  <c:v>526.86333518455228</c:v>
                </c:pt>
                <c:pt idx="38">
                  <c:v>540.95600649350649</c:v>
                </c:pt>
                <c:pt idx="39">
                  <c:v>564.24029130591634</c:v>
                </c:pt>
                <c:pt idx="40">
                  <c:v>580.65731421356429</c:v>
                </c:pt>
                <c:pt idx="41">
                  <c:v>597.0489646464647</c:v>
                </c:pt>
                <c:pt idx="42">
                  <c:v>607.85783234126984</c:v>
                </c:pt>
                <c:pt idx="43">
                  <c:v>612.00038388543828</c:v>
                </c:pt>
                <c:pt idx="44">
                  <c:v>633.28484019151142</c:v>
                </c:pt>
                <c:pt idx="45">
                  <c:v>666.3588572654462</c:v>
                </c:pt>
                <c:pt idx="46">
                  <c:v>700.12719608123575</c:v>
                </c:pt>
                <c:pt idx="47">
                  <c:v>731.27079077387157</c:v>
                </c:pt>
                <c:pt idx="48">
                  <c:v>755.47978020334938</c:v>
                </c:pt>
                <c:pt idx="49">
                  <c:v>767.56566335552327</c:v>
                </c:pt>
                <c:pt idx="50">
                  <c:v>757.22477019190762</c:v>
                </c:pt>
                <c:pt idx="51">
                  <c:v>734.36511857707501</c:v>
                </c:pt>
                <c:pt idx="52">
                  <c:v>710.85132222540039</c:v>
                </c:pt>
                <c:pt idx="53">
                  <c:v>696.61497854691072</c:v>
                </c:pt>
                <c:pt idx="54">
                  <c:v>703.26876801378444</c:v>
                </c:pt>
                <c:pt idx="55">
                  <c:v>719.72356005502888</c:v>
                </c:pt>
                <c:pt idx="56">
                  <c:v>731.62617947722561</c:v>
                </c:pt>
                <c:pt idx="57">
                  <c:v>705.86375388198758</c:v>
                </c:pt>
                <c:pt idx="58">
                  <c:v>635.89057927881299</c:v>
                </c:pt>
                <c:pt idx="59">
                  <c:v>551.40323058552167</c:v>
                </c:pt>
                <c:pt idx="60">
                  <c:v>466.86200021834884</c:v>
                </c:pt>
                <c:pt idx="61">
                  <c:v>419.36756687089917</c:v>
                </c:pt>
                <c:pt idx="62">
                  <c:v>415.63336440368045</c:v>
                </c:pt>
                <c:pt idx="63">
                  <c:v>427.11531478151903</c:v>
                </c:pt>
                <c:pt idx="64">
                  <c:v>443.24778373800109</c:v>
                </c:pt>
                <c:pt idx="65">
                  <c:v>470.24456827592695</c:v>
                </c:pt>
                <c:pt idx="66">
                  <c:v>509.36982954545454</c:v>
                </c:pt>
                <c:pt idx="67">
                  <c:v>557.38203869047629</c:v>
                </c:pt>
                <c:pt idx="68">
                  <c:v>618.12785173160182</c:v>
                </c:pt>
                <c:pt idx="69">
                  <c:v>668.77079816017317</c:v>
                </c:pt>
                <c:pt idx="70">
                  <c:v>694.76777455001138</c:v>
                </c:pt>
                <c:pt idx="71">
                  <c:v>710.42750391604011</c:v>
                </c:pt>
                <c:pt idx="72">
                  <c:v>717.59775959785827</c:v>
                </c:pt>
                <c:pt idx="73">
                  <c:v>720.55145277967642</c:v>
                </c:pt>
                <c:pt idx="74">
                  <c:v>732.4962052859421</c:v>
                </c:pt>
                <c:pt idx="75">
                  <c:v>751.00676136363631</c:v>
                </c:pt>
                <c:pt idx="76">
                  <c:v>766.5769967532467</c:v>
                </c:pt>
                <c:pt idx="77">
                  <c:v>768.35136904761907</c:v>
                </c:pt>
                <c:pt idx="78">
                  <c:v>755.29768115942034</c:v>
                </c:pt>
                <c:pt idx="79">
                  <c:v>738.95168672360251</c:v>
                </c:pt>
                <c:pt idx="80">
                  <c:v>730.28807065217393</c:v>
                </c:pt>
                <c:pt idx="81">
                  <c:v>729.31525815217378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91-42E0-B709-79B32ABC2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470671"/>
        <c:axId val="563464431"/>
      </c:lineChart>
      <c:dateAx>
        <c:axId val="56347067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64431"/>
        <c:crosses val="autoZero"/>
        <c:auto val="1"/>
        <c:lblOffset val="100"/>
        <c:baseTimeUnit val="days"/>
      </c:dateAx>
      <c:valAx>
        <c:axId val="56346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7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SMA_5year!$B$1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SMA_5year!$A$2:$A$85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SMA_5year!$B$2:$B$85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4-4050-B418-BB4324AF2FDC}"/>
            </c:ext>
          </c:extLst>
        </c:ser>
        <c:ser>
          <c:idx val="1"/>
          <c:order val="1"/>
          <c:tx>
            <c:strRef>
              <c:f>SMA_5year!$C$1</c:f>
              <c:strCache>
                <c:ptCount val="1"/>
                <c:pt idx="0">
                  <c:v>y'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SMA_5year!$A$2:$A$85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SMA_5year!$C$2:$C$85</c:f>
              <c:numCache>
                <c:formatCode>General</c:formatCode>
                <c:ptCount val="84"/>
                <c:pt idx="2">
                  <c:v>558.96666612182639</c:v>
                </c:pt>
                <c:pt idx="3">
                  <c:v>547.65282401656327</c:v>
                </c:pt>
                <c:pt idx="4">
                  <c:v>535.64282401656305</c:v>
                </c:pt>
                <c:pt idx="5">
                  <c:v>517.93150822708958</c:v>
                </c:pt>
                <c:pt idx="6">
                  <c:v>491.59443312827523</c:v>
                </c:pt>
                <c:pt idx="7">
                  <c:v>464.31045693779896</c:v>
                </c:pt>
                <c:pt idx="8">
                  <c:v>444.51650455684666</c:v>
                </c:pt>
                <c:pt idx="9">
                  <c:v>429.30650455684662</c:v>
                </c:pt>
                <c:pt idx="10">
                  <c:v>425.41948701298696</c:v>
                </c:pt>
                <c:pt idx="11">
                  <c:v>433.54539610389611</c:v>
                </c:pt>
                <c:pt idx="12">
                  <c:v>456.72571428571428</c:v>
                </c:pt>
                <c:pt idx="13">
                  <c:v>488.19566666666668</c:v>
                </c:pt>
                <c:pt idx="14">
                  <c:v>518.80975757575766</c:v>
                </c:pt>
                <c:pt idx="15">
                  <c:v>546.09059090909091</c:v>
                </c:pt>
                <c:pt idx="16">
                  <c:v>552.48319856459329</c:v>
                </c:pt>
                <c:pt idx="17">
                  <c:v>542.81495181134665</c:v>
                </c:pt>
                <c:pt idx="18">
                  <c:v>523.57776999316479</c:v>
                </c:pt>
                <c:pt idx="19">
                  <c:v>500.69129813169292</c:v>
                </c:pt>
                <c:pt idx="20">
                  <c:v>482.30800865800865</c:v>
                </c:pt>
                <c:pt idx="21">
                  <c:v>478.76676463886986</c:v>
                </c:pt>
                <c:pt idx="22">
                  <c:v>484.0965265436318</c:v>
                </c:pt>
                <c:pt idx="23">
                  <c:v>494.75198108908637</c:v>
                </c:pt>
                <c:pt idx="24">
                  <c:v>504.12245727956252</c:v>
                </c:pt>
                <c:pt idx="25">
                  <c:v>508.90681818181821</c:v>
                </c:pt>
                <c:pt idx="26">
                  <c:v>508.17179653679648</c:v>
                </c:pt>
                <c:pt idx="27">
                  <c:v>508.60679653679654</c:v>
                </c:pt>
                <c:pt idx="28">
                  <c:v>506.36502380952379</c:v>
                </c:pt>
                <c:pt idx="29">
                  <c:v>513.05420129870129</c:v>
                </c:pt>
                <c:pt idx="30">
                  <c:v>518.25162987012982</c:v>
                </c:pt>
                <c:pt idx="31">
                  <c:v>533.99846969696966</c:v>
                </c:pt>
                <c:pt idx="32">
                  <c:v>542.68934688995216</c:v>
                </c:pt>
                <c:pt idx="33">
                  <c:v>547.26174162679422</c:v>
                </c:pt>
                <c:pt idx="34">
                  <c:v>542.20161175666442</c:v>
                </c:pt>
                <c:pt idx="35">
                  <c:v>540.98924812030077</c:v>
                </c:pt>
                <c:pt idx="36">
                  <c:v>530.27859876965135</c:v>
                </c:pt>
                <c:pt idx="37">
                  <c:v>526.5648427887902</c:v>
                </c:pt>
                <c:pt idx="38">
                  <c:v>546.21980519480519</c:v>
                </c:pt>
                <c:pt idx="39">
                  <c:v>567.7954401154401</c:v>
                </c:pt>
                <c:pt idx="40">
                  <c:v>574.20561327561336</c:v>
                </c:pt>
                <c:pt idx="41">
                  <c:v>592.61889898989898</c:v>
                </c:pt>
                <c:pt idx="42">
                  <c:v>609.75694444444446</c:v>
                </c:pt>
                <c:pt idx="43">
                  <c:v>617.92930469289172</c:v>
                </c:pt>
                <c:pt idx="44">
                  <c:v>634.54302691511407</c:v>
                </c:pt>
                <c:pt idx="45">
                  <c:v>669.40395423340965</c:v>
                </c:pt>
                <c:pt idx="46">
                  <c:v>697.89705949656752</c:v>
                </c:pt>
                <c:pt idx="47">
                  <c:v>727.24992313293126</c:v>
                </c:pt>
                <c:pt idx="48">
                  <c:v>754.78944258373213</c:v>
                </c:pt>
                <c:pt idx="49">
                  <c:v>764.00685562721037</c:v>
                </c:pt>
                <c:pt idx="50">
                  <c:v>748.67961878510505</c:v>
                </c:pt>
                <c:pt idx="51">
                  <c:v>731.24803983773654</c:v>
                </c:pt>
                <c:pt idx="52">
                  <c:v>718.12017620137306</c:v>
                </c:pt>
                <c:pt idx="53">
                  <c:v>706.49243935926756</c:v>
                </c:pt>
                <c:pt idx="54">
                  <c:v>703.31900250626563</c:v>
                </c:pt>
                <c:pt idx="55">
                  <c:v>716.60671989756997</c:v>
                </c:pt>
                <c:pt idx="56">
                  <c:v>728.37919358178056</c:v>
                </c:pt>
                <c:pt idx="57">
                  <c:v>688.25331262939949</c:v>
                </c:pt>
                <c:pt idx="58">
                  <c:v>624.39909040717737</c:v>
                </c:pt>
                <c:pt idx="59">
                  <c:v>552.54177211143792</c:v>
                </c:pt>
                <c:pt idx="60">
                  <c:v>487.8656456292245</c:v>
                </c:pt>
                <c:pt idx="61">
                  <c:v>429.15308041183323</c:v>
                </c:pt>
                <c:pt idx="62">
                  <c:v>419.13069945945227</c:v>
                </c:pt>
                <c:pt idx="63">
                  <c:v>423.76973986349276</c:v>
                </c:pt>
                <c:pt idx="64">
                  <c:v>443.58896292113684</c:v>
                </c:pt>
                <c:pt idx="65">
                  <c:v>478.84187201204594</c:v>
                </c:pt>
                <c:pt idx="66">
                  <c:v>513.44552813852818</c:v>
                </c:pt>
                <c:pt idx="67">
                  <c:v>556.25279004329002</c:v>
                </c:pt>
                <c:pt idx="68">
                  <c:v>616.72597186147198</c:v>
                </c:pt>
                <c:pt idx="69">
                  <c:v>666.54168614718628</c:v>
                </c:pt>
                <c:pt idx="70">
                  <c:v>684.98284404192304</c:v>
                </c:pt>
                <c:pt idx="71">
                  <c:v>706.40775313283211</c:v>
                </c:pt>
                <c:pt idx="72">
                  <c:v>722.91616222374114</c:v>
                </c:pt>
                <c:pt idx="73">
                  <c:v>724.22925746183648</c:v>
                </c:pt>
                <c:pt idx="74">
                  <c:v>729.25592412850301</c:v>
                </c:pt>
                <c:pt idx="75">
                  <c:v>752.11705194805188</c:v>
                </c:pt>
                <c:pt idx="76">
                  <c:v>767.04605194805185</c:v>
                </c:pt>
                <c:pt idx="77">
                  <c:v>761.30514285714276</c:v>
                </c:pt>
                <c:pt idx="78">
                  <c:v>747.7740041407867</c:v>
                </c:pt>
                <c:pt idx="79">
                  <c:v>743.92774223602487</c:v>
                </c:pt>
                <c:pt idx="80">
                  <c:v>742.08545652173905</c:v>
                </c:pt>
                <c:pt idx="81">
                  <c:v>726.64695652173907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84-4050-B418-BB4324AF2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468975"/>
        <c:axId val="1152480015"/>
      </c:lineChart>
      <c:dateAx>
        <c:axId val="115246897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480015"/>
        <c:crosses val="autoZero"/>
        <c:auto val="1"/>
        <c:lblOffset val="100"/>
        <c:baseTimeUnit val="days"/>
      </c:dateAx>
      <c:valAx>
        <c:axId val="115248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46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WMA_3year!$B$1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WMA_3year!$A$2:$A$85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WMA_3year!$B$2:$B$85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C-43E6-B1BF-ECFC0877652B}"/>
            </c:ext>
          </c:extLst>
        </c:ser>
        <c:ser>
          <c:idx val="1"/>
          <c:order val="1"/>
          <c:tx>
            <c:strRef>
              <c:f>WMA_3year!$C$1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WMA_3year!$A$2:$A$85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WMA_3year!$C$2:$C$85</c:f>
              <c:numCache>
                <c:formatCode>General</c:formatCode>
                <c:ptCount val="84"/>
                <c:pt idx="1">
                  <c:v>557.86342105263145</c:v>
                </c:pt>
                <c:pt idx="2">
                  <c:v>572.25554347826085</c:v>
                </c:pt>
                <c:pt idx="3">
                  <c:v>558.38545031055901</c:v>
                </c:pt>
                <c:pt idx="4">
                  <c:v>517.29688819875776</c:v>
                </c:pt>
                <c:pt idx="5">
                  <c:v>502.08973809523798</c:v>
                </c:pt>
                <c:pt idx="6">
                  <c:v>481.05755263157891</c:v>
                </c:pt>
                <c:pt idx="7">
                  <c:v>460.6723444976077</c:v>
                </c:pt>
                <c:pt idx="8">
                  <c:v>428.17225119617223</c:v>
                </c:pt>
                <c:pt idx="9">
                  <c:v>403.82052922077918</c:v>
                </c:pt>
                <c:pt idx="10">
                  <c:v>413.12682142857136</c:v>
                </c:pt>
                <c:pt idx="11">
                  <c:v>436.68452380952385</c:v>
                </c:pt>
                <c:pt idx="12">
                  <c:v>471.61454545454546</c:v>
                </c:pt>
                <c:pt idx="13">
                  <c:v>507.95856060606059</c:v>
                </c:pt>
                <c:pt idx="14">
                  <c:v>537.06381818181808</c:v>
                </c:pt>
                <c:pt idx="15">
                  <c:v>563.76418181818178</c:v>
                </c:pt>
                <c:pt idx="16">
                  <c:v>580.18313636363632</c:v>
                </c:pt>
                <c:pt idx="17">
                  <c:v>547.02066387559807</c:v>
                </c:pt>
                <c:pt idx="18">
                  <c:v>502.18314849624062</c:v>
                </c:pt>
                <c:pt idx="19">
                  <c:v>468.04620642515385</c:v>
                </c:pt>
                <c:pt idx="20">
                  <c:v>461.41487012987011</c:v>
                </c:pt>
                <c:pt idx="21">
                  <c:v>481.08496924128497</c:v>
                </c:pt>
                <c:pt idx="22">
                  <c:v>497.37876167691945</c:v>
                </c:pt>
                <c:pt idx="23">
                  <c:v>503.66892344497592</c:v>
                </c:pt>
                <c:pt idx="24">
                  <c:v>506.23659090909086</c:v>
                </c:pt>
                <c:pt idx="25">
                  <c:v>508.17436147186152</c:v>
                </c:pt>
                <c:pt idx="26">
                  <c:v>514.82149350649343</c:v>
                </c:pt>
                <c:pt idx="27">
                  <c:v>507.03547619047612</c:v>
                </c:pt>
                <c:pt idx="28">
                  <c:v>506.26357142857131</c:v>
                </c:pt>
                <c:pt idx="29">
                  <c:v>499.79626190476188</c:v>
                </c:pt>
                <c:pt idx="30">
                  <c:v>525.09673484848474</c:v>
                </c:pt>
                <c:pt idx="31">
                  <c:v>539.32665909090906</c:v>
                </c:pt>
                <c:pt idx="32">
                  <c:v>565.41672727272726</c:v>
                </c:pt>
                <c:pt idx="33">
                  <c:v>558.55517703349278</c:v>
                </c:pt>
                <c:pt idx="34">
                  <c:v>534.42318181818177</c:v>
                </c:pt>
                <c:pt idx="35">
                  <c:v>521.12037593984951</c:v>
                </c:pt>
                <c:pt idx="36">
                  <c:v>530.38557074504433</c:v>
                </c:pt>
                <c:pt idx="37">
                  <c:v>528.93616883116886</c:v>
                </c:pt>
                <c:pt idx="38">
                  <c:v>530.74175324675321</c:v>
                </c:pt>
                <c:pt idx="39">
                  <c:v>582.4621103896103</c:v>
                </c:pt>
                <c:pt idx="40">
                  <c:v>613.47284632034632</c:v>
                </c:pt>
                <c:pt idx="41">
                  <c:v>591.80702380952391</c:v>
                </c:pt>
                <c:pt idx="42">
                  <c:v>604.57910317460323</c:v>
                </c:pt>
                <c:pt idx="43">
                  <c:v>612.98090476190464</c:v>
                </c:pt>
                <c:pt idx="44">
                  <c:v>641.89290217391306</c:v>
                </c:pt>
                <c:pt idx="45">
                  <c:v>684.14157608695655</c:v>
                </c:pt>
                <c:pt idx="46">
                  <c:v>725.39656922196809</c:v>
                </c:pt>
                <c:pt idx="47">
                  <c:v>750.65667105263174</c:v>
                </c:pt>
                <c:pt idx="48">
                  <c:v>761.2096172248805</c:v>
                </c:pt>
                <c:pt idx="49">
                  <c:v>782.78730861244026</c:v>
                </c:pt>
                <c:pt idx="50">
                  <c:v>767.7795262117744</c:v>
                </c:pt>
                <c:pt idx="51">
                  <c:v>707.01073798626999</c:v>
                </c:pt>
                <c:pt idx="52">
                  <c:v>679.97978546910747</c:v>
                </c:pt>
                <c:pt idx="53">
                  <c:v>688.01503947368417</c:v>
                </c:pt>
                <c:pt idx="54">
                  <c:v>719.4965131578947</c:v>
                </c:pt>
                <c:pt idx="55">
                  <c:v>734.25367857142851</c:v>
                </c:pt>
                <c:pt idx="56">
                  <c:v>736.29986645962731</c:v>
                </c:pt>
                <c:pt idx="57">
                  <c:v>733.64206418219453</c:v>
                </c:pt>
                <c:pt idx="58">
                  <c:v>591.93996583850935</c:v>
                </c:pt>
                <c:pt idx="59">
                  <c:v>473.6312619047618</c:v>
                </c:pt>
                <c:pt idx="60">
                  <c:v>402.83744987468663</c:v>
                </c:pt>
                <c:pt idx="61">
                  <c:v>402.55839845826677</c:v>
                </c:pt>
                <c:pt idx="62">
                  <c:v>424.56151965883078</c:v>
                </c:pt>
                <c:pt idx="63">
                  <c:v>441.46591191417275</c:v>
                </c:pt>
                <c:pt idx="64">
                  <c:v>443.15852907961596</c:v>
                </c:pt>
                <c:pt idx="65">
                  <c:v>464.24248917748918</c:v>
                </c:pt>
                <c:pt idx="66">
                  <c:v>540.36548051948057</c:v>
                </c:pt>
                <c:pt idx="67">
                  <c:v>591.16146320346331</c:v>
                </c:pt>
                <c:pt idx="68">
                  <c:v>639.41963636363641</c:v>
                </c:pt>
                <c:pt idx="69">
                  <c:v>706.0907954545454</c:v>
                </c:pt>
                <c:pt idx="70">
                  <c:v>725.80303571428567</c:v>
                </c:pt>
                <c:pt idx="71">
                  <c:v>700.64911654135335</c:v>
                </c:pt>
                <c:pt idx="72">
                  <c:v>708.00578446115287</c:v>
                </c:pt>
                <c:pt idx="73">
                  <c:v>730.30280622009559</c:v>
                </c:pt>
                <c:pt idx="74">
                  <c:v>745.50514935064928</c:v>
                </c:pt>
                <c:pt idx="75">
                  <c:v>751.10688311688295</c:v>
                </c:pt>
                <c:pt idx="76">
                  <c:v>777.42904761904754</c:v>
                </c:pt>
                <c:pt idx="77">
                  <c:v>789.59780952380947</c:v>
                </c:pt>
                <c:pt idx="78">
                  <c:v>746.90414285714292</c:v>
                </c:pt>
                <c:pt idx="79">
                  <c:v>703.7648695652174</c:v>
                </c:pt>
                <c:pt idx="80">
                  <c:v>716.40093478260872</c:v>
                </c:pt>
                <c:pt idx="81">
                  <c:v>759.36722826086952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C-43E6-B1BF-ECFC08776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477615"/>
        <c:axId val="1152457455"/>
      </c:lineChart>
      <c:dateAx>
        <c:axId val="115247761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457455"/>
        <c:crosses val="autoZero"/>
        <c:auto val="1"/>
        <c:lblOffset val="100"/>
        <c:baseTimeUnit val="days"/>
      </c:dateAx>
      <c:valAx>
        <c:axId val="11524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47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WMA_4year!$B$1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WMA_4year!$A$2:$A$85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WMA_4year!$B$2:$B$85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6-4CAD-9BDE-EDB502605487}"/>
            </c:ext>
          </c:extLst>
        </c:ser>
        <c:ser>
          <c:idx val="1"/>
          <c:order val="1"/>
          <c:tx>
            <c:strRef>
              <c:f>WMA_4year!$C$1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WMA_4year!$A$2:$A$85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WMA_4year!$C$2:$C$85</c:f>
              <c:numCache>
                <c:formatCode>General</c:formatCode>
                <c:ptCount val="84"/>
                <c:pt idx="2">
                  <c:v>569.54649427917616</c:v>
                </c:pt>
                <c:pt idx="3">
                  <c:v>563.76060144927533</c:v>
                </c:pt>
                <c:pt idx="4">
                  <c:v>520.73567763975154</c:v>
                </c:pt>
                <c:pt idx="5">
                  <c:v>497.69996501035189</c:v>
                </c:pt>
                <c:pt idx="6">
                  <c:v>485.44585012531326</c:v>
                </c:pt>
                <c:pt idx="7">
                  <c:v>460.74681028708136</c:v>
                </c:pt>
                <c:pt idx="8">
                  <c:v>431.33424796650718</c:v>
                </c:pt>
                <c:pt idx="9">
                  <c:v>403.23967814992017</c:v>
                </c:pt>
                <c:pt idx="10">
                  <c:v>408.8847279220779</c:v>
                </c:pt>
                <c:pt idx="11">
                  <c:v>436.07506309523808</c:v>
                </c:pt>
                <c:pt idx="12">
                  <c:v>468.81574783549786</c:v>
                </c:pt>
                <c:pt idx="13">
                  <c:v>506.47900757575758</c:v>
                </c:pt>
                <c:pt idx="14">
                  <c:v>536.59206515151504</c:v>
                </c:pt>
                <c:pt idx="15">
                  <c:v>562.1414636363636</c:v>
                </c:pt>
                <c:pt idx="16">
                  <c:v>580.69293409090915</c:v>
                </c:pt>
                <c:pt idx="17">
                  <c:v>554.58654330143543</c:v>
                </c:pt>
                <c:pt idx="18">
                  <c:v>502.39284928229665</c:v>
                </c:pt>
                <c:pt idx="19">
                  <c:v>468.26047992139439</c:v>
                </c:pt>
                <c:pt idx="20">
                  <c:v>459.25317691957162</c:v>
                </c:pt>
                <c:pt idx="21">
                  <c:v>478.31921189336975</c:v>
                </c:pt>
                <c:pt idx="22">
                  <c:v>498.54009444064701</c:v>
                </c:pt>
                <c:pt idx="23">
                  <c:v>503.96912776258819</c:v>
                </c:pt>
                <c:pt idx="24">
                  <c:v>505.88448325358843</c:v>
                </c:pt>
                <c:pt idx="25">
                  <c:v>508.13984848484847</c:v>
                </c:pt>
                <c:pt idx="26">
                  <c:v>513.8620725108226</c:v>
                </c:pt>
                <c:pt idx="27">
                  <c:v>509.69157792207784</c:v>
                </c:pt>
                <c:pt idx="28">
                  <c:v>504.21778571428558</c:v>
                </c:pt>
                <c:pt idx="29">
                  <c:v>501.60185595238084</c:v>
                </c:pt>
                <c:pt idx="30">
                  <c:v>519.15482770562767</c:v>
                </c:pt>
                <c:pt idx="31">
                  <c:v>542.4473712121212</c:v>
                </c:pt>
                <c:pt idx="32">
                  <c:v>561.30199318181815</c:v>
                </c:pt>
                <c:pt idx="33">
                  <c:v>564.15705215311004</c:v>
                </c:pt>
                <c:pt idx="34">
                  <c:v>535.49688373205743</c:v>
                </c:pt>
                <c:pt idx="35">
                  <c:v>519.38768660287076</c:v>
                </c:pt>
                <c:pt idx="36">
                  <c:v>528.22455194805195</c:v>
                </c:pt>
                <c:pt idx="37">
                  <c:v>531.87383629528358</c:v>
                </c:pt>
                <c:pt idx="38">
                  <c:v>528.97854870129868</c:v>
                </c:pt>
                <c:pt idx="39">
                  <c:v>573.6068441558441</c:v>
                </c:pt>
                <c:pt idx="40">
                  <c:v>618.51299386724384</c:v>
                </c:pt>
                <c:pt idx="41">
                  <c:v>597.49080844155856</c:v>
                </c:pt>
                <c:pt idx="42">
                  <c:v>595.5111134920636</c:v>
                </c:pt>
                <c:pt idx="43">
                  <c:v>616.87844484126981</c:v>
                </c:pt>
                <c:pt idx="44">
                  <c:v>636.92227308488623</c:v>
                </c:pt>
                <c:pt idx="45">
                  <c:v>681.46474673913053</c:v>
                </c:pt>
                <c:pt idx="46">
                  <c:v>724.44715200228836</c:v>
                </c:pt>
                <c:pt idx="47">
                  <c:v>751.05543718535478</c:v>
                </c:pt>
                <c:pt idx="48">
                  <c:v>761.49319222488043</c:v>
                </c:pt>
                <c:pt idx="49">
                  <c:v>779.43332535885179</c:v>
                </c:pt>
                <c:pt idx="50">
                  <c:v>774.50219700436855</c:v>
                </c:pt>
                <c:pt idx="51">
                  <c:v>713.23880817037639</c:v>
                </c:pt>
                <c:pt idx="52">
                  <c:v>673.86141762013722</c:v>
                </c:pt>
                <c:pt idx="53">
                  <c:v>686.42228381006862</c:v>
                </c:pt>
                <c:pt idx="54">
                  <c:v>716.92897763157885</c:v>
                </c:pt>
                <c:pt idx="55">
                  <c:v>736.63634298245597</c:v>
                </c:pt>
                <c:pt idx="56">
                  <c:v>736.35830046583851</c:v>
                </c:pt>
                <c:pt idx="57">
                  <c:v>733.69576935817804</c:v>
                </c:pt>
                <c:pt idx="58">
                  <c:v>617.53791221532083</c:v>
                </c:pt>
                <c:pt idx="59">
                  <c:v>466.02565213940647</c:v>
                </c:pt>
                <c:pt idx="60">
                  <c:v>403.91181541353376</c:v>
                </c:pt>
                <c:pt idx="61">
                  <c:v>397.05251040479982</c:v>
                </c:pt>
                <c:pt idx="62">
                  <c:v>424.24883807757203</c:v>
                </c:pt>
                <c:pt idx="63">
                  <c:v>442.01244379724005</c:v>
                </c:pt>
                <c:pt idx="64">
                  <c:v>444.23252399774134</c:v>
                </c:pt>
                <c:pt idx="65">
                  <c:v>459.6647425183512</c:v>
                </c:pt>
                <c:pt idx="66">
                  <c:v>530.95105800865804</c:v>
                </c:pt>
                <c:pt idx="67">
                  <c:v>595.84865173160188</c:v>
                </c:pt>
                <c:pt idx="68">
                  <c:v>634.45526222943727</c:v>
                </c:pt>
                <c:pt idx="69">
                  <c:v>700.352259090909</c:v>
                </c:pt>
                <c:pt idx="70">
                  <c:v>732.85978787878787</c:v>
                </c:pt>
                <c:pt idx="71">
                  <c:v>703.87729041353396</c:v>
                </c:pt>
                <c:pt idx="72">
                  <c:v>700.60368847117797</c:v>
                </c:pt>
                <c:pt idx="73">
                  <c:v>730.65554782410572</c:v>
                </c:pt>
                <c:pt idx="74">
                  <c:v>746.25407304625196</c:v>
                </c:pt>
                <c:pt idx="75">
                  <c:v>751.04863614718613</c:v>
                </c:pt>
                <c:pt idx="76">
                  <c:v>772.90778354978352</c:v>
                </c:pt>
                <c:pt idx="77">
                  <c:v>792.61476666666658</c:v>
                </c:pt>
                <c:pt idx="78">
                  <c:v>754.95736666666664</c:v>
                </c:pt>
                <c:pt idx="79">
                  <c:v>701.9605577639752</c:v>
                </c:pt>
                <c:pt idx="80">
                  <c:v>709.32292065217393</c:v>
                </c:pt>
                <c:pt idx="81">
                  <c:v>757.5229956521739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6-4CAD-9BDE-EDB502605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215648"/>
        <c:axId val="256226688"/>
      </c:lineChart>
      <c:dateAx>
        <c:axId val="25621564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26688"/>
        <c:crosses val="autoZero"/>
        <c:auto val="1"/>
        <c:lblOffset val="100"/>
        <c:baseTimeUnit val="days"/>
      </c:dateAx>
      <c:valAx>
        <c:axId val="2562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1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WMA_6year!$B$1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WMA_6year!$A$2:$A$85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WMA_6year!$B$2:$B$85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D-4DF2-A189-9DF9E2A198EB}"/>
            </c:ext>
          </c:extLst>
        </c:ser>
        <c:ser>
          <c:idx val="1"/>
          <c:order val="1"/>
          <c:tx>
            <c:strRef>
              <c:f>WMA_6year!$C$1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WMA_6year!$A$2:$A$85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WMA_6year!$C$2:$C$85</c:f>
              <c:numCache>
                <c:formatCode>General</c:formatCode>
                <c:ptCount val="84"/>
                <c:pt idx="3">
                  <c:v>536.65979832734001</c:v>
                </c:pt>
                <c:pt idx="4">
                  <c:v>521.25952510351954</c:v>
                </c:pt>
                <c:pt idx="5">
                  <c:v>500.02069089844179</c:v>
                </c:pt>
                <c:pt idx="6">
                  <c:v>479.50080458557466</c:v>
                </c:pt>
                <c:pt idx="7">
                  <c:v>450.58908464342676</c:v>
                </c:pt>
                <c:pt idx="8">
                  <c:v>426.80469816586913</c:v>
                </c:pt>
                <c:pt idx="9">
                  <c:v>421.30407746639321</c:v>
                </c:pt>
                <c:pt idx="10">
                  <c:v>428.67965208475732</c:v>
                </c:pt>
                <c:pt idx="11">
                  <c:v>450.23177191558443</c:v>
                </c:pt>
                <c:pt idx="12">
                  <c:v>478.98678111471861</c:v>
                </c:pt>
                <c:pt idx="13">
                  <c:v>508.8569188311688</c:v>
                </c:pt>
                <c:pt idx="14">
                  <c:v>538.10056818181818</c:v>
                </c:pt>
                <c:pt idx="15">
                  <c:v>560.31017424242418</c:v>
                </c:pt>
                <c:pt idx="16">
                  <c:v>551.57730203349286</c:v>
                </c:pt>
                <c:pt idx="17">
                  <c:v>527.34475956937797</c:v>
                </c:pt>
                <c:pt idx="18">
                  <c:v>498.55359466848938</c:v>
                </c:pt>
                <c:pt idx="19">
                  <c:v>481.58789608965594</c:v>
                </c:pt>
                <c:pt idx="20">
                  <c:v>481.26735467931189</c:v>
                </c:pt>
                <c:pt idx="21">
                  <c:v>487.06943381180218</c:v>
                </c:pt>
                <c:pt idx="22">
                  <c:v>493.99628844839361</c:v>
                </c:pt>
                <c:pt idx="23">
                  <c:v>500.14287907268169</c:v>
                </c:pt>
                <c:pt idx="24">
                  <c:v>505.11014496468442</c:v>
                </c:pt>
                <c:pt idx="25">
                  <c:v>511.04753930280242</c:v>
                </c:pt>
                <c:pt idx="26">
                  <c:v>508.01780573593066</c:v>
                </c:pt>
                <c:pt idx="27">
                  <c:v>507.97037608225099</c:v>
                </c:pt>
                <c:pt idx="28">
                  <c:v>503.26654599567092</c:v>
                </c:pt>
                <c:pt idx="29">
                  <c:v>517.04692370129862</c:v>
                </c:pt>
                <c:pt idx="30">
                  <c:v>526.80265043290035</c:v>
                </c:pt>
                <c:pt idx="31">
                  <c:v>547.71109956709961</c:v>
                </c:pt>
                <c:pt idx="32">
                  <c:v>550.61868849681014</c:v>
                </c:pt>
                <c:pt idx="33">
                  <c:v>542.70560735645927</c:v>
                </c:pt>
                <c:pt idx="34">
                  <c:v>533.25666985645933</c:v>
                </c:pt>
                <c:pt idx="35">
                  <c:v>533.8284285714285</c:v>
                </c:pt>
                <c:pt idx="36">
                  <c:v>529.90551008202328</c:v>
                </c:pt>
                <c:pt idx="37">
                  <c:v>529.7898829460014</c:v>
                </c:pt>
                <c:pt idx="38">
                  <c:v>559.81676606288443</c:v>
                </c:pt>
                <c:pt idx="39">
                  <c:v>585.4265007215007</c:v>
                </c:pt>
                <c:pt idx="40">
                  <c:v>585.64582070707081</c:v>
                </c:pt>
                <c:pt idx="41">
                  <c:v>598.81310299422807</c:v>
                </c:pt>
                <c:pt idx="42">
                  <c:v>606.90245165945169</c:v>
                </c:pt>
                <c:pt idx="43">
                  <c:v>627.70705900621124</c:v>
                </c:pt>
                <c:pt idx="44">
                  <c:v>656.16142253278122</c:v>
                </c:pt>
                <c:pt idx="45">
                  <c:v>691.86723305546479</c:v>
                </c:pt>
                <c:pt idx="46">
                  <c:v>721.68052645881016</c:v>
                </c:pt>
                <c:pt idx="47">
                  <c:v>742.26102380642828</c:v>
                </c:pt>
                <c:pt idx="48">
                  <c:v>765.76755737726239</c:v>
                </c:pt>
                <c:pt idx="49">
                  <c:v>765.46527396245062</c:v>
                </c:pt>
                <c:pt idx="50">
                  <c:v>733.82481654358219</c:v>
                </c:pt>
                <c:pt idx="51">
                  <c:v>709.57235203869345</c:v>
                </c:pt>
                <c:pt idx="52">
                  <c:v>700.77568618681096</c:v>
                </c:pt>
                <c:pt idx="53">
                  <c:v>710.81296081235701</c:v>
                </c:pt>
                <c:pt idx="54">
                  <c:v>718.93789812166278</c:v>
                </c:pt>
                <c:pt idx="55">
                  <c:v>726.46711054129878</c:v>
                </c:pt>
                <c:pt idx="56">
                  <c:v>730.69462621908019</c:v>
                </c:pt>
                <c:pt idx="57">
                  <c:v>650.97060131987575</c:v>
                </c:pt>
                <c:pt idx="58">
                  <c:v>564.68354718771559</c:v>
                </c:pt>
                <c:pt idx="59">
                  <c:v>483.71638363117938</c:v>
                </c:pt>
                <c:pt idx="60">
                  <c:v>445.62072093483044</c:v>
                </c:pt>
                <c:pt idx="61">
                  <c:v>429.74240343241172</c:v>
                </c:pt>
                <c:pt idx="62">
                  <c:v>430.47487404900585</c:v>
                </c:pt>
                <c:pt idx="63">
                  <c:v>434.29499110713203</c:v>
                </c:pt>
                <c:pt idx="64">
                  <c:v>451.58444870823303</c:v>
                </c:pt>
                <c:pt idx="65">
                  <c:v>501.613462827028</c:v>
                </c:pt>
                <c:pt idx="66">
                  <c:v>545.40621776773946</c:v>
                </c:pt>
                <c:pt idx="67">
                  <c:v>594.29151569264081</c:v>
                </c:pt>
                <c:pt idx="68">
                  <c:v>653.87433603896102</c:v>
                </c:pt>
                <c:pt idx="69">
                  <c:v>690.1597597402598</c:v>
                </c:pt>
                <c:pt idx="70">
                  <c:v>695.41492945431764</c:v>
                </c:pt>
                <c:pt idx="71">
                  <c:v>706.38174147015263</c:v>
                </c:pt>
                <c:pt idx="72">
                  <c:v>721.33973392287533</c:v>
                </c:pt>
                <c:pt idx="73">
                  <c:v>733.69329269195714</c:v>
                </c:pt>
                <c:pt idx="74">
                  <c:v>740.96105758714964</c:v>
                </c:pt>
                <c:pt idx="75">
                  <c:v>761.61202190134429</c:v>
                </c:pt>
                <c:pt idx="76">
                  <c:v>775.63588257575748</c:v>
                </c:pt>
                <c:pt idx="77">
                  <c:v>757.88481601731587</c:v>
                </c:pt>
                <c:pt idx="78">
                  <c:v>731.24636438923403</c:v>
                </c:pt>
                <c:pt idx="79">
                  <c:v>728.24102303312634</c:v>
                </c:pt>
                <c:pt idx="80">
                  <c:v>745.63461723602484</c:v>
                </c:pt>
                <c:pt idx="81">
                  <c:v>735.41710326086957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CD-4DF2-A189-9DF9E2A19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456495"/>
        <c:axId val="1152474735"/>
      </c:lineChart>
      <c:dateAx>
        <c:axId val="11524564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474735"/>
        <c:crosses val="autoZero"/>
        <c:auto val="1"/>
        <c:lblOffset val="100"/>
        <c:baseTimeUnit val="days"/>
      </c:dateAx>
      <c:valAx>
        <c:axId val="115247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45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Leastsquare!$B$1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Leastsquare!$A$2:$A$85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Leastsquare!$B$2:$B$85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A-4F34-ADC1-DCE0304982BF}"/>
            </c:ext>
          </c:extLst>
        </c:ser>
        <c:ser>
          <c:idx val="1"/>
          <c:order val="1"/>
          <c:tx>
            <c:strRef>
              <c:f>Leastsquare!$F$1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Leastsquare!$A$2:$A$85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Leastsquare!$F$2:$F$85</c:f>
              <c:numCache>
                <c:formatCode>General</c:formatCode>
                <c:ptCount val="84"/>
                <c:pt idx="0">
                  <c:v>467.44277346837555</c:v>
                </c:pt>
                <c:pt idx="1">
                  <c:v>470.33752219924281</c:v>
                </c:pt>
                <c:pt idx="2">
                  <c:v>473.23227093011008</c:v>
                </c:pt>
                <c:pt idx="3">
                  <c:v>476.1270196609774</c:v>
                </c:pt>
                <c:pt idx="4">
                  <c:v>479.02176839184466</c:v>
                </c:pt>
                <c:pt idx="5">
                  <c:v>481.91651712271192</c:v>
                </c:pt>
                <c:pt idx="6">
                  <c:v>484.81126585357919</c:v>
                </c:pt>
                <c:pt idx="7">
                  <c:v>487.70601458444645</c:v>
                </c:pt>
                <c:pt idx="8">
                  <c:v>490.60076331531377</c:v>
                </c:pt>
                <c:pt idx="9">
                  <c:v>493.49551204618103</c:v>
                </c:pt>
                <c:pt idx="10">
                  <c:v>496.3902607770483</c:v>
                </c:pt>
                <c:pt idx="11">
                  <c:v>499.28500950791556</c:v>
                </c:pt>
                <c:pt idx="12">
                  <c:v>502.17975823878282</c:v>
                </c:pt>
                <c:pt idx="13">
                  <c:v>505.07450696965009</c:v>
                </c:pt>
                <c:pt idx="14">
                  <c:v>507.96925570051735</c:v>
                </c:pt>
                <c:pt idx="15">
                  <c:v>510.86400443138467</c:v>
                </c:pt>
                <c:pt idx="16">
                  <c:v>513.75875316225188</c:v>
                </c:pt>
                <c:pt idx="17">
                  <c:v>516.65350189311926</c:v>
                </c:pt>
                <c:pt idx="18">
                  <c:v>519.54825062398652</c:v>
                </c:pt>
                <c:pt idx="19">
                  <c:v>522.44299935485378</c:v>
                </c:pt>
                <c:pt idx="20">
                  <c:v>525.33774808572105</c:v>
                </c:pt>
                <c:pt idx="21">
                  <c:v>528.23249681658831</c:v>
                </c:pt>
                <c:pt idx="22">
                  <c:v>531.12724554745557</c:v>
                </c:pt>
                <c:pt idx="23">
                  <c:v>534.02199427832284</c:v>
                </c:pt>
                <c:pt idx="24">
                  <c:v>536.9167430091901</c:v>
                </c:pt>
                <c:pt idx="25">
                  <c:v>539.81149174005736</c:v>
                </c:pt>
                <c:pt idx="26">
                  <c:v>542.70624047092463</c:v>
                </c:pt>
                <c:pt idx="27">
                  <c:v>545.60098920179189</c:v>
                </c:pt>
                <c:pt idx="28">
                  <c:v>548.49573793265915</c:v>
                </c:pt>
                <c:pt idx="29">
                  <c:v>551.39048666352642</c:v>
                </c:pt>
                <c:pt idx="30">
                  <c:v>554.28523539439379</c:v>
                </c:pt>
                <c:pt idx="31">
                  <c:v>557.17998412526106</c:v>
                </c:pt>
                <c:pt idx="32">
                  <c:v>560.07473285612832</c:v>
                </c:pt>
                <c:pt idx="33">
                  <c:v>562.96948158699558</c:v>
                </c:pt>
                <c:pt idx="34">
                  <c:v>565.86423031786285</c:v>
                </c:pt>
                <c:pt idx="35">
                  <c:v>568.75897904873011</c:v>
                </c:pt>
                <c:pt idx="36">
                  <c:v>571.65372777959738</c:v>
                </c:pt>
                <c:pt idx="37">
                  <c:v>574.54847651046464</c:v>
                </c:pt>
                <c:pt idx="38">
                  <c:v>577.4432252413319</c:v>
                </c:pt>
                <c:pt idx="39">
                  <c:v>580.33797397219917</c:v>
                </c:pt>
                <c:pt idx="40">
                  <c:v>583.23272270306643</c:v>
                </c:pt>
                <c:pt idx="41">
                  <c:v>586.12747143393369</c:v>
                </c:pt>
                <c:pt idx="42">
                  <c:v>589.02222016480107</c:v>
                </c:pt>
                <c:pt idx="43">
                  <c:v>591.91696889566833</c:v>
                </c:pt>
                <c:pt idx="44">
                  <c:v>594.8117176265356</c:v>
                </c:pt>
                <c:pt idx="45">
                  <c:v>597.70646635740286</c:v>
                </c:pt>
                <c:pt idx="46">
                  <c:v>600.60121508827012</c:v>
                </c:pt>
                <c:pt idx="47">
                  <c:v>603.49596381913739</c:v>
                </c:pt>
                <c:pt idx="48">
                  <c:v>606.39071255000465</c:v>
                </c:pt>
                <c:pt idx="49">
                  <c:v>609.28546128087191</c:v>
                </c:pt>
                <c:pt idx="50">
                  <c:v>612.18021001173918</c:v>
                </c:pt>
                <c:pt idx="51">
                  <c:v>615.07495874260644</c:v>
                </c:pt>
                <c:pt idx="52">
                  <c:v>617.9697074734737</c:v>
                </c:pt>
                <c:pt idx="53">
                  <c:v>620.86445620434097</c:v>
                </c:pt>
                <c:pt idx="54">
                  <c:v>623.75920493520834</c:v>
                </c:pt>
                <c:pt idx="55">
                  <c:v>626.65395366607561</c:v>
                </c:pt>
                <c:pt idx="56">
                  <c:v>629.54870239694287</c:v>
                </c:pt>
                <c:pt idx="57">
                  <c:v>632.44345112781014</c:v>
                </c:pt>
                <c:pt idx="58">
                  <c:v>635.3381998586774</c:v>
                </c:pt>
                <c:pt idx="59">
                  <c:v>638.23294858954466</c:v>
                </c:pt>
                <c:pt idx="60">
                  <c:v>641.12769732041193</c:v>
                </c:pt>
                <c:pt idx="61">
                  <c:v>644.02244605127919</c:v>
                </c:pt>
                <c:pt idx="62">
                  <c:v>646.91719478214645</c:v>
                </c:pt>
                <c:pt idx="63">
                  <c:v>649.81194351301372</c:v>
                </c:pt>
                <c:pt idx="64">
                  <c:v>652.70669224388098</c:v>
                </c:pt>
                <c:pt idx="65">
                  <c:v>655.60144097474824</c:v>
                </c:pt>
                <c:pt idx="66">
                  <c:v>658.49618970561551</c:v>
                </c:pt>
                <c:pt idx="67">
                  <c:v>661.39093843648288</c:v>
                </c:pt>
                <c:pt idx="68">
                  <c:v>664.28568716735015</c:v>
                </c:pt>
                <c:pt idx="69">
                  <c:v>667.18043589821741</c:v>
                </c:pt>
                <c:pt idx="70">
                  <c:v>670.07518462908467</c:v>
                </c:pt>
                <c:pt idx="71">
                  <c:v>672.96993335995194</c:v>
                </c:pt>
                <c:pt idx="72">
                  <c:v>675.8646820908192</c:v>
                </c:pt>
                <c:pt idx="73">
                  <c:v>678.75943082168646</c:v>
                </c:pt>
                <c:pt idx="74">
                  <c:v>681.65417955255373</c:v>
                </c:pt>
                <c:pt idx="75">
                  <c:v>684.54892828342099</c:v>
                </c:pt>
                <c:pt idx="76">
                  <c:v>687.44367701428826</c:v>
                </c:pt>
                <c:pt idx="77">
                  <c:v>690.33842574515552</c:v>
                </c:pt>
                <c:pt idx="78">
                  <c:v>693.2331744760229</c:v>
                </c:pt>
                <c:pt idx="79">
                  <c:v>696.12792320689016</c:v>
                </c:pt>
                <c:pt idx="80">
                  <c:v>699.02267193775742</c:v>
                </c:pt>
                <c:pt idx="81">
                  <c:v>701.91742066862469</c:v>
                </c:pt>
                <c:pt idx="82">
                  <c:v>704.81216939949195</c:v>
                </c:pt>
                <c:pt idx="83">
                  <c:v>707.70691813035921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A-4F34-ADC1-DCE030498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225248"/>
        <c:axId val="256224768"/>
      </c:lineChart>
      <c:dateAx>
        <c:axId val="25622524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24768"/>
        <c:crosses val="autoZero"/>
        <c:auto val="1"/>
        <c:lblOffset val="100"/>
        <c:baseTimeUnit val="days"/>
      </c:dateAx>
      <c:valAx>
        <c:axId val="2562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22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 Smoothing (0.45)'!$B$1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 Smoothing (0.45)'!$A$2:$A$85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'SE Smoothing (0.45)'!$B$2:$B$85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5-4F68-8EAB-65F26512E87A}"/>
            </c:ext>
          </c:extLst>
        </c:ser>
        <c:ser>
          <c:idx val="1"/>
          <c:order val="1"/>
          <c:tx>
            <c:strRef>
              <c:f>'SE Smoothing (0.45)'!$C$1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 Smoothing (0.45)'!$A$2:$A$85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'SE Smoothing (0.45)'!$C$2:$C$85</c:f>
              <c:numCache>
                <c:formatCode>General</c:formatCode>
                <c:ptCount val="84"/>
                <c:pt idx="0">
                  <c:v>246.77289473684209</c:v>
                </c:pt>
                <c:pt idx="1">
                  <c:v>387.6350921052632</c:v>
                </c:pt>
                <c:pt idx="2">
                  <c:v>464.51305065789472</c:v>
                </c:pt>
                <c:pt idx="3">
                  <c:v>517.0319604705378</c:v>
                </c:pt>
                <c:pt idx="4">
                  <c:v>530.49614968736728</c:v>
                </c:pt>
                <c:pt idx="5">
                  <c:v>513.08963232805206</c:v>
                </c:pt>
                <c:pt idx="6">
                  <c:v>507.08679778042858</c:v>
                </c:pt>
                <c:pt idx="7">
                  <c:v>490.36102825291994</c:v>
                </c:pt>
                <c:pt idx="8">
                  <c:v>471.98992917546963</c:v>
                </c:pt>
                <c:pt idx="9">
                  <c:v>444.33408604650833</c:v>
                </c:pt>
                <c:pt idx="10">
                  <c:v>421.16410446843673</c:v>
                </c:pt>
                <c:pt idx="11">
                  <c:v>422.30525745764021</c:v>
                </c:pt>
                <c:pt idx="12">
                  <c:v>434.98539160170213</c:v>
                </c:pt>
                <c:pt idx="13">
                  <c:v>459.81662447184533</c:v>
                </c:pt>
                <c:pt idx="14">
                  <c:v>489.79448436860582</c:v>
                </c:pt>
                <c:pt idx="15">
                  <c:v>516.97471640273318</c:v>
                </c:pt>
                <c:pt idx="16">
                  <c:v>543.88279856695783</c:v>
                </c:pt>
                <c:pt idx="17">
                  <c:v>563.23491421182689</c:v>
                </c:pt>
                <c:pt idx="18">
                  <c:v>544.73722913229437</c:v>
                </c:pt>
                <c:pt idx="19">
                  <c:v>514.74726173704767</c:v>
                </c:pt>
                <c:pt idx="20">
                  <c:v>487.41508486446719</c:v>
                </c:pt>
                <c:pt idx="21">
                  <c:v>476.13043953259978</c:v>
                </c:pt>
                <c:pt idx="22">
                  <c:v>484.6087154271404</c:v>
                </c:pt>
                <c:pt idx="23">
                  <c:v>493.52502075765449</c:v>
                </c:pt>
                <c:pt idx="24">
                  <c:v>498.57251141670997</c:v>
                </c:pt>
                <c:pt idx="25">
                  <c:v>502.49374491555409</c:v>
                </c:pt>
                <c:pt idx="26">
                  <c:v>505.50727398926915</c:v>
                </c:pt>
                <c:pt idx="27">
                  <c:v>511.53078640838373</c:v>
                </c:pt>
                <c:pt idx="28">
                  <c:v>506.67836109603962</c:v>
                </c:pt>
                <c:pt idx="29">
                  <c:v>506.78559860282178</c:v>
                </c:pt>
                <c:pt idx="30">
                  <c:v>501.96695423155199</c:v>
                </c:pt>
                <c:pt idx="31">
                  <c:v>520.26818846371725</c:v>
                </c:pt>
                <c:pt idx="32">
                  <c:v>531.34350365504451</c:v>
                </c:pt>
                <c:pt idx="33">
                  <c:v>553.00574519209272</c:v>
                </c:pt>
                <c:pt idx="34">
                  <c:v>551.82013353986156</c:v>
                </c:pt>
                <c:pt idx="35">
                  <c:v>537.0238366048186</c:v>
                </c:pt>
                <c:pt idx="36">
                  <c:v>528.16418156122177</c:v>
                </c:pt>
                <c:pt idx="37">
                  <c:v>532.95848167685381</c:v>
                </c:pt>
                <c:pt idx="38">
                  <c:v>529.79502206512689</c:v>
                </c:pt>
                <c:pt idx="39">
                  <c:v>530.69828486309257</c:v>
                </c:pt>
                <c:pt idx="40">
                  <c:v>569.63048524612952</c:v>
                </c:pt>
                <c:pt idx="41">
                  <c:v>594.64301688537125</c:v>
                </c:pt>
                <c:pt idx="42">
                  <c:v>583.94473071552579</c:v>
                </c:pt>
                <c:pt idx="43">
                  <c:v>599.26735189353917</c:v>
                </c:pt>
                <c:pt idx="44">
                  <c:v>607.4686685414465</c:v>
                </c:pt>
                <c:pt idx="45">
                  <c:v>630.24200682823039</c:v>
                </c:pt>
                <c:pt idx="46">
                  <c:v>665.3602287555268</c:v>
                </c:pt>
                <c:pt idx="47">
                  <c:v>701.27628371027663</c:v>
                </c:pt>
                <c:pt idx="48">
                  <c:v>727.90919288275745</c:v>
                </c:pt>
                <c:pt idx="49">
                  <c:v>744.26562426733494</c:v>
                </c:pt>
                <c:pt idx="50">
                  <c:v>767.4442512417711</c:v>
                </c:pt>
                <c:pt idx="51">
                  <c:v>761.56064253080012</c:v>
                </c:pt>
                <c:pt idx="52">
                  <c:v>719.70022839194007</c:v>
                </c:pt>
                <c:pt idx="53">
                  <c:v>698.82130982609328</c:v>
                </c:pt>
                <c:pt idx="54">
                  <c:v>698.72959540435136</c:v>
                </c:pt>
                <c:pt idx="55">
                  <c:v>716.23702747239327</c:v>
                </c:pt>
                <c:pt idx="56">
                  <c:v>726.25643653838779</c:v>
                </c:pt>
                <c:pt idx="57">
                  <c:v>730.18027922654812</c:v>
                </c:pt>
                <c:pt idx="58">
                  <c:v>731.07340357460134</c:v>
                </c:pt>
                <c:pt idx="59">
                  <c:v>626.18501482317367</c:v>
                </c:pt>
                <c:pt idx="60">
                  <c:v>532.66550815274559</c:v>
                </c:pt>
                <c:pt idx="61">
                  <c:v>463.61313474716803</c:v>
                </c:pt>
                <c:pt idx="62">
                  <c:v>440.20517865639692</c:v>
                </c:pt>
                <c:pt idx="63">
                  <c:v>439.48382652188786</c:v>
                </c:pt>
                <c:pt idx="64">
                  <c:v>443.26039030132404</c:v>
                </c:pt>
                <c:pt idx="65">
                  <c:v>442.49480557481911</c:v>
                </c:pt>
                <c:pt idx="66">
                  <c:v>458.61250020900769</c:v>
                </c:pt>
                <c:pt idx="67">
                  <c:v>516.77387511495431</c:v>
                </c:pt>
                <c:pt idx="68">
                  <c:v>559.45483585867942</c:v>
                </c:pt>
                <c:pt idx="69">
                  <c:v>605.56078472227375</c:v>
                </c:pt>
                <c:pt idx="70">
                  <c:v>667.82468159725067</c:v>
                </c:pt>
                <c:pt idx="71">
                  <c:v>694.62928916420219</c:v>
                </c:pt>
                <c:pt idx="72">
                  <c:v>688.07571430346911</c:v>
                </c:pt>
                <c:pt idx="73">
                  <c:v>701.87689286690807</c:v>
                </c:pt>
                <c:pt idx="74">
                  <c:v>721.03683653134499</c:v>
                </c:pt>
                <c:pt idx="75">
                  <c:v>734.29097437795406</c:v>
                </c:pt>
                <c:pt idx="76">
                  <c:v>742.49575019358906</c:v>
                </c:pt>
                <c:pt idx="77">
                  <c:v>765.83980546361681</c:v>
                </c:pt>
                <c:pt idx="78">
                  <c:v>778.23739300498937</c:v>
                </c:pt>
                <c:pt idx="79">
                  <c:v>750.11806615274418</c:v>
                </c:pt>
                <c:pt idx="80">
                  <c:v>719.8405885579225</c:v>
                </c:pt>
                <c:pt idx="81">
                  <c:v>725.89394870685737</c:v>
                </c:pt>
                <c:pt idx="82">
                  <c:v>752.56367178877167</c:v>
                </c:pt>
                <c:pt idx="83">
                  <c:v>736.19889448382446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45-4F68-8EAB-65F26512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304"/>
        <c:axId val="3111824"/>
      </c:lineChart>
      <c:dateAx>
        <c:axId val="31123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824"/>
        <c:crosses val="autoZero"/>
        <c:auto val="1"/>
        <c:lblOffset val="100"/>
        <c:baseTimeUnit val="days"/>
      </c:dateAx>
      <c:valAx>
        <c:axId val="31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 Smoothing (0.5)'!$B$1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 Smoothing (0.5)'!$A$2:$A$85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'SE Smoothing (0.5)'!$B$2:$B$85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E-4D37-9E06-871144B9F8E8}"/>
            </c:ext>
          </c:extLst>
        </c:ser>
        <c:ser>
          <c:idx val="1"/>
          <c:order val="1"/>
          <c:tx>
            <c:strRef>
              <c:f>'SE Smoothing (0.5)'!$C$1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 Smoothing (0.5)'!$A$2:$A$85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'SE Smoothing (0.5)'!$C$2:$C$85</c:f>
              <c:numCache>
                <c:formatCode>General</c:formatCode>
                <c:ptCount val="84"/>
                <c:pt idx="0">
                  <c:v>274.19210526315788</c:v>
                </c:pt>
                <c:pt idx="1">
                  <c:v>416.99605263157889</c:v>
                </c:pt>
                <c:pt idx="2">
                  <c:v>487.7355263157894</c:v>
                </c:pt>
                <c:pt idx="3">
                  <c:v>534.47863272311213</c:v>
                </c:pt>
                <c:pt idx="4">
                  <c:v>540.71550683774649</c:v>
                </c:pt>
                <c:pt idx="5">
                  <c:v>516.26525341887327</c:v>
                </c:pt>
                <c:pt idx="6">
                  <c:v>508.00762670943658</c:v>
                </c:pt>
                <c:pt idx="7">
                  <c:v>488.96302388103413</c:v>
                </c:pt>
                <c:pt idx="8">
                  <c:v>469.24969375869887</c:v>
                </c:pt>
                <c:pt idx="9">
                  <c:v>439.89109687934939</c:v>
                </c:pt>
                <c:pt idx="10">
                  <c:v>416.3681674872937</c:v>
                </c:pt>
                <c:pt idx="11">
                  <c:v>420.03408374364687</c:v>
                </c:pt>
                <c:pt idx="12">
                  <c:v>435.25870853849011</c:v>
                </c:pt>
                <c:pt idx="13">
                  <c:v>462.71230881469967</c:v>
                </c:pt>
                <c:pt idx="14">
                  <c:v>494.57319986189526</c:v>
                </c:pt>
                <c:pt idx="15">
                  <c:v>522.38409993094763</c:v>
                </c:pt>
                <c:pt idx="16">
                  <c:v>549.57727723820108</c:v>
                </c:pt>
                <c:pt idx="17">
                  <c:v>568.23238861910056</c:v>
                </c:pt>
                <c:pt idx="18">
                  <c:v>545.18066799376084</c:v>
                </c:pt>
                <c:pt idx="19">
                  <c:v>511.636762568309</c:v>
                </c:pt>
                <c:pt idx="20">
                  <c:v>482.82292673869995</c:v>
                </c:pt>
                <c:pt idx="21">
                  <c:v>472.58051098839758</c:v>
                </c:pt>
                <c:pt idx="22">
                  <c:v>483.7757818099883</c:v>
                </c:pt>
                <c:pt idx="23">
                  <c:v>494.09925454135771</c:v>
                </c:pt>
                <c:pt idx="24">
                  <c:v>499.42046060401213</c:v>
                </c:pt>
                <c:pt idx="25">
                  <c:v>503.3534121201879</c:v>
                </c:pt>
                <c:pt idx="26">
                  <c:v>506.27194415533211</c:v>
                </c:pt>
                <c:pt idx="27">
                  <c:v>512.58240064909455</c:v>
                </c:pt>
                <c:pt idx="28">
                  <c:v>506.66500984835676</c:v>
                </c:pt>
                <c:pt idx="29">
                  <c:v>506.79083825751167</c:v>
                </c:pt>
                <c:pt idx="30">
                  <c:v>501.4341691287558</c:v>
                </c:pt>
                <c:pt idx="31">
                  <c:v>522.03526638255971</c:v>
                </c:pt>
                <c:pt idx="32">
                  <c:v>533.45763319127991</c:v>
                </c:pt>
                <c:pt idx="33">
                  <c:v>556.46972568654905</c:v>
                </c:pt>
                <c:pt idx="34">
                  <c:v>553.42038915906392</c:v>
                </c:pt>
                <c:pt idx="35">
                  <c:v>536.17993142163721</c:v>
                </c:pt>
                <c:pt idx="36">
                  <c:v>526.75782285367575</c:v>
                </c:pt>
                <c:pt idx="37">
                  <c:v>532.7880023359287</c:v>
                </c:pt>
                <c:pt idx="38">
                  <c:v>529.35828688225013</c:v>
                </c:pt>
                <c:pt idx="39">
                  <c:v>530.5802798047614</c:v>
                </c:pt>
                <c:pt idx="40">
                  <c:v>573.89728275952348</c:v>
                </c:pt>
                <c:pt idx="41">
                  <c:v>599.55558582420622</c:v>
                </c:pt>
                <c:pt idx="42">
                  <c:v>585.21231672162708</c:v>
                </c:pt>
                <c:pt idx="43">
                  <c:v>601.6036583608136</c:v>
                </c:pt>
                <c:pt idx="44">
                  <c:v>609.54807918040683</c:v>
                </c:pt>
                <c:pt idx="45">
                  <c:v>633.81208306846429</c:v>
                </c:pt>
                <c:pt idx="46">
                  <c:v>671.04729153423216</c:v>
                </c:pt>
                <c:pt idx="47">
                  <c:v>708.11048787237928</c:v>
                </c:pt>
                <c:pt idx="48">
                  <c:v>734.28550709408444</c:v>
                </c:pt>
                <c:pt idx="49">
                  <c:v>749.27116263795142</c:v>
                </c:pt>
                <c:pt idx="50">
                  <c:v>772.52242342423892</c:v>
                </c:pt>
                <c:pt idx="51">
                  <c:v>763.44599432081509</c:v>
                </c:pt>
                <c:pt idx="52">
                  <c:v>715.99174716040761</c:v>
                </c:pt>
                <c:pt idx="53">
                  <c:v>694.64718936967745</c:v>
                </c:pt>
                <c:pt idx="54">
                  <c:v>696.6323446848387</c:v>
                </c:pt>
                <c:pt idx="55">
                  <c:v>717.13367234241923</c:v>
                </c:pt>
                <c:pt idx="56">
                  <c:v>727.81802664740007</c:v>
                </c:pt>
                <c:pt idx="57">
                  <c:v>731.39705680196084</c:v>
                </c:pt>
                <c:pt idx="58">
                  <c:v>731.7810284009804</c:v>
                </c:pt>
                <c:pt idx="59">
                  <c:v>614.88456181953779</c:v>
                </c:pt>
                <c:pt idx="60">
                  <c:v>516.62422535421331</c:v>
                </c:pt>
                <c:pt idx="61">
                  <c:v>447.92000741394872</c:v>
                </c:pt>
                <c:pt idx="62">
                  <c:v>429.75773097970159</c:v>
                </c:pt>
                <c:pt idx="63">
                  <c:v>434.17995244637251</c:v>
                </c:pt>
                <c:pt idx="64">
                  <c:v>441.02807146128146</c:v>
                </c:pt>
                <c:pt idx="65">
                  <c:v>441.29358118518616</c:v>
                </c:pt>
                <c:pt idx="66">
                  <c:v>459.80274297354549</c:v>
                </c:pt>
                <c:pt idx="67">
                  <c:v>523.8313714867727</c:v>
                </c:pt>
                <c:pt idx="68">
                  <c:v>567.72591301611374</c:v>
                </c:pt>
                <c:pt idx="69">
                  <c:v>614.81920650805682</c:v>
                </c:pt>
                <c:pt idx="70">
                  <c:v>679.37210325402839</c:v>
                </c:pt>
                <c:pt idx="71">
                  <c:v>703.3812897222524</c:v>
                </c:pt>
                <c:pt idx="72">
                  <c:v>691.72353959796828</c:v>
                </c:pt>
                <c:pt idx="73">
                  <c:v>705.23426979898409</c:v>
                </c:pt>
                <c:pt idx="74">
                  <c:v>724.84440762676468</c:v>
                </c:pt>
                <c:pt idx="75">
                  <c:v>737.66744190862039</c:v>
                </c:pt>
                <c:pt idx="76">
                  <c:v>745.09562571621495</c:v>
                </c:pt>
                <c:pt idx="77">
                  <c:v>769.73352714382168</c:v>
                </c:pt>
                <c:pt idx="78">
                  <c:v>781.56176357191089</c:v>
                </c:pt>
                <c:pt idx="79">
                  <c:v>748.65588178595544</c:v>
                </c:pt>
                <c:pt idx="80">
                  <c:v>715.74533219732552</c:v>
                </c:pt>
                <c:pt idx="81">
                  <c:v>724.51891609866277</c:v>
                </c:pt>
                <c:pt idx="82">
                  <c:v>754.83945804933137</c:v>
                </c:pt>
                <c:pt idx="83">
                  <c:v>735.51847902466568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1E-4D37-9E06-871144B9F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304"/>
        <c:axId val="3111824"/>
      </c:lineChart>
      <c:dateAx>
        <c:axId val="31123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824"/>
        <c:crosses val="autoZero"/>
        <c:auto val="1"/>
        <c:lblOffset val="100"/>
        <c:baseTimeUnit val="days"/>
      </c:dateAx>
      <c:valAx>
        <c:axId val="31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 Smoothing (0.55)'!$B$1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 Smoothing (0.55)'!$A$2:$A$85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'SE Smoothing (0.55)'!$B$2:$B$85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3E-46A0-96A1-0FE29F6C51E4}"/>
            </c:ext>
          </c:extLst>
        </c:ser>
        <c:ser>
          <c:idx val="1"/>
          <c:order val="1"/>
          <c:tx>
            <c:strRef>
              <c:f>'SE Smoothing (0.55)'!$C$1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 Smoothing (0.55)'!$A$2:$A$85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'SE Smoothing (0.55)'!$C$2:$C$85</c:f>
              <c:numCache>
                <c:formatCode>General</c:formatCode>
                <c:ptCount val="84"/>
                <c:pt idx="0">
                  <c:v>301.61131578947368</c:v>
                </c:pt>
                <c:pt idx="1">
                  <c:v>443.6150921052631</c:v>
                </c:pt>
                <c:pt idx="2">
                  <c:v>506.78804144736841</c:v>
                </c:pt>
                <c:pt idx="3">
                  <c:v>547.72657517305493</c:v>
                </c:pt>
                <c:pt idx="4">
                  <c:v>547.30076835168416</c:v>
                </c:pt>
                <c:pt idx="5">
                  <c:v>516.78359575825789</c:v>
                </c:pt>
                <c:pt idx="6">
                  <c:v>507.41511809121596</c:v>
                </c:pt>
                <c:pt idx="7">
                  <c:v>486.79193471999463</c:v>
                </c:pt>
                <c:pt idx="8">
                  <c:v>466.30137062399763</c:v>
                </c:pt>
                <c:pt idx="9">
                  <c:v>435.62849178079887</c:v>
                </c:pt>
                <c:pt idx="10">
                  <c:v>412.09770225374041</c:v>
                </c:pt>
                <c:pt idx="11">
                  <c:v>418.47896601418319</c:v>
                </c:pt>
                <c:pt idx="12">
                  <c:v>436.08136803971581</c:v>
                </c:pt>
                <c:pt idx="13">
                  <c:v>465.82786561787213</c:v>
                </c:pt>
                <c:pt idx="14">
                  <c:v>499.1612895280424</c:v>
                </c:pt>
                <c:pt idx="15">
                  <c:v>527.22983028761905</c:v>
                </c:pt>
                <c:pt idx="16">
                  <c:v>554.47717362942853</c:v>
                </c:pt>
                <c:pt idx="17">
                  <c:v>572.30285313324282</c:v>
                </c:pt>
                <c:pt idx="18">
                  <c:v>544.70720496259082</c:v>
                </c:pt>
                <c:pt idx="19">
                  <c:v>508.06931366173728</c:v>
                </c:pt>
                <c:pt idx="20">
                  <c:v>478.33619114778179</c:v>
                </c:pt>
                <c:pt idx="21">
                  <c:v>469.53723839745413</c:v>
                </c:pt>
                <c:pt idx="22">
                  <c:v>483.52583622622279</c:v>
                </c:pt>
                <c:pt idx="23">
                  <c:v>495.01912630180016</c:v>
                </c:pt>
                <c:pt idx="24">
                  <c:v>500.3665235024767</c:v>
                </c:pt>
                <c:pt idx="25">
                  <c:v>504.17243557611454</c:v>
                </c:pt>
                <c:pt idx="26">
                  <c:v>506.93235791401349</c:v>
                </c:pt>
                <c:pt idx="27">
                  <c:v>513.51063248987748</c:v>
                </c:pt>
                <c:pt idx="28">
                  <c:v>506.49097509663528</c:v>
                </c:pt>
                <c:pt idx="29">
                  <c:v>506.72510546015246</c:v>
                </c:pt>
                <c:pt idx="30">
                  <c:v>500.86892245706861</c:v>
                </c:pt>
                <c:pt idx="31">
                  <c:v>523.84101510568075</c:v>
                </c:pt>
                <c:pt idx="32">
                  <c:v>535.41245679755639</c:v>
                </c:pt>
                <c:pt idx="33">
                  <c:v>559.65060555890045</c:v>
                </c:pt>
                <c:pt idx="34">
                  <c:v>554.54685144887367</c:v>
                </c:pt>
                <c:pt idx="35">
                  <c:v>534.96279367830891</c:v>
                </c:pt>
                <c:pt idx="36">
                  <c:v>525.26790001238192</c:v>
                </c:pt>
                <c:pt idx="37">
                  <c:v>532.72055500557178</c:v>
                </c:pt>
                <c:pt idx="38">
                  <c:v>528.98496403822162</c:v>
                </c:pt>
                <c:pt idx="39">
                  <c:v>530.53448381719966</c:v>
                </c:pt>
                <c:pt idx="40">
                  <c:v>578.20837486059702</c:v>
                </c:pt>
                <c:pt idx="41">
                  <c:v>604.06140757615754</c:v>
                </c:pt>
                <c:pt idx="42">
                  <c:v>585.80560959974719</c:v>
                </c:pt>
                <c:pt idx="43">
                  <c:v>603.50977431988622</c:v>
                </c:pt>
                <c:pt idx="44">
                  <c:v>611.20027344394884</c:v>
                </c:pt>
                <c:pt idx="45">
                  <c:v>636.98197087586402</c:v>
                </c:pt>
                <c:pt idx="46">
                  <c:v>676.19726189413882</c:v>
                </c:pt>
                <c:pt idx="47">
                  <c:v>714.13429416815188</c:v>
                </c:pt>
                <c:pt idx="48">
                  <c:v>739.61372184935271</c:v>
                </c:pt>
                <c:pt idx="49">
                  <c:v>753.16742483220878</c:v>
                </c:pt>
                <c:pt idx="50">
                  <c:v>776.60086749028346</c:v>
                </c:pt>
                <c:pt idx="51">
                  <c:v>764.37365124019266</c:v>
                </c:pt>
                <c:pt idx="52">
                  <c:v>711.6637680580867</c:v>
                </c:pt>
                <c:pt idx="53">
                  <c:v>690.56514299456012</c:v>
                </c:pt>
                <c:pt idx="54">
                  <c:v>694.99393934755199</c:v>
                </c:pt>
                <c:pt idx="55">
                  <c:v>718.44652270639835</c:v>
                </c:pt>
                <c:pt idx="56">
                  <c:v>729.47724474168876</c:v>
                </c:pt>
                <c:pt idx="57">
                  <c:v>732.50160795984698</c:v>
                </c:pt>
                <c:pt idx="58">
                  <c:v>732.31647358193095</c:v>
                </c:pt>
                <c:pt idx="59">
                  <c:v>603.43586549282122</c:v>
                </c:pt>
                <c:pt idx="60">
                  <c:v>501.64627836065841</c:v>
                </c:pt>
                <c:pt idx="61">
                  <c:v>434.30950947282258</c:v>
                </c:pt>
                <c:pt idx="62">
                  <c:v>421.81677926277013</c:v>
                </c:pt>
                <c:pt idx="63">
                  <c:v>431.04874632042043</c:v>
                </c:pt>
                <c:pt idx="64">
                  <c:v>440.30384060609396</c:v>
                </c:pt>
                <c:pt idx="65">
                  <c:v>440.99422827274225</c:v>
                </c:pt>
                <c:pt idx="66">
                  <c:v>461.51895034178165</c:v>
                </c:pt>
                <c:pt idx="67">
                  <c:v>531.00652765380175</c:v>
                </c:pt>
                <c:pt idx="68">
                  <c:v>575.34418744421077</c:v>
                </c:pt>
                <c:pt idx="69">
                  <c:v>622.95675934989481</c:v>
                </c:pt>
                <c:pt idx="70">
                  <c:v>689.48929170745259</c:v>
                </c:pt>
                <c:pt idx="71">
                  <c:v>710.33494317311556</c:v>
                </c:pt>
                <c:pt idx="72">
                  <c:v>693.68690863842835</c:v>
                </c:pt>
                <c:pt idx="73">
                  <c:v>707.46885888729275</c:v>
                </c:pt>
                <c:pt idx="74">
                  <c:v>727.81098649928163</c:v>
                </c:pt>
                <c:pt idx="75">
                  <c:v>740.28470582943851</c:v>
                </c:pt>
                <c:pt idx="76">
                  <c:v>747.01621286134264</c:v>
                </c:pt>
                <c:pt idx="77">
                  <c:v>773.0615815018898</c:v>
                </c:pt>
                <c:pt idx="78">
                  <c:v>784.2422116758504</c:v>
                </c:pt>
                <c:pt idx="79">
                  <c:v>746.57149525413274</c:v>
                </c:pt>
                <c:pt idx="80">
                  <c:v>711.51630329914235</c:v>
                </c:pt>
                <c:pt idx="81">
                  <c:v>723.49321148461411</c:v>
                </c:pt>
                <c:pt idx="82">
                  <c:v>757.40994516807632</c:v>
                </c:pt>
                <c:pt idx="83">
                  <c:v>734.74310032563426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E-46A0-96A1-0FE29F6C5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304"/>
        <c:axId val="3111824"/>
      </c:lineChart>
      <c:dateAx>
        <c:axId val="31123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824"/>
        <c:crosses val="autoZero"/>
        <c:auto val="1"/>
        <c:lblOffset val="100"/>
        <c:baseTimeUnit val="days"/>
      </c:dateAx>
      <c:valAx>
        <c:axId val="31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 Smoothing (0.6)'!$B$1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 Smoothing (0.6)'!$A$2:$A$85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'SE Smoothing (0.6)'!$B$2:$B$85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C-4415-951F-6233C31F18B3}"/>
            </c:ext>
          </c:extLst>
        </c:ser>
        <c:ser>
          <c:idx val="1"/>
          <c:order val="1"/>
          <c:tx>
            <c:strRef>
              <c:f>'SE Smoothing (0.6)'!$C$1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 Smoothing (0.6)'!$A$2:$A$85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'SE Smoothing (0.6)'!$C$2:$C$85</c:f>
              <c:numCache>
                <c:formatCode>General</c:formatCode>
                <c:ptCount val="84"/>
                <c:pt idx="0">
                  <c:v>329.03052631578947</c:v>
                </c:pt>
                <c:pt idx="1">
                  <c:v>467.49221052631572</c:v>
                </c:pt>
                <c:pt idx="2">
                  <c:v>522.08188421052625</c:v>
                </c:pt>
                <c:pt idx="3">
                  <c:v>557.56579716247143</c:v>
                </c:pt>
                <c:pt idx="4">
                  <c:v>551.1977474364171</c:v>
                </c:pt>
                <c:pt idx="5">
                  <c:v>515.56809897456674</c:v>
                </c:pt>
                <c:pt idx="6">
                  <c:v>506.0772395898266</c:v>
                </c:pt>
                <c:pt idx="7">
                  <c:v>484.38194846750963</c:v>
                </c:pt>
                <c:pt idx="8">
                  <c:v>463.47459756882211</c:v>
                </c:pt>
                <c:pt idx="9">
                  <c:v>431.70933902752881</c:v>
                </c:pt>
                <c:pt idx="10">
                  <c:v>408.39087846815437</c:v>
                </c:pt>
                <c:pt idx="11">
                  <c:v>417.57635138726175</c:v>
                </c:pt>
                <c:pt idx="12">
                  <c:v>437.32054055490471</c:v>
                </c:pt>
                <c:pt idx="13">
                  <c:v>469.02776167650734</c:v>
                </c:pt>
                <c:pt idx="14">
                  <c:v>503.47155921605747</c:v>
                </c:pt>
                <c:pt idx="15">
                  <c:v>531.50562368642295</c:v>
                </c:pt>
                <c:pt idx="16">
                  <c:v>558.66452220184192</c:v>
                </c:pt>
                <c:pt idx="17">
                  <c:v>575.59830888073679</c:v>
                </c:pt>
                <c:pt idx="18">
                  <c:v>543.51669197334741</c:v>
                </c:pt>
                <c:pt idx="19">
                  <c:v>504.26239107505324</c:v>
                </c:pt>
                <c:pt idx="20">
                  <c:v>474.11041097547587</c:v>
                </c:pt>
                <c:pt idx="21">
                  <c:v>467.04702153304743</c:v>
                </c:pt>
                <c:pt idx="22">
                  <c:v>483.8014401921663</c:v>
                </c:pt>
                <c:pt idx="23">
                  <c:v>496.1742124405028</c:v>
                </c:pt>
                <c:pt idx="24">
                  <c:v>501.31468497620108</c:v>
                </c:pt>
                <c:pt idx="25">
                  <c:v>504.89769217229866</c:v>
                </c:pt>
                <c:pt idx="26">
                  <c:v>507.47336258320524</c:v>
                </c:pt>
                <c:pt idx="27">
                  <c:v>514.32505931899641</c:v>
                </c:pt>
                <c:pt idx="28">
                  <c:v>506.17859515616993</c:v>
                </c:pt>
                <c:pt idx="29">
                  <c:v>506.62143806246792</c:v>
                </c:pt>
                <c:pt idx="30">
                  <c:v>500.29507522498716</c:v>
                </c:pt>
                <c:pt idx="31">
                  <c:v>525.69984827181293</c:v>
                </c:pt>
                <c:pt idx="32">
                  <c:v>537.20793930872514</c:v>
                </c:pt>
                <c:pt idx="33">
                  <c:v>562.57226663258098</c:v>
                </c:pt>
                <c:pt idx="34">
                  <c:v>555.25153823197968</c:v>
                </c:pt>
                <c:pt idx="35">
                  <c:v>533.46429950331822</c:v>
                </c:pt>
                <c:pt idx="36">
                  <c:v>523.78714837275584</c:v>
                </c:pt>
                <c:pt idx="37">
                  <c:v>532.80576844001143</c:v>
                </c:pt>
                <c:pt idx="38">
                  <c:v>528.67945023314746</c:v>
                </c:pt>
                <c:pt idx="39">
                  <c:v>530.55314372962266</c:v>
                </c:pt>
                <c:pt idx="40">
                  <c:v>582.5498289204204</c:v>
                </c:pt>
                <c:pt idx="41">
                  <c:v>608.14826490150153</c:v>
                </c:pt>
                <c:pt idx="42">
                  <c:v>585.78073453202933</c:v>
                </c:pt>
                <c:pt idx="43">
                  <c:v>605.10929381281176</c:v>
                </c:pt>
                <c:pt idx="44">
                  <c:v>612.53921752512463</c:v>
                </c:pt>
                <c:pt idx="45">
                  <c:v>639.86133918396297</c:v>
                </c:pt>
                <c:pt idx="46">
                  <c:v>680.9140356735852</c:v>
                </c:pt>
                <c:pt idx="47">
                  <c:v>719.4698247957499</c:v>
                </c:pt>
                <c:pt idx="48">
                  <c:v>744.06424570777381</c:v>
                </c:pt>
                <c:pt idx="49">
                  <c:v>756.17978919220059</c:v>
                </c:pt>
                <c:pt idx="50">
                  <c:v>779.93612620319595</c:v>
                </c:pt>
                <c:pt idx="51">
                  <c:v>764.59618961171304</c:v>
                </c:pt>
                <c:pt idx="52">
                  <c:v>706.96097584468521</c:v>
                </c:pt>
                <c:pt idx="53">
                  <c:v>686.76596928524236</c:v>
                </c:pt>
                <c:pt idx="54">
                  <c:v>693.87688771409694</c:v>
                </c:pt>
                <c:pt idx="55">
                  <c:v>720.1317550856387</c:v>
                </c:pt>
                <c:pt idx="56">
                  <c:v>731.15413060568403</c:v>
                </c:pt>
                <c:pt idx="57">
                  <c:v>733.44730441618663</c:v>
                </c:pt>
                <c:pt idx="58">
                  <c:v>732.67792176647458</c:v>
                </c:pt>
                <c:pt idx="59">
                  <c:v>591.86402584944699</c:v>
                </c:pt>
                <c:pt idx="60">
                  <c:v>487.76394367311207</c:v>
                </c:pt>
                <c:pt idx="61">
                  <c:v>422.63505115345538</c:v>
                </c:pt>
                <c:pt idx="62">
                  <c:v>416.0112931886548</c:v>
                </c:pt>
                <c:pt idx="63">
                  <c:v>429.565821623288</c:v>
                </c:pt>
                <c:pt idx="64">
                  <c:v>440.55204293502948</c:v>
                </c:pt>
                <c:pt idx="65">
                  <c:v>441.1562717194663</c:v>
                </c:pt>
                <c:pt idx="66">
                  <c:v>463.44965154492945</c:v>
                </c:pt>
                <c:pt idx="67">
                  <c:v>538.09586061797177</c:v>
                </c:pt>
                <c:pt idx="68">
                  <c:v>582.21061697446157</c:v>
                </c:pt>
                <c:pt idx="69">
                  <c:v>630.03174678978462</c:v>
                </c:pt>
                <c:pt idx="70">
                  <c:v>698.36769871591378</c:v>
                </c:pt>
                <c:pt idx="71">
                  <c:v>715.78136520065129</c:v>
                </c:pt>
                <c:pt idx="72">
                  <c:v>694.35201976447092</c:v>
                </c:pt>
                <c:pt idx="73">
                  <c:v>708.98780790578837</c:v>
                </c:pt>
                <c:pt idx="74">
                  <c:v>730.26785043504265</c:v>
                </c:pt>
                <c:pt idx="75">
                  <c:v>742.4014258883027</c:v>
                </c:pt>
                <c:pt idx="76">
                  <c:v>748.47485606960674</c:v>
                </c:pt>
                <c:pt idx="77">
                  <c:v>776.01279957069983</c:v>
                </c:pt>
                <c:pt idx="78">
                  <c:v>786.4391198282799</c:v>
                </c:pt>
                <c:pt idx="79">
                  <c:v>744.02564793131205</c:v>
                </c:pt>
                <c:pt idx="80">
                  <c:v>707.31112873774225</c:v>
                </c:pt>
                <c:pt idx="81">
                  <c:v>722.89995149509696</c:v>
                </c:pt>
                <c:pt idx="82">
                  <c:v>760.25598059803872</c:v>
                </c:pt>
                <c:pt idx="83">
                  <c:v>733.82089223921548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C-4415-951F-6233C31F1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304"/>
        <c:axId val="3111824"/>
      </c:lineChart>
      <c:dateAx>
        <c:axId val="31123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824"/>
        <c:crosses val="autoZero"/>
        <c:auto val="1"/>
        <c:lblOffset val="100"/>
        <c:baseTimeUnit val="days"/>
      </c:dateAx>
      <c:valAx>
        <c:axId val="31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 Smoothing (0.65)'!$B$1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 Smoothing (0.65)'!$A$2:$A$85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'SE Smoothing (0.65)'!$B$2:$B$85</c:f>
              <c:numCache>
                <c:formatCode>General</c:formatCode>
                <c:ptCount val="84"/>
                <c:pt idx="0">
                  <c:v>548.38421052631577</c:v>
                </c:pt>
                <c:pt idx="1">
                  <c:v>559.79999999999995</c:v>
                </c:pt>
                <c:pt idx="2">
                  <c:v>558.47499999999991</c:v>
                </c:pt>
                <c:pt idx="3">
                  <c:v>581.22173913043491</c:v>
                </c:pt>
                <c:pt idx="4">
                  <c:v>546.95238095238096</c:v>
                </c:pt>
                <c:pt idx="5">
                  <c:v>491.81499999999994</c:v>
                </c:pt>
                <c:pt idx="6">
                  <c:v>499.74999999999989</c:v>
                </c:pt>
                <c:pt idx="7">
                  <c:v>469.91842105263163</c:v>
                </c:pt>
                <c:pt idx="8">
                  <c:v>449.53636363636366</c:v>
                </c:pt>
                <c:pt idx="9">
                  <c:v>410.53249999999991</c:v>
                </c:pt>
                <c:pt idx="10">
                  <c:v>392.84523809523807</c:v>
                </c:pt>
                <c:pt idx="11">
                  <c:v>423.7</c:v>
                </c:pt>
                <c:pt idx="12">
                  <c:v>450.48333333333335</c:v>
                </c:pt>
                <c:pt idx="13">
                  <c:v>490.16590909090917</c:v>
                </c:pt>
                <c:pt idx="14">
                  <c:v>526.43409090909086</c:v>
                </c:pt>
                <c:pt idx="15">
                  <c:v>550.19499999999994</c:v>
                </c:pt>
                <c:pt idx="16">
                  <c:v>576.77045454545453</c:v>
                </c:pt>
                <c:pt idx="17">
                  <c:v>586.88750000000005</c:v>
                </c:pt>
                <c:pt idx="18">
                  <c:v>522.12894736842111</c:v>
                </c:pt>
                <c:pt idx="19">
                  <c:v>478.0928571428571</c:v>
                </c:pt>
                <c:pt idx="20">
                  <c:v>454.00909090909096</c:v>
                </c:pt>
                <c:pt idx="21">
                  <c:v>462.33809523809515</c:v>
                </c:pt>
                <c:pt idx="22">
                  <c:v>494.97105263157897</c:v>
                </c:pt>
                <c:pt idx="23">
                  <c:v>504.42272727272717</c:v>
                </c:pt>
                <c:pt idx="24">
                  <c:v>504.74166666666656</c:v>
                </c:pt>
                <c:pt idx="25">
                  <c:v>507.28636363636366</c:v>
                </c:pt>
                <c:pt idx="26">
                  <c:v>509.19047619047626</c:v>
                </c:pt>
                <c:pt idx="27">
                  <c:v>518.89285714285711</c:v>
                </c:pt>
                <c:pt idx="28">
                  <c:v>500.74761904761897</c:v>
                </c:pt>
                <c:pt idx="29">
                  <c:v>506.91666666666657</c:v>
                </c:pt>
                <c:pt idx="30">
                  <c:v>496.07749999999999</c:v>
                </c:pt>
                <c:pt idx="31">
                  <c:v>542.63636363636351</c:v>
                </c:pt>
                <c:pt idx="32">
                  <c:v>544.88</c:v>
                </c:pt>
                <c:pt idx="33">
                  <c:v>579.4818181818182</c:v>
                </c:pt>
                <c:pt idx="34">
                  <c:v>550.37105263157889</c:v>
                </c:pt>
                <c:pt idx="35">
                  <c:v>518.9394736842105</c:v>
                </c:pt>
                <c:pt idx="36">
                  <c:v>517.33571428571429</c:v>
                </c:pt>
                <c:pt idx="37">
                  <c:v>538.81818181818176</c:v>
                </c:pt>
                <c:pt idx="38">
                  <c:v>525.92857142857156</c:v>
                </c:pt>
                <c:pt idx="39">
                  <c:v>531.80227272727268</c:v>
                </c:pt>
                <c:pt idx="40">
                  <c:v>617.21428571428567</c:v>
                </c:pt>
                <c:pt idx="41">
                  <c:v>625.21388888888896</c:v>
                </c:pt>
                <c:pt idx="42">
                  <c:v>570.86904761904782</c:v>
                </c:pt>
                <c:pt idx="43">
                  <c:v>617.995</c:v>
                </c:pt>
                <c:pt idx="44">
                  <c:v>617.49249999999995</c:v>
                </c:pt>
                <c:pt idx="45">
                  <c:v>658.07608695652186</c:v>
                </c:pt>
                <c:pt idx="46">
                  <c:v>708.28250000000003</c:v>
                </c:pt>
                <c:pt idx="47">
                  <c:v>745.1736842105264</c:v>
                </c:pt>
                <c:pt idx="48">
                  <c:v>760.46052631578959</c:v>
                </c:pt>
                <c:pt idx="49">
                  <c:v>764.25681818181829</c:v>
                </c:pt>
                <c:pt idx="50">
                  <c:v>795.77368421052631</c:v>
                </c:pt>
                <c:pt idx="51">
                  <c:v>754.36956521739114</c:v>
                </c:pt>
                <c:pt idx="52">
                  <c:v>668.53750000000002</c:v>
                </c:pt>
                <c:pt idx="53">
                  <c:v>673.30263157894728</c:v>
                </c:pt>
                <c:pt idx="54">
                  <c:v>698.61750000000006</c:v>
                </c:pt>
                <c:pt idx="55">
                  <c:v>737.63499999999988</c:v>
                </c:pt>
                <c:pt idx="56">
                  <c:v>738.50238095238092</c:v>
                </c:pt>
                <c:pt idx="57">
                  <c:v>734.97608695652173</c:v>
                </c:pt>
                <c:pt idx="58">
                  <c:v>732.16499999999985</c:v>
                </c:pt>
                <c:pt idx="59">
                  <c:v>497.98809523809524</c:v>
                </c:pt>
                <c:pt idx="60">
                  <c:v>418.36388888888882</c:v>
                </c:pt>
                <c:pt idx="61">
                  <c:v>379.2157894736842</c:v>
                </c:pt>
                <c:pt idx="62">
                  <c:v>411.59545454545446</c:v>
                </c:pt>
                <c:pt idx="63">
                  <c:v>438.60217391304343</c:v>
                </c:pt>
                <c:pt idx="64">
                  <c:v>447.87619047619046</c:v>
                </c:pt>
                <c:pt idx="65">
                  <c:v>441.55909090909086</c:v>
                </c:pt>
                <c:pt idx="66">
                  <c:v>478.31190476190483</c:v>
                </c:pt>
                <c:pt idx="67">
                  <c:v>587.86</c:v>
                </c:pt>
                <c:pt idx="68">
                  <c:v>611.62045454545466</c:v>
                </c:pt>
                <c:pt idx="69">
                  <c:v>661.91250000000002</c:v>
                </c:pt>
                <c:pt idx="70">
                  <c:v>743.92499999999995</c:v>
                </c:pt>
                <c:pt idx="71">
                  <c:v>727.39047619047631</c:v>
                </c:pt>
                <c:pt idx="72">
                  <c:v>680.06578947368416</c:v>
                </c:pt>
                <c:pt idx="73">
                  <c:v>718.745</c:v>
                </c:pt>
                <c:pt idx="74">
                  <c:v>744.45454545454538</c:v>
                </c:pt>
                <c:pt idx="75">
                  <c:v>750.4904761904761</c:v>
                </c:pt>
                <c:pt idx="76">
                  <c:v>752.52380952380952</c:v>
                </c:pt>
                <c:pt idx="77">
                  <c:v>794.37142857142851</c:v>
                </c:pt>
                <c:pt idx="78">
                  <c:v>793.39</c:v>
                </c:pt>
                <c:pt idx="79">
                  <c:v>715.75</c:v>
                </c:pt>
                <c:pt idx="80">
                  <c:v>682.83478260869572</c:v>
                </c:pt>
                <c:pt idx="81">
                  <c:v>733.29250000000002</c:v>
                </c:pt>
                <c:pt idx="82">
                  <c:v>785.16</c:v>
                </c:pt>
                <c:pt idx="83">
                  <c:v>716.19749999999999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D-4CAF-A050-5828F4FA676A}"/>
            </c:ext>
          </c:extLst>
        </c:ser>
        <c:ser>
          <c:idx val="1"/>
          <c:order val="1"/>
          <c:tx>
            <c:strRef>
              <c:f>'SE Smoothing (0.65)'!$C$1</c:f>
              <c:strCache>
                <c:ptCount val="1"/>
                <c:pt idx="0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 Smoothing (0.65)'!$A$2:$A$85</c:f>
              <c:numCache>
                <c:formatCode>d\-mmm</c:formatCode>
                <c:ptCount val="84"/>
                <c:pt idx="0">
                  <c:v>45031</c:v>
                </c:pt>
                <c:pt idx="1">
                  <c:v>45061</c:v>
                </c:pt>
                <c:pt idx="2">
                  <c:v>45092</c:v>
                </c:pt>
                <c:pt idx="3">
                  <c:v>45122</c:v>
                </c:pt>
                <c:pt idx="4">
                  <c:v>45153</c:v>
                </c:pt>
                <c:pt idx="5">
                  <c:v>45184</c:v>
                </c:pt>
                <c:pt idx="6">
                  <c:v>45214</c:v>
                </c:pt>
                <c:pt idx="7">
                  <c:v>45245</c:v>
                </c:pt>
                <c:pt idx="8">
                  <c:v>45275</c:v>
                </c:pt>
                <c:pt idx="9">
                  <c:v>44942</c:v>
                </c:pt>
                <c:pt idx="10">
                  <c:v>44973</c:v>
                </c:pt>
                <c:pt idx="11">
                  <c:v>45001</c:v>
                </c:pt>
                <c:pt idx="12">
                  <c:v>45032</c:v>
                </c:pt>
                <c:pt idx="13">
                  <c:v>45062</c:v>
                </c:pt>
                <c:pt idx="14">
                  <c:v>45093</c:v>
                </c:pt>
                <c:pt idx="15">
                  <c:v>45123</c:v>
                </c:pt>
                <c:pt idx="16">
                  <c:v>45154</c:v>
                </c:pt>
                <c:pt idx="17">
                  <c:v>45185</c:v>
                </c:pt>
                <c:pt idx="18">
                  <c:v>45215</c:v>
                </c:pt>
                <c:pt idx="19">
                  <c:v>45246</c:v>
                </c:pt>
                <c:pt idx="20">
                  <c:v>45276</c:v>
                </c:pt>
                <c:pt idx="21">
                  <c:v>44943</c:v>
                </c:pt>
                <c:pt idx="22">
                  <c:v>44974</c:v>
                </c:pt>
                <c:pt idx="23">
                  <c:v>45002</c:v>
                </c:pt>
                <c:pt idx="24">
                  <c:v>45033</c:v>
                </c:pt>
                <c:pt idx="25">
                  <c:v>45063</c:v>
                </c:pt>
                <c:pt idx="26">
                  <c:v>45094</c:v>
                </c:pt>
                <c:pt idx="27">
                  <c:v>45124</c:v>
                </c:pt>
                <c:pt idx="28">
                  <c:v>45155</c:v>
                </c:pt>
                <c:pt idx="29">
                  <c:v>45186</c:v>
                </c:pt>
                <c:pt idx="30">
                  <c:v>45216</c:v>
                </c:pt>
                <c:pt idx="31">
                  <c:v>45247</c:v>
                </c:pt>
                <c:pt idx="32">
                  <c:v>45277</c:v>
                </c:pt>
                <c:pt idx="33">
                  <c:v>44944</c:v>
                </c:pt>
                <c:pt idx="34">
                  <c:v>44975</c:v>
                </c:pt>
                <c:pt idx="35">
                  <c:v>45003</c:v>
                </c:pt>
                <c:pt idx="36">
                  <c:v>45034</c:v>
                </c:pt>
                <c:pt idx="37">
                  <c:v>45064</c:v>
                </c:pt>
                <c:pt idx="38">
                  <c:v>45095</c:v>
                </c:pt>
                <c:pt idx="39">
                  <c:v>45125</c:v>
                </c:pt>
                <c:pt idx="40">
                  <c:v>45156</c:v>
                </c:pt>
                <c:pt idx="41">
                  <c:v>45187</c:v>
                </c:pt>
                <c:pt idx="42">
                  <c:v>45217</c:v>
                </c:pt>
                <c:pt idx="43">
                  <c:v>45248</c:v>
                </c:pt>
                <c:pt idx="44">
                  <c:v>45278</c:v>
                </c:pt>
                <c:pt idx="45">
                  <c:v>44945</c:v>
                </c:pt>
                <c:pt idx="46">
                  <c:v>44976</c:v>
                </c:pt>
                <c:pt idx="47">
                  <c:v>45004</c:v>
                </c:pt>
                <c:pt idx="48">
                  <c:v>45035</c:v>
                </c:pt>
                <c:pt idx="49">
                  <c:v>45065</c:v>
                </c:pt>
                <c:pt idx="50">
                  <c:v>45096</c:v>
                </c:pt>
                <c:pt idx="51">
                  <c:v>45126</c:v>
                </c:pt>
                <c:pt idx="52">
                  <c:v>45157</c:v>
                </c:pt>
                <c:pt idx="53">
                  <c:v>45188</c:v>
                </c:pt>
                <c:pt idx="54">
                  <c:v>45218</c:v>
                </c:pt>
                <c:pt idx="55">
                  <c:v>45249</c:v>
                </c:pt>
                <c:pt idx="56">
                  <c:v>45279</c:v>
                </c:pt>
                <c:pt idx="57">
                  <c:v>44946</c:v>
                </c:pt>
                <c:pt idx="58">
                  <c:v>44977</c:v>
                </c:pt>
                <c:pt idx="59">
                  <c:v>45005</c:v>
                </c:pt>
                <c:pt idx="60">
                  <c:v>45036</c:v>
                </c:pt>
                <c:pt idx="61">
                  <c:v>45066</c:v>
                </c:pt>
                <c:pt idx="62">
                  <c:v>45097</c:v>
                </c:pt>
                <c:pt idx="63">
                  <c:v>45127</c:v>
                </c:pt>
                <c:pt idx="64">
                  <c:v>45158</c:v>
                </c:pt>
                <c:pt idx="65">
                  <c:v>45189</c:v>
                </c:pt>
                <c:pt idx="66">
                  <c:v>45219</c:v>
                </c:pt>
                <c:pt idx="67">
                  <c:v>45250</c:v>
                </c:pt>
                <c:pt idx="68">
                  <c:v>45280</c:v>
                </c:pt>
                <c:pt idx="69">
                  <c:v>44947</c:v>
                </c:pt>
                <c:pt idx="70">
                  <c:v>44978</c:v>
                </c:pt>
                <c:pt idx="71">
                  <c:v>45006</c:v>
                </c:pt>
                <c:pt idx="72">
                  <c:v>45037</c:v>
                </c:pt>
                <c:pt idx="73">
                  <c:v>45067</c:v>
                </c:pt>
                <c:pt idx="74">
                  <c:v>45098</c:v>
                </c:pt>
                <c:pt idx="75">
                  <c:v>45128</c:v>
                </c:pt>
                <c:pt idx="76">
                  <c:v>45159</c:v>
                </c:pt>
                <c:pt idx="77">
                  <c:v>45190</c:v>
                </c:pt>
                <c:pt idx="78">
                  <c:v>45220</c:v>
                </c:pt>
                <c:pt idx="79">
                  <c:v>45251</c:v>
                </c:pt>
                <c:pt idx="80">
                  <c:v>45281</c:v>
                </c:pt>
                <c:pt idx="81">
                  <c:v>44948</c:v>
                </c:pt>
                <c:pt idx="82">
                  <c:v>44979</c:v>
                </c:pt>
                <c:pt idx="83">
                  <c:v>45007</c:v>
                </c:pt>
              </c:numCache>
            </c:numRef>
          </c:cat>
          <c:val>
            <c:numRef>
              <c:f>'SE Smoothing (0.65)'!$C$2:$C$85</c:f>
              <c:numCache>
                <c:formatCode>General</c:formatCode>
                <c:ptCount val="84"/>
                <c:pt idx="0">
                  <c:v>356.44973684210527</c:v>
                </c:pt>
                <c:pt idx="1">
                  <c:v>488.62740789473685</c:v>
                </c:pt>
                <c:pt idx="2">
                  <c:v>534.02834276315787</c:v>
                </c:pt>
                <c:pt idx="3">
                  <c:v>564.70405040188791</c:v>
                </c:pt>
                <c:pt idx="4">
                  <c:v>553.16546525970841</c:v>
                </c:pt>
                <c:pt idx="5">
                  <c:v>513.28766284089784</c:v>
                </c:pt>
                <c:pt idx="6">
                  <c:v>504.48818199431412</c:v>
                </c:pt>
                <c:pt idx="7">
                  <c:v>482.01783738222048</c:v>
                </c:pt>
                <c:pt idx="8">
                  <c:v>460.90487944741358</c:v>
                </c:pt>
                <c:pt idx="9">
                  <c:v>428.16283280659468</c:v>
                </c:pt>
                <c:pt idx="10">
                  <c:v>405.2063962442129</c:v>
                </c:pt>
                <c:pt idx="11">
                  <c:v>417.2272386854745</c:v>
                </c:pt>
                <c:pt idx="12">
                  <c:v>438.84370020658275</c:v>
                </c:pt>
                <c:pt idx="13">
                  <c:v>472.20313598139489</c:v>
                </c:pt>
                <c:pt idx="14">
                  <c:v>507.45325668439727</c:v>
                </c:pt>
                <c:pt idx="15">
                  <c:v>535.23538983953904</c:v>
                </c:pt>
                <c:pt idx="16">
                  <c:v>562.23318189838415</c:v>
                </c:pt>
                <c:pt idx="17">
                  <c:v>578.25848866443448</c:v>
                </c:pt>
                <c:pt idx="18">
                  <c:v>541.77428682202572</c:v>
                </c:pt>
                <c:pt idx="19">
                  <c:v>500.38135753056611</c:v>
                </c:pt>
                <c:pt idx="20">
                  <c:v>470.23938422660723</c:v>
                </c:pt>
                <c:pt idx="21">
                  <c:v>465.10354638407443</c:v>
                </c:pt>
                <c:pt idx="22">
                  <c:v>484.51742544495238</c:v>
                </c:pt>
                <c:pt idx="23">
                  <c:v>497.45587163300598</c:v>
                </c:pt>
                <c:pt idx="24">
                  <c:v>502.19163840488534</c:v>
                </c:pt>
                <c:pt idx="25">
                  <c:v>505.50320980534627</c:v>
                </c:pt>
                <c:pt idx="26">
                  <c:v>507.89993295568075</c:v>
                </c:pt>
                <c:pt idx="27">
                  <c:v>515.04533367734541</c:v>
                </c:pt>
                <c:pt idx="28">
                  <c:v>505.75181916802319</c:v>
                </c:pt>
                <c:pt idx="29">
                  <c:v>506.50897004214141</c:v>
                </c:pt>
                <c:pt idx="30">
                  <c:v>499.72851451474946</c:v>
                </c:pt>
                <c:pt idx="31">
                  <c:v>527.6186164437986</c:v>
                </c:pt>
                <c:pt idx="32">
                  <c:v>538.83851575532958</c:v>
                </c:pt>
                <c:pt idx="33">
                  <c:v>565.25666233254719</c:v>
                </c:pt>
                <c:pt idx="34">
                  <c:v>555.58101602691772</c:v>
                </c:pt>
                <c:pt idx="35">
                  <c:v>531.76401350415802</c:v>
                </c:pt>
                <c:pt idx="36">
                  <c:v>522.38561901216963</c:v>
                </c:pt>
                <c:pt idx="37">
                  <c:v>533.06678483607743</c:v>
                </c:pt>
                <c:pt idx="38">
                  <c:v>528.42694612119863</c:v>
                </c:pt>
                <c:pt idx="39">
                  <c:v>530.6209084151468</c:v>
                </c:pt>
                <c:pt idx="40">
                  <c:v>586.90660365958706</c:v>
                </c:pt>
                <c:pt idx="41">
                  <c:v>611.80633905863328</c:v>
                </c:pt>
                <c:pt idx="42">
                  <c:v>585.19709962290267</c:v>
                </c:pt>
                <c:pt idx="43">
                  <c:v>606.5157348680159</c:v>
                </c:pt>
                <c:pt idx="44">
                  <c:v>613.65063220380557</c:v>
                </c:pt>
                <c:pt idx="45">
                  <c:v>642.52717779307113</c:v>
                </c:pt>
                <c:pt idx="46">
                  <c:v>685.26813722757493</c:v>
                </c:pt>
                <c:pt idx="47">
                  <c:v>724.20674276649333</c:v>
                </c:pt>
                <c:pt idx="48">
                  <c:v>747.77170207353583</c:v>
                </c:pt>
                <c:pt idx="49">
                  <c:v>758.48702754391934</c:v>
                </c:pt>
                <c:pt idx="50">
                  <c:v>782.72335437721381</c:v>
                </c:pt>
                <c:pt idx="51">
                  <c:v>764.29339142332901</c:v>
                </c:pt>
                <c:pt idx="52">
                  <c:v>702.05206199816519</c:v>
                </c:pt>
                <c:pt idx="53">
                  <c:v>683.36493222567356</c:v>
                </c:pt>
                <c:pt idx="54">
                  <c:v>693.27910127898576</c:v>
                </c:pt>
                <c:pt idx="55">
                  <c:v>722.11043544764493</c:v>
                </c:pt>
                <c:pt idx="56">
                  <c:v>732.76520002572329</c:v>
                </c:pt>
                <c:pt idx="57">
                  <c:v>734.20227653074232</c:v>
                </c:pt>
                <c:pt idx="58">
                  <c:v>732.87804678575969</c:v>
                </c:pt>
                <c:pt idx="59">
                  <c:v>580.19957827977782</c:v>
                </c:pt>
                <c:pt idx="60">
                  <c:v>475.00638017569997</c:v>
                </c:pt>
                <c:pt idx="61">
                  <c:v>412.74249621938975</c:v>
                </c:pt>
                <c:pt idx="62">
                  <c:v>411.99691913133182</c:v>
                </c:pt>
                <c:pt idx="63">
                  <c:v>429.29033473944435</c:v>
                </c:pt>
                <c:pt idx="64">
                  <c:v>441.37114096832931</c:v>
                </c:pt>
                <c:pt idx="65">
                  <c:v>441.49330842982431</c:v>
                </c:pt>
                <c:pt idx="66">
                  <c:v>465.42539604567662</c:v>
                </c:pt>
                <c:pt idx="67">
                  <c:v>545.00788861598687</c:v>
                </c:pt>
                <c:pt idx="68">
                  <c:v>588.3060564701409</c:v>
                </c:pt>
                <c:pt idx="69">
                  <c:v>636.15024476454937</c:v>
                </c:pt>
                <c:pt idx="70">
                  <c:v>706.20383566759222</c:v>
                </c:pt>
                <c:pt idx="71">
                  <c:v>719.97515200746693</c:v>
                </c:pt>
                <c:pt idx="72">
                  <c:v>694.03406636050818</c:v>
                </c:pt>
                <c:pt idx="73">
                  <c:v>710.09617322617783</c:v>
                </c:pt>
                <c:pt idx="74">
                  <c:v>732.42911517461675</c:v>
                </c:pt>
                <c:pt idx="75">
                  <c:v>744.16899983492533</c:v>
                </c:pt>
                <c:pt idx="76">
                  <c:v>749.5996261327</c:v>
                </c:pt>
                <c:pt idx="77">
                  <c:v>778.70129771787356</c:v>
                </c:pt>
                <c:pt idx="78">
                  <c:v>788.24895420125563</c:v>
                </c:pt>
                <c:pt idx="79">
                  <c:v>741.12463397043939</c:v>
                </c:pt>
                <c:pt idx="80">
                  <c:v>703.23623058530598</c:v>
                </c:pt>
                <c:pt idx="81">
                  <c:v>722.77280570485709</c:v>
                </c:pt>
                <c:pt idx="82">
                  <c:v>763.32448199669989</c:v>
                </c:pt>
                <c:pt idx="83">
                  <c:v>732.69194369884485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D-4CAF-A050-5828F4FA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304"/>
        <c:axId val="3111824"/>
      </c:lineChart>
      <c:dateAx>
        <c:axId val="31123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824"/>
        <c:crosses val="autoZero"/>
        <c:auto val="1"/>
        <c:lblOffset val="100"/>
        <c:baseTimeUnit val="days"/>
      </c:dateAx>
      <c:valAx>
        <c:axId val="31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</xdr:colOff>
      <xdr:row>2</xdr:row>
      <xdr:rowOff>82556</xdr:rowOff>
    </xdr:from>
    <xdr:to>
      <xdr:col>18</xdr:col>
      <xdr:colOff>285750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9A7A8-A02D-10AA-3EE2-E892C9A14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606425</xdr:colOff>
      <xdr:row>16</xdr:row>
      <xdr:rowOff>6356</xdr:rowOff>
    </xdr:from>
    <xdr:to>
      <xdr:col>19</xdr:col>
      <xdr:colOff>301625</xdr:colOff>
      <xdr:row>30</xdr:row>
      <xdr:rowOff>171456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0A2F2A-1813-8CD5-1C34-62BEBF077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530225</xdr:colOff>
      <xdr:row>0</xdr:row>
      <xdr:rowOff>63500</xdr:rowOff>
    </xdr:from>
    <xdr:to>
      <xdr:col>17</xdr:col>
      <xdr:colOff>225425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97225-E81E-78C3-E122-E94572C63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606425</xdr:colOff>
      <xdr:row>7</xdr:row>
      <xdr:rowOff>139700</xdr:rowOff>
    </xdr:from>
    <xdr:to>
      <xdr:col>15</xdr:col>
      <xdr:colOff>301625</xdr:colOff>
      <xdr:row>22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AD862-276B-F747-4982-ED43F6489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8</xdr:row>
      <xdr:rowOff>6350</xdr:rowOff>
    </xdr:from>
    <xdr:to>
      <xdr:col>15</xdr:col>
      <xdr:colOff>307975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D32B9-F21A-5EA9-A902-FD471F9E2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22225</xdr:colOff>
      <xdr:row>7</xdr:row>
      <xdr:rowOff>127000</xdr:rowOff>
    </xdr:from>
    <xdr:to>
      <xdr:col>14</xdr:col>
      <xdr:colOff>327025</xdr:colOff>
      <xdr:row>22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C3059-23AD-EA5B-C29D-024E53E44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9</xdr:row>
      <xdr:rowOff>6350</xdr:rowOff>
    </xdr:from>
    <xdr:to>
      <xdr:col>15</xdr:col>
      <xdr:colOff>307975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2E278-B48C-C3C6-22A7-7F679A68E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447675</xdr:colOff>
      <xdr:row>9</xdr:row>
      <xdr:rowOff>152400</xdr:rowOff>
    </xdr:from>
    <xdr:to>
      <xdr:col>16</xdr:col>
      <xdr:colOff>219075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56D98-A1FE-8E54-E597-8FCF8D12F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593725</xdr:colOff>
      <xdr:row>6</xdr:row>
      <xdr:rowOff>82550</xdr:rowOff>
    </xdr:from>
    <xdr:to>
      <xdr:col>14</xdr:col>
      <xdr:colOff>288925</xdr:colOff>
      <xdr:row>21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4F7B4-FA07-4ED1-BB1D-B5E137888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593725</xdr:colOff>
      <xdr:row>6</xdr:row>
      <xdr:rowOff>82550</xdr:rowOff>
    </xdr:from>
    <xdr:to>
      <xdr:col>14</xdr:col>
      <xdr:colOff>288925</xdr:colOff>
      <xdr:row>21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789B4-CEA9-429C-9C3F-46B0FEFAD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593725</xdr:colOff>
      <xdr:row>6</xdr:row>
      <xdr:rowOff>82550</xdr:rowOff>
    </xdr:from>
    <xdr:to>
      <xdr:col>14</xdr:col>
      <xdr:colOff>288925</xdr:colOff>
      <xdr:row>21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CFCE4-A0F7-4013-AB72-07A807DCA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593725</xdr:colOff>
      <xdr:row>6</xdr:row>
      <xdr:rowOff>82550</xdr:rowOff>
    </xdr:from>
    <xdr:to>
      <xdr:col>14</xdr:col>
      <xdr:colOff>288925</xdr:colOff>
      <xdr:row>21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A9DECC-6F4F-473D-97F9-49B40A42C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593725</xdr:colOff>
      <xdr:row>6</xdr:row>
      <xdr:rowOff>82550</xdr:rowOff>
    </xdr:from>
    <xdr:to>
      <xdr:col>14</xdr:col>
      <xdr:colOff>288925</xdr:colOff>
      <xdr:row>21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0055E-57B1-75FD-494C-D11AC280E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ta" refreshedDate="45132.652602083333" createdVersion="8" refreshedVersion="8" minRefreshableVersion="3" recordCount="1732" xr:uid="{560A0CEE-5877-47CE-A302-D2F97BF7733B}">
  <cacheSource type="worksheet">
    <worksheetSource ref="A1:B1733" sheet="SMA_3year"/>
  </cacheSource>
  <cacheFields count="5">
    <cacheField name="date " numFmtId="164">
      <sharedItems containsSemiMixedTypes="0" containsNonDate="0" containsDate="1" containsString="0" minDate="2015-04-01T00:00:00" maxDate="2022-03-31T00:00:00" count="1732">
        <d v="2015-04-01T00:00:00"/>
        <d v="2015-04-06T00:00:00"/>
        <d v="2015-04-07T00:00:00"/>
        <d v="2015-04-08T00:00:00"/>
        <d v="2015-04-09T00:00:00"/>
        <d v="2015-04-10T00:00:00"/>
        <d v="2015-04-13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8T00:00:00"/>
        <d v="2015-09-21T00:00:00"/>
        <d v="2015-09-22T00:00:00"/>
        <d v="2015-09-23T00:00:00"/>
        <d v="2015-09-24T00:00:00"/>
        <d v="2015-09-28T00:00:00"/>
        <d v="2015-09-29T00:00:00"/>
        <d v="2015-09-30T00:00:00"/>
        <d v="2015-10-01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6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8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0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6T00:00:00"/>
        <d v="2016-09-07T00:00:00"/>
        <d v="2016-09-08T00:00:00"/>
        <d v="2016-09-09T00:00:00"/>
        <d v="2016-09-12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0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6T00:00:00"/>
        <d v="2016-12-27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6T00:00:00"/>
        <d v="2018-08-17T00:00:00"/>
        <d v="2018-08-20T00:00:00"/>
        <d v="2018-08-21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4T00:00:00"/>
        <d v="2018-09-17T00:00:00"/>
        <d v="2018-09-18T00:00:00"/>
        <d v="2018-09-19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8T00:00:00"/>
        <d v="2019-04-22T00:00:00"/>
        <d v="2019-04-23T00:00:00"/>
        <d v="2019-04-24T00:00:00"/>
        <d v="2019-04-25T00:00:00"/>
        <d v="2019-04-26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3T00:00:00"/>
        <d v="2019-08-14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3T00:00:00"/>
        <d v="2019-09-04T00:00:00"/>
        <d v="2019-09-05T00:00:00"/>
        <d v="2019-09-06T00:00:00"/>
        <d v="2019-09-09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3T00:00:00"/>
        <d v="2019-10-04T00:00:00"/>
        <d v="2019-10-07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2T00:00:00"/>
        <d v="2019-10-23T00:00:00"/>
        <d v="2019-10-24T00:00:00"/>
        <d v="2019-10-25T00:00:00"/>
        <d v="2019-10-27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3T00:00:00"/>
        <d v="2020-04-07T00:00:00"/>
        <d v="2020-04-08T00:00:00"/>
        <d v="2020-04-09T00:00:00"/>
        <d v="2020-04-13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4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5T00:00:00"/>
        <d v="2021-04-16T00:00:00"/>
        <d v="2021-04-19T00:00:00"/>
        <d v="2021-04-20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</sharedItems>
      <fieldGroup par="4"/>
    </cacheField>
    <cacheField name="y" numFmtId="0">
      <sharedItems containsSemiMixedTypes="0" containsString="0" containsNumber="1" minValue="303.14999999999998" maxValue="845.1"/>
    </cacheField>
    <cacheField name="Months (date )" numFmtId="0" databaseField="0">
      <fieldGroup base="0">
        <rangePr groupBy="months" startDate="2015-04-01T00:00:00" endDate="2022-03-31T00:00:00"/>
        <groupItems count="14">
          <s v="&lt;4/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22"/>
        </groupItems>
      </fieldGroup>
    </cacheField>
    <cacheField name="Quarters (date )" numFmtId="0" databaseField="0">
      <fieldGroup base="0">
        <rangePr groupBy="quarters" startDate="2015-04-01T00:00:00" endDate="2022-03-31T00:00:00"/>
        <groupItems count="6">
          <s v="&lt;4/1/2015"/>
          <s v="Qtr1"/>
          <s v="Qtr2"/>
          <s v="Qtr3"/>
          <s v="Qtr4"/>
          <s v="&gt;3/31/2022"/>
        </groupItems>
      </fieldGroup>
    </cacheField>
    <cacheField name="Years (date )" numFmtId="0" databaseField="0">
      <fieldGroup base="0">
        <rangePr groupBy="years" startDate="2015-04-01T00:00:00" endDate="2022-03-31T00:00:00"/>
        <groupItems count="10">
          <s v="&lt;4/1/2015"/>
          <s v="2015"/>
          <s v="2016"/>
          <s v="2017"/>
          <s v="2018"/>
          <s v="2019"/>
          <s v="2020"/>
          <s v="2021"/>
          <s v="2022"/>
          <s v="&gt;3/3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2">
  <r>
    <x v="0"/>
    <n v="569.65"/>
  </r>
  <r>
    <x v="1"/>
    <n v="569.04999999999995"/>
  </r>
  <r>
    <x v="2"/>
    <n v="557.85"/>
  </r>
  <r>
    <x v="3"/>
    <n v="555.9"/>
  </r>
  <r>
    <x v="4"/>
    <n v="572.15"/>
  </r>
  <r>
    <x v="5"/>
    <n v="568.04999999999995"/>
  </r>
  <r>
    <x v="6"/>
    <n v="566"/>
  </r>
  <r>
    <x v="7"/>
    <n v="550.20000000000005"/>
  </r>
  <r>
    <x v="8"/>
    <n v="550.79999999999995"/>
  </r>
  <r>
    <x v="9"/>
    <n v="533.70000000000005"/>
  </r>
  <r>
    <x v="10"/>
    <n v="518.25"/>
  </r>
  <r>
    <x v="11"/>
    <n v="523.20000000000005"/>
  </r>
  <r>
    <x v="12"/>
    <n v="540.1"/>
  </r>
  <r>
    <x v="13"/>
    <n v="538.20000000000005"/>
  </r>
  <r>
    <x v="14"/>
    <n v="527.25"/>
  </r>
  <r>
    <x v="15"/>
    <n v="524.20000000000005"/>
  </r>
  <r>
    <x v="16"/>
    <n v="535"/>
  </r>
  <r>
    <x v="17"/>
    <n v="551.95000000000005"/>
  </r>
  <r>
    <x v="18"/>
    <n v="567.79999999999995"/>
  </r>
  <r>
    <x v="19"/>
    <n v="568.35"/>
  </r>
  <r>
    <x v="20"/>
    <n v="565.85"/>
  </r>
  <r>
    <x v="21"/>
    <n v="543.29999999999995"/>
  </r>
  <r>
    <x v="22"/>
    <n v="527.35"/>
  </r>
  <r>
    <x v="23"/>
    <n v="540.79999999999995"/>
  </r>
  <r>
    <x v="24"/>
    <n v="551.1"/>
  </r>
  <r>
    <x v="25"/>
    <n v="532.35"/>
  </r>
  <r>
    <x v="26"/>
    <n v="558.5"/>
  </r>
  <r>
    <x v="27"/>
    <n v="555.85"/>
  </r>
  <r>
    <x v="28"/>
    <n v="562.04999999999995"/>
  </r>
  <r>
    <x v="29"/>
    <n v="567.5"/>
  </r>
  <r>
    <x v="30"/>
    <n v="561.45000000000005"/>
  </r>
  <r>
    <x v="31"/>
    <n v="558.25"/>
  </r>
  <r>
    <x v="32"/>
    <n v="570.45000000000005"/>
  </r>
  <r>
    <x v="33"/>
    <n v="568.65"/>
  </r>
  <r>
    <x v="34"/>
    <n v="562.1"/>
  </r>
  <r>
    <x v="35"/>
    <n v="564.25"/>
  </r>
  <r>
    <x v="36"/>
    <n v="577.79999999999995"/>
  </r>
  <r>
    <x v="37"/>
    <n v="574.65"/>
  </r>
  <r>
    <x v="38"/>
    <n v="585.4"/>
  </r>
  <r>
    <x v="39"/>
    <n v="578.45000000000005"/>
  </r>
  <r>
    <x v="40"/>
    <n v="553.1"/>
  </r>
  <r>
    <x v="41"/>
    <n v="550.9"/>
  </r>
  <r>
    <x v="42"/>
    <n v="556.4"/>
  </r>
  <r>
    <x v="43"/>
    <n v="548.4"/>
  </r>
  <r>
    <x v="44"/>
    <n v="553.6"/>
  </r>
  <r>
    <x v="45"/>
    <n v="558.70000000000005"/>
  </r>
  <r>
    <x v="46"/>
    <n v="564.5"/>
  </r>
  <r>
    <x v="47"/>
    <n v="546.75"/>
  </r>
  <r>
    <x v="48"/>
    <n v="551.45000000000005"/>
  </r>
  <r>
    <x v="49"/>
    <n v="550.04999999999995"/>
  </r>
  <r>
    <x v="50"/>
    <n v="551.15"/>
  </r>
  <r>
    <x v="51"/>
    <n v="549.25"/>
  </r>
  <r>
    <x v="52"/>
    <n v="550.04999999999995"/>
  </r>
  <r>
    <x v="53"/>
    <n v="551.54999999999995"/>
  </r>
  <r>
    <x v="54"/>
    <n v="572.15"/>
  </r>
  <r>
    <x v="55"/>
    <n v="571.29999999999995"/>
  </r>
  <r>
    <x v="56"/>
    <n v="571.5"/>
  </r>
  <r>
    <x v="57"/>
    <n v="570.04999999999995"/>
  </r>
  <r>
    <x v="58"/>
    <n v="565.5"/>
  </r>
  <r>
    <x v="59"/>
    <n v="562.70000000000005"/>
  </r>
  <r>
    <x v="60"/>
    <n v="558.95000000000005"/>
  </r>
  <r>
    <x v="61"/>
    <n v="578.65"/>
  </r>
  <r>
    <x v="62"/>
    <n v="584"/>
  </r>
  <r>
    <x v="63"/>
    <n v="585.95000000000005"/>
  </r>
  <r>
    <x v="64"/>
    <n v="584.20000000000005"/>
  </r>
  <r>
    <x v="65"/>
    <n v="586.20000000000005"/>
  </r>
  <r>
    <x v="66"/>
    <n v="576.65"/>
  </r>
  <r>
    <x v="67"/>
    <n v="571.70000000000005"/>
  </r>
  <r>
    <x v="68"/>
    <n v="578.1"/>
  </r>
  <r>
    <x v="69"/>
    <n v="581.95000000000005"/>
  </r>
  <r>
    <x v="70"/>
    <n v="583.9"/>
  </r>
  <r>
    <x v="71"/>
    <n v="584"/>
  </r>
  <r>
    <x v="72"/>
    <n v="608.65"/>
  </r>
  <r>
    <x v="73"/>
    <n v="602.1"/>
  </r>
  <r>
    <x v="74"/>
    <n v="599.9"/>
  </r>
  <r>
    <x v="75"/>
    <n v="584.65"/>
  </r>
  <r>
    <x v="76"/>
    <n v="589.85"/>
  </r>
  <r>
    <x v="77"/>
    <n v="583.75"/>
  </r>
  <r>
    <x v="78"/>
    <n v="580.45000000000005"/>
  </r>
  <r>
    <x v="79"/>
    <n v="555.79999999999995"/>
  </r>
  <r>
    <x v="80"/>
    <n v="561.25"/>
  </r>
  <r>
    <x v="81"/>
    <n v="567.20000000000005"/>
  </r>
  <r>
    <x v="82"/>
    <n v="565.70000000000005"/>
  </r>
  <r>
    <x v="83"/>
    <n v="573.5"/>
  </r>
  <r>
    <x v="84"/>
    <n v="576.70000000000005"/>
  </r>
  <r>
    <x v="85"/>
    <n v="580.1"/>
  </r>
  <r>
    <x v="86"/>
    <n v="580.4"/>
  </r>
  <r>
    <x v="87"/>
    <n v="584.75"/>
  </r>
  <r>
    <x v="88"/>
    <n v="580.29999999999995"/>
  </r>
  <r>
    <x v="89"/>
    <n v="575.9"/>
  </r>
  <r>
    <x v="90"/>
    <n v="571.25"/>
  </r>
  <r>
    <x v="91"/>
    <n v="557.85"/>
  </r>
  <r>
    <x v="92"/>
    <n v="567.54999999999995"/>
  </r>
  <r>
    <x v="93"/>
    <n v="570"/>
  </r>
  <r>
    <x v="94"/>
    <n v="561.4"/>
  </r>
  <r>
    <x v="95"/>
    <n v="561.35"/>
  </r>
  <r>
    <x v="96"/>
    <n v="554"/>
  </r>
  <r>
    <x v="97"/>
    <n v="533.4"/>
  </r>
  <r>
    <x v="98"/>
    <n v="525.29999999999995"/>
  </r>
  <r>
    <x v="99"/>
    <n v="482.05"/>
  </r>
  <r>
    <x v="100"/>
    <n v="502.95"/>
  </r>
  <r>
    <x v="101"/>
    <n v="495.6"/>
  </r>
  <r>
    <x v="102"/>
    <n v="509.25"/>
  </r>
  <r>
    <x v="103"/>
    <n v="508.15"/>
  </r>
  <r>
    <x v="104"/>
    <n v="507.75"/>
  </r>
  <r>
    <x v="105"/>
    <n v="480.1"/>
  </r>
  <r>
    <x v="106"/>
    <n v="466.6"/>
  </r>
  <r>
    <x v="107"/>
    <n v="486.9"/>
  </r>
  <r>
    <x v="108"/>
    <n v="468"/>
  </r>
  <r>
    <x v="109"/>
    <n v="449.85"/>
  </r>
  <r>
    <x v="110"/>
    <n v="473.9"/>
  </r>
  <r>
    <x v="111"/>
    <n v="486.25"/>
  </r>
  <r>
    <x v="112"/>
    <n v="482.6"/>
  </r>
  <r>
    <x v="113"/>
    <n v="481.25"/>
  </r>
  <r>
    <x v="114"/>
    <n v="496.2"/>
  </r>
  <r>
    <x v="115"/>
    <n v="482.75"/>
  </r>
  <r>
    <x v="116"/>
    <n v="494.25"/>
  </r>
  <r>
    <x v="117"/>
    <n v="517.45000000000005"/>
  </r>
  <r>
    <x v="118"/>
    <n v="528"/>
  </r>
  <r>
    <x v="119"/>
    <n v="509.7"/>
  </r>
  <r>
    <x v="120"/>
    <n v="511.7"/>
  </r>
  <r>
    <x v="121"/>
    <n v="513.95000000000005"/>
  </r>
  <r>
    <x v="122"/>
    <n v="506.7"/>
  </r>
  <r>
    <x v="123"/>
    <n v="504.5"/>
  </r>
  <r>
    <x v="124"/>
    <n v="495.65"/>
  </r>
  <r>
    <x v="125"/>
    <n v="496.25"/>
  </r>
  <r>
    <x v="126"/>
    <n v="513.25"/>
  </r>
  <r>
    <x v="127"/>
    <n v="506.4"/>
  </r>
  <r>
    <x v="128"/>
    <n v="496.8"/>
  </r>
  <r>
    <x v="129"/>
    <n v="491.5"/>
  </r>
  <r>
    <x v="130"/>
    <n v="490.45"/>
  </r>
  <r>
    <x v="131"/>
    <n v="487.05"/>
  </r>
  <r>
    <x v="132"/>
    <n v="490.9"/>
  </r>
  <r>
    <x v="133"/>
    <n v="495.5"/>
  </r>
  <r>
    <x v="134"/>
    <n v="498.7"/>
  </r>
  <r>
    <x v="135"/>
    <n v="504.65"/>
  </r>
  <r>
    <x v="136"/>
    <n v="506.65"/>
  </r>
  <r>
    <x v="137"/>
    <n v="509.4"/>
  </r>
  <r>
    <x v="138"/>
    <n v="511.75"/>
  </r>
  <r>
    <x v="139"/>
    <n v="525.65"/>
  </r>
  <r>
    <x v="140"/>
    <n v="521.04999999999995"/>
  </r>
  <r>
    <x v="141"/>
    <n v="521.79999999999995"/>
  </r>
  <r>
    <x v="142"/>
    <n v="482.9"/>
  </r>
  <r>
    <x v="143"/>
    <n v="468.95"/>
  </r>
  <r>
    <x v="144"/>
    <n v="475.4"/>
  </r>
  <r>
    <x v="145"/>
    <n v="478.25"/>
  </r>
  <r>
    <x v="146"/>
    <n v="474.65"/>
  </r>
  <r>
    <x v="147"/>
    <n v="472.5"/>
  </r>
  <r>
    <x v="148"/>
    <n v="463.8"/>
  </r>
  <r>
    <x v="149"/>
    <n v="465.15"/>
  </r>
  <r>
    <x v="150"/>
    <n v="464.95"/>
  </r>
  <r>
    <x v="151"/>
    <n v="468.35"/>
  </r>
  <r>
    <x v="152"/>
    <n v="480.35"/>
  </r>
  <r>
    <x v="153"/>
    <n v="484.95"/>
  </r>
  <r>
    <x v="154"/>
    <n v="481.45"/>
  </r>
  <r>
    <x v="155"/>
    <n v="475.6"/>
  </r>
  <r>
    <x v="156"/>
    <n v="463.55"/>
  </r>
  <r>
    <x v="157"/>
    <n v="463.05"/>
  </r>
  <r>
    <x v="158"/>
    <n v="459.85"/>
  </r>
  <r>
    <x v="159"/>
    <n v="462.7"/>
  </r>
  <r>
    <x v="160"/>
    <n v="463.85"/>
  </r>
  <r>
    <x v="161"/>
    <n v="465.3"/>
  </r>
  <r>
    <x v="162"/>
    <n v="471"/>
  </r>
  <r>
    <x v="163"/>
    <n v="469.15"/>
  </r>
  <r>
    <x v="164"/>
    <n v="461.6"/>
  </r>
  <r>
    <x v="165"/>
    <n v="459.5"/>
  </r>
  <r>
    <x v="166"/>
    <n v="462.5"/>
  </r>
  <r>
    <x v="167"/>
    <n v="460.5"/>
  </r>
  <r>
    <x v="168"/>
    <n v="462.3"/>
  </r>
  <r>
    <x v="169"/>
    <n v="458.8"/>
  </r>
  <r>
    <x v="170"/>
    <n v="450.6"/>
  </r>
  <r>
    <x v="171"/>
    <n v="449.95"/>
  </r>
  <r>
    <x v="172"/>
    <n v="440.65"/>
  </r>
  <r>
    <x v="173"/>
    <n v="431.35"/>
  </r>
  <r>
    <x v="174"/>
    <n v="436.1"/>
  </r>
  <r>
    <x v="175"/>
    <n v="438.15"/>
  </r>
  <r>
    <x v="176"/>
    <n v="435.55"/>
  </r>
  <r>
    <x v="177"/>
    <n v="432.55"/>
  </r>
  <r>
    <x v="178"/>
    <n v="442.35"/>
  </r>
  <r>
    <x v="179"/>
    <n v="446.7"/>
  </r>
  <r>
    <x v="180"/>
    <n v="452"/>
  </r>
  <r>
    <x v="181"/>
    <n v="450.75"/>
  </r>
  <r>
    <x v="182"/>
    <n v="455.35"/>
  </r>
  <r>
    <x v="183"/>
    <n v="458.35"/>
  </r>
  <r>
    <x v="184"/>
    <n v="455.1"/>
  </r>
  <r>
    <x v="185"/>
    <n v="449.1"/>
  </r>
  <r>
    <x v="186"/>
    <n v="449.9"/>
  </r>
  <r>
    <x v="187"/>
    <n v="438.4"/>
  </r>
  <r>
    <x v="188"/>
    <n v="436.45"/>
  </r>
  <r>
    <x v="189"/>
    <n v="430.7"/>
  </r>
  <r>
    <x v="190"/>
    <n v="409.25"/>
  </r>
  <r>
    <x v="191"/>
    <n v="413.7"/>
  </r>
  <r>
    <x v="192"/>
    <n v="417.2"/>
  </r>
  <r>
    <x v="193"/>
    <n v="406.1"/>
  </r>
  <r>
    <x v="194"/>
    <n v="406.7"/>
  </r>
  <r>
    <x v="195"/>
    <n v="390.6"/>
  </r>
  <r>
    <x v="196"/>
    <n v="374.25"/>
  </r>
  <r>
    <x v="197"/>
    <n v="373.2"/>
  </r>
  <r>
    <x v="198"/>
    <n v="393"/>
  </r>
  <r>
    <x v="199"/>
    <n v="387.6"/>
  </r>
  <r>
    <x v="200"/>
    <n v="409.15"/>
  </r>
  <r>
    <x v="201"/>
    <n v="424.15"/>
  </r>
  <r>
    <x v="202"/>
    <n v="420.85"/>
  </r>
  <r>
    <x v="203"/>
    <n v="415.4"/>
  </r>
  <r>
    <x v="204"/>
    <n v="405.65"/>
  </r>
  <r>
    <x v="205"/>
    <n v="408.4"/>
  </r>
  <r>
    <x v="206"/>
    <n v="399.3"/>
  </r>
  <r>
    <x v="207"/>
    <n v="390.9"/>
  </r>
  <r>
    <x v="208"/>
    <n v="380.55"/>
  </r>
  <r>
    <x v="209"/>
    <n v="382.75"/>
  </r>
  <r>
    <x v="210"/>
    <n v="399.55"/>
  </r>
  <r>
    <x v="211"/>
    <n v="408.55"/>
  </r>
  <r>
    <x v="212"/>
    <n v="399.9"/>
  </r>
  <r>
    <x v="213"/>
    <n v="393.6"/>
  </r>
  <r>
    <x v="214"/>
    <n v="377.2"/>
  </r>
  <r>
    <x v="215"/>
    <n v="391.1"/>
  </r>
  <r>
    <x v="216"/>
    <n v="417.65"/>
  </r>
  <r>
    <x v="217"/>
    <n v="405.8"/>
  </r>
  <r>
    <x v="218"/>
    <n v="403.1"/>
  </r>
  <r>
    <x v="219"/>
    <n v="398.05"/>
  </r>
  <r>
    <x v="220"/>
    <n v="392.5"/>
  </r>
  <r>
    <x v="221"/>
    <n v="397.15"/>
  </r>
  <r>
    <x v="222"/>
    <n v="385.15"/>
  </r>
  <r>
    <x v="223"/>
    <n v="386.65"/>
  </r>
  <r>
    <x v="224"/>
    <n v="378.2"/>
  </r>
  <r>
    <x v="225"/>
    <n v="386.35"/>
  </r>
  <r>
    <x v="226"/>
    <n v="375.75"/>
  </r>
  <r>
    <x v="227"/>
    <n v="392"/>
  </r>
  <r>
    <x v="228"/>
    <n v="407.25"/>
  </r>
  <r>
    <x v="229"/>
    <n v="417.15"/>
  </r>
  <r>
    <x v="230"/>
    <n v="416.05"/>
  </r>
  <r>
    <x v="231"/>
    <n v="411.75"/>
  </r>
  <r>
    <x v="232"/>
    <n v="416.85"/>
  </r>
  <r>
    <x v="233"/>
    <n v="413"/>
  </r>
  <r>
    <x v="234"/>
    <n v="412.8"/>
  </r>
  <r>
    <x v="235"/>
    <n v="415.45"/>
  </r>
  <r>
    <x v="236"/>
    <n v="418.85"/>
  </r>
  <r>
    <x v="237"/>
    <n v="424.6"/>
  </r>
  <r>
    <x v="238"/>
    <n v="428.15"/>
  </r>
  <r>
    <x v="239"/>
    <n v="436.1"/>
  </r>
  <r>
    <x v="240"/>
    <n v="444.5"/>
  </r>
  <r>
    <x v="241"/>
    <n v="441.25"/>
  </r>
  <r>
    <x v="242"/>
    <n v="437.5"/>
  </r>
  <r>
    <x v="243"/>
    <n v="422.9"/>
  </r>
  <r>
    <x v="244"/>
    <n v="429.45"/>
  </r>
  <r>
    <x v="245"/>
    <n v="444.25"/>
  </r>
  <r>
    <x v="246"/>
    <n v="444.15"/>
  </r>
  <r>
    <x v="247"/>
    <n v="449.9"/>
  </r>
  <r>
    <x v="248"/>
    <n v="444.75"/>
  </r>
  <r>
    <x v="249"/>
    <n v="432.6"/>
  </r>
  <r>
    <x v="250"/>
    <n v="424.65"/>
  </r>
  <r>
    <x v="251"/>
    <n v="426.65"/>
  </r>
  <r>
    <x v="252"/>
    <n v="421.6"/>
  </r>
  <r>
    <x v="253"/>
    <n v="429.8"/>
  </r>
  <r>
    <x v="254"/>
    <n v="434.05"/>
  </r>
  <r>
    <x v="255"/>
    <n v="440.5"/>
  </r>
  <r>
    <x v="256"/>
    <n v="445.25"/>
  </r>
  <r>
    <x v="257"/>
    <n v="459.1"/>
  </r>
  <r>
    <x v="258"/>
    <n v="467.95"/>
  </r>
  <r>
    <x v="259"/>
    <n v="475.85"/>
  </r>
  <r>
    <x v="260"/>
    <n v="469.9"/>
  </r>
  <r>
    <x v="261"/>
    <n v="480.2"/>
  </r>
  <r>
    <x v="262"/>
    <n v="465.5"/>
  </r>
  <r>
    <x v="263"/>
    <n v="468.05"/>
  </r>
  <r>
    <x v="264"/>
    <n v="472.4"/>
  </r>
  <r>
    <x v="265"/>
    <n v="471.8"/>
  </r>
  <r>
    <x v="266"/>
    <n v="470.55"/>
  </r>
  <r>
    <x v="267"/>
    <n v="462.45"/>
  </r>
  <r>
    <x v="268"/>
    <n v="461.05"/>
  </r>
  <r>
    <x v="269"/>
    <n v="461.45"/>
  </r>
  <r>
    <x v="270"/>
    <n v="477.1"/>
  </r>
  <r>
    <x v="271"/>
    <n v="487.95"/>
  </r>
  <r>
    <x v="272"/>
    <n v="498.2"/>
  </r>
  <r>
    <x v="273"/>
    <n v="492.55"/>
  </r>
  <r>
    <x v="274"/>
    <n v="490.65"/>
  </r>
  <r>
    <x v="275"/>
    <n v="486.45"/>
  </r>
  <r>
    <x v="276"/>
    <n v="503.35"/>
  </r>
  <r>
    <x v="277"/>
    <n v="501.1"/>
  </r>
  <r>
    <x v="278"/>
    <n v="490.5"/>
  </r>
  <r>
    <x v="279"/>
    <n v="490.6"/>
  </r>
  <r>
    <x v="280"/>
    <n v="486.5"/>
  </r>
  <r>
    <x v="281"/>
    <n v="488.95"/>
  </r>
  <r>
    <x v="282"/>
    <n v="502.15"/>
  </r>
  <r>
    <x v="283"/>
    <n v="519"/>
  </r>
  <r>
    <x v="284"/>
    <n v="512.4"/>
  </r>
  <r>
    <x v="285"/>
    <n v="513.70000000000005"/>
  </r>
  <r>
    <x v="286"/>
    <n v="515.20000000000005"/>
  </r>
  <r>
    <x v="287"/>
    <n v="511.95"/>
  </r>
  <r>
    <x v="288"/>
    <n v="524.35"/>
  </r>
  <r>
    <x v="289"/>
    <n v="542.65"/>
  </r>
  <r>
    <x v="290"/>
    <n v="532.85"/>
  </r>
  <r>
    <x v="291"/>
    <n v="534.4"/>
  </r>
  <r>
    <x v="292"/>
    <n v="539"/>
  </r>
  <r>
    <x v="293"/>
    <n v="542.6"/>
  </r>
  <r>
    <x v="294"/>
    <n v="541.04999999999995"/>
  </r>
  <r>
    <x v="295"/>
    <n v="531.15"/>
  </r>
  <r>
    <x v="296"/>
    <n v="529.65"/>
  </r>
  <r>
    <x v="297"/>
    <n v="528.79999999999995"/>
  </r>
  <r>
    <x v="298"/>
    <n v="523.45000000000005"/>
  </r>
  <r>
    <x v="299"/>
    <n v="526.9"/>
  </r>
  <r>
    <x v="300"/>
    <n v="522.45000000000005"/>
  </r>
  <r>
    <x v="301"/>
    <n v="517.4"/>
  </r>
  <r>
    <x v="302"/>
    <n v="516.20000000000005"/>
  </r>
  <r>
    <x v="303"/>
    <n v="526.4"/>
  </r>
  <r>
    <x v="304"/>
    <n v="510.5"/>
  </r>
  <r>
    <x v="305"/>
    <n v="514.45000000000005"/>
  </r>
  <r>
    <x v="306"/>
    <n v="514"/>
  </r>
  <r>
    <x v="307"/>
    <n v="517.85"/>
  </r>
  <r>
    <x v="308"/>
    <n v="533.5"/>
  </r>
  <r>
    <x v="309"/>
    <n v="542.9"/>
  </r>
  <r>
    <x v="310"/>
    <n v="543.85"/>
  </r>
  <r>
    <x v="311"/>
    <n v="539.70000000000005"/>
  </r>
  <r>
    <x v="312"/>
    <n v="542.25"/>
  </r>
  <r>
    <x v="313"/>
    <n v="546.45000000000005"/>
  </r>
  <r>
    <x v="314"/>
    <n v="544.4"/>
  </r>
  <r>
    <x v="315"/>
    <n v="561"/>
  </r>
  <r>
    <x v="316"/>
    <n v="556.85"/>
  </r>
  <r>
    <x v="317"/>
    <n v="560.25"/>
  </r>
  <r>
    <x v="318"/>
    <n v="565.04999999999995"/>
  </r>
  <r>
    <x v="319"/>
    <n v="571"/>
  </r>
  <r>
    <x v="320"/>
    <n v="565.45000000000005"/>
  </r>
  <r>
    <x v="321"/>
    <n v="558.25"/>
  </r>
  <r>
    <x v="322"/>
    <n v="538.04999999999995"/>
  </r>
  <r>
    <x v="323"/>
    <n v="537.70000000000005"/>
  </r>
  <r>
    <x v="324"/>
    <n v="538.1"/>
  </r>
  <r>
    <x v="325"/>
    <n v="553.79999999999995"/>
  </r>
  <r>
    <x v="326"/>
    <n v="548.85"/>
  </r>
  <r>
    <x v="327"/>
    <n v="543.85"/>
  </r>
  <r>
    <x v="328"/>
    <n v="546.15"/>
  </r>
  <r>
    <x v="329"/>
    <n v="550.54999999999995"/>
  </r>
  <r>
    <x v="330"/>
    <n v="549.65"/>
  </r>
  <r>
    <x v="331"/>
    <n v="549.35"/>
  </r>
  <r>
    <x v="332"/>
    <n v="547.5"/>
  </r>
  <r>
    <x v="333"/>
    <n v="567.25"/>
  </r>
  <r>
    <x v="334"/>
    <n v="571.15"/>
  </r>
  <r>
    <x v="335"/>
    <n v="574.1"/>
  </r>
  <r>
    <x v="336"/>
    <n v="567.9"/>
  </r>
  <r>
    <x v="337"/>
    <n v="569.75"/>
  </r>
  <r>
    <x v="338"/>
    <n v="591"/>
  </r>
  <r>
    <x v="339"/>
    <n v="583.29999999999995"/>
  </r>
  <r>
    <x v="340"/>
    <n v="589.5"/>
  </r>
  <r>
    <x v="341"/>
    <n v="593.15"/>
  </r>
  <r>
    <x v="342"/>
    <n v="588.54999999999995"/>
  </r>
  <r>
    <x v="343"/>
    <n v="580.25"/>
  </r>
  <r>
    <x v="344"/>
    <n v="582.5"/>
  </r>
  <r>
    <x v="345"/>
    <n v="583.4"/>
  </r>
  <r>
    <x v="346"/>
    <n v="586.54999999999995"/>
  </r>
  <r>
    <x v="347"/>
    <n v="586.4"/>
  </r>
  <r>
    <x v="348"/>
    <n v="589.15"/>
  </r>
  <r>
    <x v="349"/>
    <n v="591.15"/>
  </r>
  <r>
    <x v="350"/>
    <n v="596.85"/>
  </r>
  <r>
    <x v="351"/>
    <n v="596.65"/>
  </r>
  <r>
    <x v="352"/>
    <n v="599.20000000000005"/>
  </r>
  <r>
    <x v="353"/>
    <n v="635.9"/>
  </r>
  <r>
    <x v="354"/>
    <n v="625.1"/>
  </r>
  <r>
    <x v="355"/>
    <n v="629.35"/>
  </r>
  <r>
    <x v="356"/>
    <n v="613.1"/>
  </r>
  <r>
    <x v="357"/>
    <n v="592.1"/>
  </r>
  <r>
    <x v="358"/>
    <n v="601.79999999999995"/>
  </r>
  <r>
    <x v="359"/>
    <n v="588.75"/>
  </r>
  <r>
    <x v="360"/>
    <n v="602.20000000000005"/>
  </r>
  <r>
    <x v="361"/>
    <n v="594.35"/>
  </r>
  <r>
    <x v="362"/>
    <n v="592.95000000000005"/>
  </r>
  <r>
    <x v="363"/>
    <n v="598.9"/>
  </r>
  <r>
    <x v="364"/>
    <n v="591.79999999999995"/>
  </r>
  <r>
    <x v="365"/>
    <n v="557.45000000000005"/>
  </r>
  <r>
    <x v="366"/>
    <n v="547.4"/>
  </r>
  <r>
    <x v="367"/>
    <n v="541"/>
  </r>
  <r>
    <x v="368"/>
    <n v="549.1"/>
  </r>
  <r>
    <x v="369"/>
    <n v="539.29999999999995"/>
  </r>
  <r>
    <x v="370"/>
    <n v="541.35"/>
  </r>
  <r>
    <x v="371"/>
    <n v="550.9"/>
  </r>
  <r>
    <x v="372"/>
    <n v="546.6"/>
  </r>
  <r>
    <x v="373"/>
    <n v="535.70000000000005"/>
  </r>
  <r>
    <x v="374"/>
    <n v="530.79999999999995"/>
  </r>
  <r>
    <x v="375"/>
    <n v="533.85"/>
  </r>
  <r>
    <x v="376"/>
    <n v="531.54999999999995"/>
  </r>
  <r>
    <x v="377"/>
    <n v="518.79999999999995"/>
  </r>
  <r>
    <x v="378"/>
    <n v="520.65"/>
  </r>
  <r>
    <x v="379"/>
    <n v="519"/>
  </r>
  <r>
    <x v="380"/>
    <n v="532.45000000000005"/>
  </r>
  <r>
    <x v="381"/>
    <n v="535.54999999999995"/>
  </r>
  <r>
    <x v="382"/>
    <n v="540.04999999999995"/>
  </r>
  <r>
    <x v="383"/>
    <n v="526.1"/>
  </r>
  <r>
    <x v="384"/>
    <n v="521.54999999999995"/>
  </r>
  <r>
    <x v="385"/>
    <n v="529.1"/>
  </r>
  <r>
    <x v="386"/>
    <n v="487.55"/>
  </r>
  <r>
    <x v="387"/>
    <n v="485.65"/>
  </r>
  <r>
    <x v="388"/>
    <n v="486.9"/>
  </r>
  <r>
    <x v="389"/>
    <n v="487.7"/>
  </r>
  <r>
    <x v="390"/>
    <n v="475.8"/>
  </r>
  <r>
    <x v="391"/>
    <n v="476.8"/>
  </r>
  <r>
    <x v="392"/>
    <n v="475.85"/>
  </r>
  <r>
    <x v="393"/>
    <n v="478.7"/>
  </r>
  <r>
    <x v="394"/>
    <n v="485.4"/>
  </r>
  <r>
    <x v="395"/>
    <n v="490.85"/>
  </r>
  <r>
    <x v="396"/>
    <n v="487.55"/>
  </r>
  <r>
    <x v="397"/>
    <n v="506.95"/>
  </r>
  <r>
    <x v="398"/>
    <n v="498.75"/>
  </r>
  <r>
    <x v="399"/>
    <n v="479.3"/>
  </r>
  <r>
    <x v="400"/>
    <n v="472.7"/>
  </r>
  <r>
    <x v="401"/>
    <n v="474.1"/>
  </r>
  <r>
    <x v="402"/>
    <n v="473.45"/>
  </r>
  <r>
    <x v="403"/>
    <n v="465.7"/>
  </r>
  <r>
    <x v="404"/>
    <n v="470.75"/>
  </r>
  <r>
    <x v="405"/>
    <n v="480.5"/>
  </r>
  <r>
    <x v="406"/>
    <n v="468.2"/>
  </r>
  <r>
    <x v="407"/>
    <n v="471.2"/>
  </r>
  <r>
    <x v="408"/>
    <n v="472.9"/>
  </r>
  <r>
    <x v="409"/>
    <n v="464.65"/>
  </r>
  <r>
    <x v="410"/>
    <n v="469.85"/>
  </r>
  <r>
    <x v="411"/>
    <n v="466.05"/>
  </r>
  <r>
    <x v="412"/>
    <n v="459.95"/>
  </r>
  <r>
    <x v="413"/>
    <n v="460.75"/>
  </r>
  <r>
    <x v="414"/>
    <n v="455.95"/>
  </r>
  <r>
    <x v="415"/>
    <n v="447.1"/>
  </r>
  <r>
    <x v="416"/>
    <n v="449.35"/>
  </r>
  <r>
    <x v="417"/>
    <n v="456.4"/>
  </r>
  <r>
    <x v="418"/>
    <n v="445.1"/>
  </r>
  <r>
    <x v="419"/>
    <n v="452.95"/>
  </r>
  <r>
    <x v="420"/>
    <n v="467.2"/>
  </r>
  <r>
    <x v="421"/>
    <n v="478.1"/>
  </r>
  <r>
    <x v="422"/>
    <n v="472.8"/>
  </r>
  <r>
    <x v="423"/>
    <n v="467.6"/>
  </r>
  <r>
    <x v="424"/>
    <n v="461.65"/>
  </r>
  <r>
    <x v="425"/>
    <n v="457.7"/>
  </r>
  <r>
    <x v="426"/>
    <n v="447.55"/>
  </r>
  <r>
    <x v="427"/>
    <n v="438.1"/>
  </r>
  <r>
    <x v="428"/>
    <n v="432"/>
  </r>
  <r>
    <x v="429"/>
    <n v="437.65"/>
  </r>
  <r>
    <x v="430"/>
    <n v="440.05"/>
  </r>
  <r>
    <x v="431"/>
    <n v="444.25"/>
  </r>
  <r>
    <x v="432"/>
    <n v="449.95"/>
  </r>
  <r>
    <x v="433"/>
    <n v="447.75"/>
  </r>
  <r>
    <x v="434"/>
    <n v="455.25"/>
  </r>
  <r>
    <x v="435"/>
    <n v="453.1"/>
  </r>
  <r>
    <x v="436"/>
    <n v="458.05"/>
  </r>
  <r>
    <x v="437"/>
    <n v="455.2"/>
  </r>
  <r>
    <x v="438"/>
    <n v="452.75"/>
  </r>
  <r>
    <x v="439"/>
    <n v="447.35"/>
  </r>
  <r>
    <x v="440"/>
    <n v="453.6"/>
  </r>
  <r>
    <x v="441"/>
    <n v="455.2"/>
  </r>
  <r>
    <x v="442"/>
    <n v="472.8"/>
  </r>
  <r>
    <x v="443"/>
    <n v="477.25"/>
  </r>
  <r>
    <x v="444"/>
    <n v="487.2"/>
  </r>
  <r>
    <x v="445"/>
    <n v="488.5"/>
  </r>
  <r>
    <x v="446"/>
    <n v="483.8"/>
  </r>
  <r>
    <x v="447"/>
    <n v="450.75"/>
  </r>
  <r>
    <x v="448"/>
    <n v="445"/>
  </r>
  <r>
    <x v="449"/>
    <n v="451.25"/>
  </r>
  <r>
    <x v="450"/>
    <n v="463.55"/>
  </r>
  <r>
    <x v="451"/>
    <n v="472.85"/>
  </r>
  <r>
    <x v="452"/>
    <n v="471.9"/>
  </r>
  <r>
    <x v="453"/>
    <n v="466"/>
  </r>
  <r>
    <x v="454"/>
    <n v="475.65"/>
  </r>
  <r>
    <x v="455"/>
    <n v="482.55"/>
  </r>
  <r>
    <x v="456"/>
    <n v="490.7"/>
  </r>
  <r>
    <x v="457"/>
    <n v="498.3"/>
  </r>
  <r>
    <x v="458"/>
    <n v="493.4"/>
  </r>
  <r>
    <x v="459"/>
    <n v="487.6"/>
  </r>
  <r>
    <x v="460"/>
    <n v="485.25"/>
  </r>
  <r>
    <x v="461"/>
    <n v="488.9"/>
  </r>
  <r>
    <x v="462"/>
    <n v="490.3"/>
  </r>
  <r>
    <x v="463"/>
    <n v="486.9"/>
  </r>
  <r>
    <x v="464"/>
    <n v="488.2"/>
  </r>
  <r>
    <x v="465"/>
    <n v="493.15"/>
  </r>
  <r>
    <x v="466"/>
    <n v="489.1"/>
  </r>
  <r>
    <x v="467"/>
    <n v="481.05"/>
  </r>
  <r>
    <x v="468"/>
    <n v="504.35"/>
  </r>
  <r>
    <x v="469"/>
    <n v="525.29999999999995"/>
  </r>
  <r>
    <x v="470"/>
    <n v="528.15"/>
  </r>
  <r>
    <x v="471"/>
    <n v="508.95"/>
  </r>
  <r>
    <x v="472"/>
    <n v="506.65"/>
  </r>
  <r>
    <x v="473"/>
    <n v="513.4"/>
  </r>
  <r>
    <x v="474"/>
    <n v="506.3"/>
  </r>
  <r>
    <x v="475"/>
    <n v="512.9"/>
  </r>
  <r>
    <x v="476"/>
    <n v="518.65"/>
  </r>
  <r>
    <x v="477"/>
    <n v="511.8"/>
  </r>
  <r>
    <x v="478"/>
    <n v="510.15"/>
  </r>
  <r>
    <x v="479"/>
    <n v="516.4"/>
  </r>
  <r>
    <x v="480"/>
    <n v="515.9"/>
  </r>
  <r>
    <x v="481"/>
    <n v="510.9"/>
  </r>
  <r>
    <x v="482"/>
    <n v="511.7"/>
  </r>
  <r>
    <x v="483"/>
    <n v="513.65"/>
  </r>
  <r>
    <x v="484"/>
    <n v="517.15"/>
  </r>
  <r>
    <x v="485"/>
    <n v="502.85"/>
  </r>
  <r>
    <x v="486"/>
    <n v="488.3"/>
  </r>
  <r>
    <x v="487"/>
    <n v="485.45"/>
  </r>
  <r>
    <x v="488"/>
    <n v="488.25"/>
  </r>
  <r>
    <x v="489"/>
    <n v="489.35"/>
  </r>
  <r>
    <x v="490"/>
    <n v="487.15"/>
  </r>
  <r>
    <x v="491"/>
    <n v="502.8"/>
  </r>
  <r>
    <x v="492"/>
    <n v="504.2"/>
  </r>
  <r>
    <x v="493"/>
    <n v="499.25"/>
  </r>
  <r>
    <x v="494"/>
    <n v="490.8"/>
  </r>
  <r>
    <x v="495"/>
    <n v="500.6"/>
  </r>
  <r>
    <x v="496"/>
    <n v="508.3"/>
  </r>
  <r>
    <x v="497"/>
    <n v="508.7"/>
  </r>
  <r>
    <x v="498"/>
    <n v="504.2"/>
  </r>
  <r>
    <x v="499"/>
    <n v="510.75"/>
  </r>
  <r>
    <x v="500"/>
    <n v="515.04999999999995"/>
  </r>
  <r>
    <x v="501"/>
    <n v="506"/>
  </r>
  <r>
    <x v="502"/>
    <n v="507.55"/>
  </r>
  <r>
    <x v="503"/>
    <n v="502.35"/>
  </r>
  <r>
    <x v="504"/>
    <n v="499.65"/>
  </r>
  <r>
    <x v="505"/>
    <n v="499.5"/>
  </r>
  <r>
    <x v="506"/>
    <n v="488"/>
  </r>
  <r>
    <x v="507"/>
    <n v="486.25"/>
  </r>
  <r>
    <x v="508"/>
    <n v="498.65"/>
  </r>
  <r>
    <x v="509"/>
    <n v="516.4"/>
  </r>
  <r>
    <x v="510"/>
    <n v="517.15"/>
  </r>
  <r>
    <x v="511"/>
    <n v="506.6"/>
  </r>
  <r>
    <x v="512"/>
    <n v="509.65"/>
  </r>
  <r>
    <x v="513"/>
    <n v="505.55"/>
  </r>
  <r>
    <x v="514"/>
    <n v="500.85"/>
  </r>
  <r>
    <x v="515"/>
    <n v="518.85"/>
  </r>
  <r>
    <x v="516"/>
    <n v="504.5"/>
  </r>
  <r>
    <x v="517"/>
    <n v="511.2"/>
  </r>
  <r>
    <x v="518"/>
    <n v="518.20000000000005"/>
  </r>
  <r>
    <x v="519"/>
    <n v="526.35"/>
  </r>
  <r>
    <x v="520"/>
    <n v="516.9"/>
  </r>
  <r>
    <x v="521"/>
    <n v="503"/>
  </r>
  <r>
    <x v="522"/>
    <n v="500.1"/>
  </r>
  <r>
    <x v="523"/>
    <n v="501.5"/>
  </r>
  <r>
    <x v="524"/>
    <n v="502.8"/>
  </r>
  <r>
    <x v="525"/>
    <n v="492"/>
  </r>
  <r>
    <x v="526"/>
    <n v="501.7"/>
  </r>
  <r>
    <x v="527"/>
    <n v="502.3"/>
  </r>
  <r>
    <x v="528"/>
    <n v="500.6"/>
  </r>
  <r>
    <x v="529"/>
    <n v="499.3"/>
  </r>
  <r>
    <x v="530"/>
    <n v="507.45"/>
  </r>
  <r>
    <x v="531"/>
    <n v="511.45"/>
  </r>
  <r>
    <x v="532"/>
    <n v="507.25"/>
  </r>
  <r>
    <x v="533"/>
    <n v="514.4"/>
  </r>
  <r>
    <x v="534"/>
    <n v="514.04999999999995"/>
  </r>
  <r>
    <x v="535"/>
    <n v="509.3"/>
  </r>
  <r>
    <x v="536"/>
    <n v="508.05"/>
  </r>
  <r>
    <x v="537"/>
    <n v="513.65"/>
  </r>
  <r>
    <x v="538"/>
    <n v="510.2"/>
  </r>
  <r>
    <x v="539"/>
    <n v="514.20000000000005"/>
  </r>
  <r>
    <x v="540"/>
    <n v="515.75"/>
  </r>
  <r>
    <x v="541"/>
    <n v="513.65"/>
  </r>
  <r>
    <x v="542"/>
    <n v="507.5"/>
  </r>
  <r>
    <x v="543"/>
    <n v="506.45"/>
  </r>
  <r>
    <x v="544"/>
    <n v="509.5"/>
  </r>
  <r>
    <x v="545"/>
    <n v="507.6"/>
  </r>
  <r>
    <x v="546"/>
    <n v="510.45"/>
  </r>
  <r>
    <x v="547"/>
    <n v="520.15"/>
  </r>
  <r>
    <x v="548"/>
    <n v="511.85"/>
  </r>
  <r>
    <x v="549"/>
    <n v="507.75"/>
  </r>
  <r>
    <x v="550"/>
    <n v="508"/>
  </r>
  <r>
    <x v="551"/>
    <n v="504.65"/>
  </r>
  <r>
    <x v="552"/>
    <n v="492.85"/>
  </r>
  <r>
    <x v="553"/>
    <n v="492"/>
  </r>
  <r>
    <x v="554"/>
    <n v="512.1"/>
  </r>
  <r>
    <x v="555"/>
    <n v="517.35"/>
  </r>
  <r>
    <x v="556"/>
    <n v="517.25"/>
  </r>
  <r>
    <x v="557"/>
    <n v="508.4"/>
  </r>
  <r>
    <x v="558"/>
    <n v="513.9"/>
  </r>
  <r>
    <x v="559"/>
    <n v="509.5"/>
  </r>
  <r>
    <x v="560"/>
    <n v="503.15"/>
  </r>
  <r>
    <x v="561"/>
    <n v="509.95"/>
  </r>
  <r>
    <x v="562"/>
    <n v="506.8"/>
  </r>
  <r>
    <x v="563"/>
    <n v="506.75"/>
  </r>
  <r>
    <x v="564"/>
    <n v="511.9"/>
  </r>
  <r>
    <x v="565"/>
    <n v="512.95000000000005"/>
  </r>
  <r>
    <x v="566"/>
    <n v="510.5"/>
  </r>
  <r>
    <x v="567"/>
    <n v="516.54999999999995"/>
  </r>
  <r>
    <x v="568"/>
    <n v="520.20000000000005"/>
  </r>
  <r>
    <x v="569"/>
    <n v="540"/>
  </r>
  <r>
    <x v="570"/>
    <n v="540.79999999999995"/>
  </r>
  <r>
    <x v="571"/>
    <n v="534.79999999999995"/>
  </r>
  <r>
    <x v="572"/>
    <n v="544.95000000000005"/>
  </r>
  <r>
    <x v="573"/>
    <n v="528.85"/>
  </r>
  <r>
    <x v="574"/>
    <n v="524.65"/>
  </r>
  <r>
    <x v="575"/>
    <n v="515.1"/>
  </r>
  <r>
    <x v="576"/>
    <n v="519.79999999999995"/>
  </r>
  <r>
    <x v="577"/>
    <n v="516.54999999999995"/>
  </r>
  <r>
    <x v="578"/>
    <n v="516.9"/>
  </r>
  <r>
    <x v="579"/>
    <n v="506"/>
  </r>
  <r>
    <x v="580"/>
    <n v="508.1"/>
  </r>
  <r>
    <x v="581"/>
    <n v="505.8"/>
  </r>
  <r>
    <x v="582"/>
    <n v="499.45"/>
  </r>
  <r>
    <x v="583"/>
    <n v="486.95"/>
  </r>
  <r>
    <x v="584"/>
    <n v="485.5"/>
  </r>
  <r>
    <x v="585"/>
    <n v="489.7"/>
  </r>
  <r>
    <x v="586"/>
    <n v="491.75"/>
  </r>
  <r>
    <x v="587"/>
    <n v="499.5"/>
  </r>
  <r>
    <x v="588"/>
    <n v="497.15"/>
  </r>
  <r>
    <x v="589"/>
    <n v="490.4"/>
  </r>
  <r>
    <x v="590"/>
    <n v="494.8"/>
  </r>
  <r>
    <x v="591"/>
    <n v="499.2"/>
  </r>
  <r>
    <x v="592"/>
    <n v="502.65"/>
  </r>
  <r>
    <x v="593"/>
    <n v="506.85"/>
  </r>
  <r>
    <x v="594"/>
    <n v="510.6"/>
  </r>
  <r>
    <x v="595"/>
    <n v="503.6"/>
  </r>
  <r>
    <x v="596"/>
    <n v="503.9"/>
  </r>
  <r>
    <x v="597"/>
    <n v="500.35"/>
  </r>
  <r>
    <x v="598"/>
    <n v="507.55"/>
  </r>
  <r>
    <x v="599"/>
    <n v="501.75"/>
  </r>
  <r>
    <x v="600"/>
    <n v="503.4"/>
  </r>
  <r>
    <x v="601"/>
    <n v="492.85"/>
  </r>
  <r>
    <x v="602"/>
    <n v="496.6"/>
  </r>
  <r>
    <x v="603"/>
    <n v="494"/>
  </r>
  <r>
    <x v="604"/>
    <n v="493.9"/>
  </r>
  <r>
    <x v="605"/>
    <n v="496.5"/>
  </r>
  <r>
    <x v="606"/>
    <n v="499.3"/>
  </r>
  <r>
    <x v="607"/>
    <n v="519.75"/>
  </r>
  <r>
    <x v="608"/>
    <n v="516.15"/>
  </r>
  <r>
    <x v="609"/>
    <n v="524.54999999999995"/>
  </r>
  <r>
    <x v="610"/>
    <n v="520.75"/>
  </r>
  <r>
    <x v="611"/>
    <n v="519.45000000000005"/>
  </r>
  <r>
    <x v="612"/>
    <n v="512.54999999999995"/>
  </r>
  <r>
    <x v="613"/>
    <n v="505.3"/>
  </r>
  <r>
    <x v="614"/>
    <n v="501.7"/>
  </r>
  <r>
    <x v="615"/>
    <n v="511.95"/>
  </r>
  <r>
    <x v="616"/>
    <n v="506.3"/>
  </r>
  <r>
    <x v="617"/>
    <n v="511.8"/>
  </r>
  <r>
    <x v="618"/>
    <n v="509.15"/>
  </r>
  <r>
    <x v="619"/>
    <n v="509.65"/>
  </r>
  <r>
    <x v="620"/>
    <n v="505.95"/>
  </r>
  <r>
    <x v="621"/>
    <n v="501.2"/>
  </r>
  <r>
    <x v="622"/>
    <n v="503.35"/>
  </r>
  <r>
    <x v="623"/>
    <n v="505.95"/>
  </r>
  <r>
    <x v="624"/>
    <n v="514.54999999999995"/>
  </r>
  <r>
    <x v="625"/>
    <n v="515.75"/>
  </r>
  <r>
    <x v="626"/>
    <n v="525.1"/>
  </r>
  <r>
    <x v="627"/>
    <n v="529.45000000000005"/>
  </r>
  <r>
    <x v="628"/>
    <n v="520.35"/>
  </r>
  <r>
    <x v="629"/>
    <n v="513.15"/>
  </r>
  <r>
    <x v="630"/>
    <n v="464.5"/>
  </r>
  <r>
    <x v="631"/>
    <n v="460.3"/>
  </r>
  <r>
    <x v="632"/>
    <n v="449.95"/>
  </r>
  <r>
    <x v="633"/>
    <n v="451.95"/>
  </r>
  <r>
    <x v="634"/>
    <n v="473"/>
  </r>
  <r>
    <x v="635"/>
    <n v="484.3"/>
  </r>
  <r>
    <x v="636"/>
    <n v="485.95"/>
  </r>
  <r>
    <x v="637"/>
    <n v="484"/>
  </r>
  <r>
    <x v="638"/>
    <n v="523.15"/>
  </r>
  <r>
    <x v="639"/>
    <n v="535.1"/>
  </r>
  <r>
    <x v="640"/>
    <n v="532.15"/>
  </r>
  <r>
    <x v="641"/>
    <n v="540.1"/>
  </r>
  <r>
    <x v="642"/>
    <n v="534.5"/>
  </r>
  <r>
    <x v="643"/>
    <n v="527.15"/>
  </r>
  <r>
    <x v="644"/>
    <n v="544.85"/>
  </r>
  <r>
    <x v="645"/>
    <n v="540.4"/>
  </r>
  <r>
    <x v="646"/>
    <n v="544.79999999999995"/>
  </r>
  <r>
    <x v="647"/>
    <n v="537.35"/>
  </r>
  <r>
    <x v="648"/>
    <n v="545.65"/>
  </r>
  <r>
    <x v="649"/>
    <n v="542"/>
  </r>
  <r>
    <x v="650"/>
    <n v="542.6"/>
  </r>
  <r>
    <x v="651"/>
    <n v="542.4"/>
  </r>
  <r>
    <x v="652"/>
    <n v="545.15"/>
  </r>
  <r>
    <x v="653"/>
    <n v="546.79999999999995"/>
  </r>
  <r>
    <x v="654"/>
    <n v="540.5"/>
  </r>
  <r>
    <x v="655"/>
    <n v="544.15"/>
  </r>
  <r>
    <x v="656"/>
    <n v="545.5"/>
  </r>
  <r>
    <x v="657"/>
    <n v="559.4"/>
  </r>
  <r>
    <x v="658"/>
    <n v="562.54999999999995"/>
  </r>
  <r>
    <x v="659"/>
    <n v="549.5"/>
  </r>
  <r>
    <x v="660"/>
    <n v="535.4"/>
  </r>
  <r>
    <x v="661"/>
    <n v="533.85"/>
  </r>
  <r>
    <x v="662"/>
    <n v="534.95000000000005"/>
  </r>
  <r>
    <x v="663"/>
    <n v="533.15"/>
  </r>
  <r>
    <x v="664"/>
    <n v="530.5"/>
  </r>
  <r>
    <x v="665"/>
    <n v="534.04999999999995"/>
  </r>
  <r>
    <x v="666"/>
    <n v="542.5"/>
  </r>
  <r>
    <x v="667"/>
    <n v="545.1"/>
  </r>
  <r>
    <x v="668"/>
    <n v="538.6"/>
  </r>
  <r>
    <x v="669"/>
    <n v="535.75"/>
  </r>
  <r>
    <x v="670"/>
    <n v="541.45000000000005"/>
  </r>
  <r>
    <x v="671"/>
    <n v="547.95000000000005"/>
  </r>
  <r>
    <x v="672"/>
    <n v="548.65"/>
  </r>
  <r>
    <x v="673"/>
    <n v="553.65"/>
  </r>
  <r>
    <x v="674"/>
    <n v="554.5"/>
  </r>
  <r>
    <x v="675"/>
    <n v="548.95000000000005"/>
  </r>
  <r>
    <x v="676"/>
    <n v="553.6"/>
  </r>
  <r>
    <x v="677"/>
    <n v="555"/>
  </r>
  <r>
    <x v="678"/>
    <n v="554.6"/>
  </r>
  <r>
    <x v="679"/>
    <n v="546.85"/>
  </r>
  <r>
    <x v="680"/>
    <n v="563.95000000000005"/>
  </r>
  <r>
    <x v="681"/>
    <n v="565.5"/>
  </r>
  <r>
    <x v="682"/>
    <n v="559.5"/>
  </r>
  <r>
    <x v="683"/>
    <n v="560.45000000000005"/>
  </r>
  <r>
    <x v="684"/>
    <n v="559.9"/>
  </r>
  <r>
    <x v="685"/>
    <n v="563.25"/>
  </r>
  <r>
    <x v="686"/>
    <n v="565.45000000000005"/>
  </r>
  <r>
    <x v="687"/>
    <n v="565.29999999999995"/>
  </r>
  <r>
    <x v="688"/>
    <n v="562.79999999999995"/>
  </r>
  <r>
    <x v="689"/>
    <n v="558.75"/>
  </r>
  <r>
    <x v="690"/>
    <n v="555.1"/>
  </r>
  <r>
    <x v="691"/>
    <n v="560.54999999999995"/>
  </r>
  <r>
    <x v="692"/>
    <n v="563.20000000000005"/>
  </r>
  <r>
    <x v="693"/>
    <n v="585.20000000000005"/>
  </r>
  <r>
    <x v="694"/>
    <n v="584.79999999999995"/>
  </r>
  <r>
    <x v="695"/>
    <n v="590.25"/>
  </r>
  <r>
    <x v="696"/>
    <n v="611.54999999999995"/>
  </r>
  <r>
    <x v="697"/>
    <n v="620.1"/>
  </r>
  <r>
    <x v="698"/>
    <n v="607.95000000000005"/>
  </r>
  <r>
    <x v="699"/>
    <n v="616.1"/>
  </r>
  <r>
    <x v="700"/>
    <n v="605.54999999999995"/>
  </r>
  <r>
    <x v="701"/>
    <n v="593.75"/>
  </r>
  <r>
    <x v="702"/>
    <n v="593.6"/>
  </r>
  <r>
    <x v="703"/>
    <n v="592.79999999999995"/>
  </r>
  <r>
    <x v="704"/>
    <n v="564.9"/>
  </r>
  <r>
    <x v="705"/>
    <n v="566.25"/>
  </r>
  <r>
    <x v="706"/>
    <n v="563.70000000000005"/>
  </r>
  <r>
    <x v="707"/>
    <n v="559.35"/>
  </r>
  <r>
    <x v="708"/>
    <n v="568.45000000000005"/>
  </r>
  <r>
    <x v="709"/>
    <n v="557.54999999999995"/>
  </r>
  <r>
    <x v="710"/>
    <n v="564.20000000000005"/>
  </r>
  <r>
    <x v="711"/>
    <n v="543.9"/>
  </r>
  <r>
    <x v="712"/>
    <n v="543.70000000000005"/>
  </r>
  <r>
    <x v="713"/>
    <n v="537.85"/>
  </r>
  <r>
    <x v="714"/>
    <n v="540.54999999999995"/>
  </r>
  <r>
    <x v="715"/>
    <n v="531.70000000000005"/>
  </r>
  <r>
    <x v="716"/>
    <n v="535.79999999999995"/>
  </r>
  <r>
    <x v="717"/>
    <n v="530.25"/>
  </r>
  <r>
    <x v="718"/>
    <n v="536.65"/>
  </r>
  <r>
    <x v="719"/>
    <n v="552.29999999999995"/>
  </r>
  <r>
    <x v="720"/>
    <n v="538.4"/>
  </r>
  <r>
    <x v="721"/>
    <n v="528.75"/>
  </r>
  <r>
    <x v="722"/>
    <n v="525.75"/>
  </r>
  <r>
    <x v="723"/>
    <n v="524.54999999999995"/>
  </r>
  <r>
    <x v="724"/>
    <n v="517.35"/>
  </r>
  <r>
    <x v="725"/>
    <n v="512.65"/>
  </r>
  <r>
    <x v="726"/>
    <n v="520.54999999999995"/>
  </r>
  <r>
    <x v="727"/>
    <n v="505.35"/>
  </r>
  <r>
    <x v="728"/>
    <n v="519.20000000000005"/>
  </r>
  <r>
    <x v="729"/>
    <n v="531.5"/>
  </r>
  <r>
    <x v="730"/>
    <n v="536.15"/>
  </r>
  <r>
    <x v="731"/>
    <n v="529.65"/>
  </r>
  <r>
    <x v="732"/>
    <n v="522.6"/>
  </r>
  <r>
    <x v="733"/>
    <n v="519.45000000000005"/>
  </r>
  <r>
    <x v="734"/>
    <n v="521.1"/>
  </r>
  <r>
    <x v="735"/>
    <n v="526.29999999999995"/>
  </r>
  <r>
    <x v="736"/>
    <n v="518.20000000000005"/>
  </r>
  <r>
    <x v="737"/>
    <n v="499.5"/>
  </r>
  <r>
    <x v="738"/>
    <n v="507.3"/>
  </r>
  <r>
    <x v="739"/>
    <n v="512.20000000000005"/>
  </r>
  <r>
    <x v="740"/>
    <n v="510.5"/>
  </r>
  <r>
    <x v="741"/>
    <n v="499.05"/>
  </r>
  <r>
    <x v="742"/>
    <n v="501.55"/>
  </r>
  <r>
    <x v="743"/>
    <n v="492.25"/>
  </r>
  <r>
    <x v="744"/>
    <n v="503.1"/>
  </r>
  <r>
    <x v="745"/>
    <n v="500.2"/>
  </r>
  <r>
    <x v="746"/>
    <n v="519.29999999999995"/>
  </r>
  <r>
    <x v="747"/>
    <n v="546.15"/>
  </r>
  <r>
    <x v="748"/>
    <n v="539.79999999999995"/>
  </r>
  <r>
    <x v="749"/>
    <n v="548.75"/>
  </r>
  <r>
    <x v="750"/>
    <n v="542.54999999999995"/>
  </r>
  <r>
    <x v="751"/>
    <n v="542.4"/>
  </r>
  <r>
    <x v="752"/>
    <n v="532.4"/>
  </r>
  <r>
    <x v="753"/>
    <n v="518.25"/>
  </r>
  <r>
    <x v="754"/>
    <n v="512.9"/>
  </r>
  <r>
    <x v="755"/>
    <n v="505.7"/>
  </r>
  <r>
    <x v="756"/>
    <n v="506.2"/>
  </r>
  <r>
    <x v="757"/>
    <n v="504.85"/>
  </r>
  <r>
    <x v="758"/>
    <n v="498.4"/>
  </r>
  <r>
    <x v="759"/>
    <n v="493.75"/>
  </r>
  <r>
    <x v="760"/>
    <n v="539.20000000000005"/>
  </r>
  <r>
    <x v="761"/>
    <n v="517.29999999999995"/>
  </r>
  <r>
    <x v="762"/>
    <n v="523.75"/>
  </r>
  <r>
    <x v="763"/>
    <n v="533.4"/>
  </r>
  <r>
    <x v="764"/>
    <n v="520.29999999999995"/>
  </r>
  <r>
    <x v="765"/>
    <n v="536.1"/>
  </r>
  <r>
    <x v="766"/>
    <n v="542.25"/>
  </r>
  <r>
    <x v="767"/>
    <n v="548.5"/>
  </r>
  <r>
    <x v="768"/>
    <n v="547.65"/>
  </r>
  <r>
    <x v="769"/>
    <n v="553.29999999999995"/>
  </r>
  <r>
    <x v="770"/>
    <n v="551.9"/>
  </r>
  <r>
    <x v="771"/>
    <n v="549.70000000000005"/>
  </r>
  <r>
    <x v="772"/>
    <n v="550"/>
  </r>
  <r>
    <x v="773"/>
    <n v="539.45000000000005"/>
  </r>
  <r>
    <x v="774"/>
    <n v="532.9"/>
  </r>
  <r>
    <x v="775"/>
    <n v="526.85"/>
  </r>
  <r>
    <x v="776"/>
    <n v="523.29999999999995"/>
  </r>
  <r>
    <x v="777"/>
    <n v="520.25"/>
  </r>
  <r>
    <x v="778"/>
    <n v="534.45000000000005"/>
  </r>
  <r>
    <x v="779"/>
    <n v="538.5"/>
  </r>
  <r>
    <x v="780"/>
    <n v="546.15"/>
  </r>
  <r>
    <x v="781"/>
    <n v="547.75"/>
  </r>
  <r>
    <x v="782"/>
    <n v="541.65"/>
  </r>
  <r>
    <x v="783"/>
    <n v="545.9"/>
  </r>
  <r>
    <x v="784"/>
    <n v="536.65"/>
  </r>
  <r>
    <x v="785"/>
    <n v="537.04999999999995"/>
  </r>
  <r>
    <x v="786"/>
    <n v="530.9"/>
  </r>
  <r>
    <x v="787"/>
    <n v="531.4"/>
  </r>
  <r>
    <x v="788"/>
    <n v="542.4"/>
  </r>
  <r>
    <x v="789"/>
    <n v="537.4"/>
  </r>
  <r>
    <x v="790"/>
    <n v="539.95000000000005"/>
  </r>
  <r>
    <x v="791"/>
    <n v="537.15"/>
  </r>
  <r>
    <x v="792"/>
    <n v="540.65"/>
  </r>
  <r>
    <x v="793"/>
    <n v="532"/>
  </r>
  <r>
    <x v="794"/>
    <n v="528.75"/>
  </r>
  <r>
    <x v="795"/>
    <n v="522.54999999999995"/>
  </r>
  <r>
    <x v="796"/>
    <n v="517.20000000000005"/>
  </r>
  <r>
    <x v="797"/>
    <n v="519.1"/>
  </r>
  <r>
    <x v="798"/>
    <n v="513.04999999999995"/>
  </r>
  <r>
    <x v="799"/>
    <n v="525.65"/>
  </r>
  <r>
    <x v="800"/>
    <n v="515.20000000000005"/>
  </r>
  <r>
    <x v="801"/>
    <n v="514.20000000000005"/>
  </r>
  <r>
    <x v="802"/>
    <n v="507.85"/>
  </r>
  <r>
    <x v="803"/>
    <n v="504.6"/>
  </r>
  <r>
    <x v="804"/>
    <n v="510.8"/>
  </r>
  <r>
    <x v="805"/>
    <n v="512.25"/>
  </r>
  <r>
    <x v="806"/>
    <n v="511.55"/>
  </r>
  <r>
    <x v="807"/>
    <n v="514.75"/>
  </r>
  <r>
    <x v="808"/>
    <n v="511"/>
  </r>
  <r>
    <x v="809"/>
    <n v="513.70000000000005"/>
  </r>
  <r>
    <x v="810"/>
    <n v="525.25"/>
  </r>
  <r>
    <x v="811"/>
    <n v="532.54999999999995"/>
  </r>
  <r>
    <x v="812"/>
    <n v="536.54999999999995"/>
  </r>
  <r>
    <x v="813"/>
    <n v="538.35"/>
  </r>
  <r>
    <x v="814"/>
    <n v="523"/>
  </r>
  <r>
    <x v="815"/>
    <n v="522.1"/>
  </r>
  <r>
    <x v="816"/>
    <n v="537.9"/>
  </r>
  <r>
    <x v="817"/>
    <n v="526.54999999999995"/>
  </r>
  <r>
    <x v="818"/>
    <n v="526.79999999999995"/>
  </r>
  <r>
    <x v="819"/>
    <n v="533.70000000000005"/>
  </r>
  <r>
    <x v="820"/>
    <n v="540.35"/>
  </r>
  <r>
    <x v="821"/>
    <n v="546.1"/>
  </r>
  <r>
    <x v="822"/>
    <n v="532.25"/>
  </r>
  <r>
    <x v="823"/>
    <n v="541.65"/>
  </r>
  <r>
    <x v="824"/>
    <n v="553.25"/>
  </r>
  <r>
    <x v="825"/>
    <n v="569.65"/>
  </r>
  <r>
    <x v="826"/>
    <n v="550.4"/>
  </r>
  <r>
    <x v="827"/>
    <n v="545.15"/>
  </r>
  <r>
    <x v="828"/>
    <n v="547.25"/>
  </r>
  <r>
    <x v="829"/>
    <n v="574.75"/>
  </r>
  <r>
    <x v="830"/>
    <n v="596.79999999999995"/>
  </r>
  <r>
    <x v="831"/>
    <n v="593.04999999999995"/>
  </r>
  <r>
    <x v="832"/>
    <n v="596.29999999999995"/>
  </r>
  <r>
    <x v="833"/>
    <n v="621.04999999999995"/>
  </r>
  <r>
    <x v="834"/>
    <n v="615.5"/>
  </r>
  <r>
    <x v="835"/>
    <n v="604.9"/>
  </r>
  <r>
    <x v="836"/>
    <n v="618.04999999999995"/>
  </r>
  <r>
    <x v="837"/>
    <n v="623.45000000000005"/>
  </r>
  <r>
    <x v="838"/>
    <n v="627.29999999999995"/>
  </r>
  <r>
    <x v="839"/>
    <n v="624.4"/>
  </r>
  <r>
    <x v="840"/>
    <n v="635.75"/>
  </r>
  <r>
    <x v="841"/>
    <n v="631.75"/>
  </r>
  <r>
    <x v="842"/>
    <n v="639.9"/>
  </r>
  <r>
    <x v="843"/>
    <n v="650.20000000000005"/>
  </r>
  <r>
    <x v="844"/>
    <n v="660.05"/>
  </r>
  <r>
    <x v="845"/>
    <n v="656.9"/>
  </r>
  <r>
    <x v="846"/>
    <n v="649.75"/>
  </r>
  <r>
    <x v="847"/>
    <n v="649.25"/>
  </r>
  <r>
    <x v="848"/>
    <n v="631.79999999999995"/>
  </r>
  <r>
    <x v="849"/>
    <n v="641.79999999999995"/>
  </r>
  <r>
    <x v="850"/>
    <n v="637.65"/>
  </r>
  <r>
    <x v="851"/>
    <n v="638.20000000000005"/>
  </r>
  <r>
    <x v="852"/>
    <n v="645.54999999999995"/>
  </r>
  <r>
    <x v="853"/>
    <n v="651.75"/>
  </r>
  <r>
    <x v="854"/>
    <n v="650.15"/>
  </r>
  <r>
    <x v="855"/>
    <n v="635.45000000000005"/>
  </r>
  <r>
    <x v="856"/>
    <n v="636.4"/>
  </r>
  <r>
    <x v="857"/>
    <n v="625.95000000000005"/>
  </r>
  <r>
    <x v="858"/>
    <n v="608.6"/>
  </r>
  <r>
    <x v="859"/>
    <n v="608.79999999999995"/>
  </r>
  <r>
    <x v="860"/>
    <n v="599.20000000000005"/>
  </r>
  <r>
    <x v="861"/>
    <n v="597.35"/>
  </r>
  <r>
    <x v="862"/>
    <n v="614.35"/>
  </r>
  <r>
    <x v="863"/>
    <n v="617.45000000000005"/>
  </r>
  <r>
    <x v="864"/>
    <n v="600.15"/>
  </r>
  <r>
    <x v="865"/>
    <n v="613.25"/>
  </r>
  <r>
    <x v="866"/>
    <n v="593.45000000000005"/>
  </r>
  <r>
    <x v="867"/>
    <n v="572.25"/>
  </r>
  <r>
    <x v="868"/>
    <n v="586.25"/>
  </r>
  <r>
    <x v="869"/>
    <n v="568.5"/>
  </r>
  <r>
    <x v="870"/>
    <n v="556.54999999999995"/>
  </r>
  <r>
    <x v="871"/>
    <n v="552.85"/>
  </r>
  <r>
    <x v="872"/>
    <n v="589.20000000000005"/>
  </r>
  <r>
    <x v="873"/>
    <n v="580.85"/>
  </r>
  <r>
    <x v="874"/>
    <n v="584.9"/>
  </r>
  <r>
    <x v="875"/>
    <n v="576.54999999999995"/>
  </r>
  <r>
    <x v="876"/>
    <n v="588.85"/>
  </r>
  <r>
    <x v="877"/>
    <n v="576.04999999999995"/>
  </r>
  <r>
    <x v="878"/>
    <n v="562.54999999999995"/>
  </r>
  <r>
    <x v="879"/>
    <n v="562.04999999999995"/>
  </r>
  <r>
    <x v="880"/>
    <n v="562.75"/>
  </r>
  <r>
    <x v="881"/>
    <n v="564.1"/>
  </r>
  <r>
    <x v="882"/>
    <n v="561.04999999999995"/>
  </r>
  <r>
    <x v="883"/>
    <n v="537.70000000000005"/>
  </r>
  <r>
    <x v="884"/>
    <n v="566.70000000000005"/>
  </r>
  <r>
    <x v="885"/>
    <n v="562.70000000000005"/>
  </r>
  <r>
    <x v="886"/>
    <n v="582.4"/>
  </r>
  <r>
    <x v="887"/>
    <n v="602.15"/>
  </r>
  <r>
    <x v="888"/>
    <n v="610.65"/>
  </r>
  <r>
    <x v="889"/>
    <n v="624.4"/>
  </r>
  <r>
    <x v="890"/>
    <n v="607.45000000000005"/>
  </r>
  <r>
    <x v="891"/>
    <n v="606.85"/>
  </r>
  <r>
    <x v="892"/>
    <n v="613.20000000000005"/>
  </r>
  <r>
    <x v="893"/>
    <n v="606.54999999999995"/>
  </r>
  <r>
    <x v="894"/>
    <n v="618.29999999999995"/>
  </r>
  <r>
    <x v="895"/>
    <n v="612.70000000000005"/>
  </r>
  <r>
    <x v="896"/>
    <n v="626.1"/>
  </r>
  <r>
    <x v="897"/>
    <n v="619.79999999999995"/>
  </r>
  <r>
    <x v="898"/>
    <n v="616.29999999999995"/>
  </r>
  <r>
    <x v="899"/>
    <n v="612.65"/>
  </r>
  <r>
    <x v="900"/>
    <n v="626.85"/>
  </r>
  <r>
    <x v="901"/>
    <n v="614.54999999999995"/>
  </r>
  <r>
    <x v="902"/>
    <n v="631.04999999999995"/>
  </r>
  <r>
    <x v="903"/>
    <n v="625.25"/>
  </r>
  <r>
    <x v="904"/>
    <n v="627.95000000000005"/>
  </r>
  <r>
    <x v="905"/>
    <n v="631.4"/>
  </r>
  <r>
    <x v="906"/>
    <n v="625.75"/>
  </r>
  <r>
    <x v="907"/>
    <n v="624.79999999999995"/>
  </r>
  <r>
    <x v="908"/>
    <n v="623.25"/>
  </r>
  <r>
    <x v="909"/>
    <n v="614.95000000000005"/>
  </r>
  <r>
    <x v="910"/>
    <n v="600.04999999999995"/>
  </r>
  <r>
    <x v="911"/>
    <n v="603.95000000000005"/>
  </r>
  <r>
    <x v="912"/>
    <n v="590.29999999999995"/>
  </r>
  <r>
    <x v="913"/>
    <n v="604.25"/>
  </r>
  <r>
    <x v="914"/>
    <n v="619.95000000000005"/>
  </r>
  <r>
    <x v="915"/>
    <n v="619.1"/>
  </r>
  <r>
    <x v="916"/>
    <n v="620.25"/>
  </r>
  <r>
    <x v="917"/>
    <n v="617.15"/>
  </r>
  <r>
    <x v="918"/>
    <n v="619.4"/>
  </r>
  <r>
    <x v="919"/>
    <n v="641.65"/>
  </r>
  <r>
    <x v="920"/>
    <n v="632.95000000000005"/>
  </r>
  <r>
    <x v="921"/>
    <n v="620.85"/>
  </r>
  <r>
    <x v="922"/>
    <n v="615"/>
  </r>
  <r>
    <x v="923"/>
    <n v="619.5"/>
  </r>
  <r>
    <x v="924"/>
    <n v="617.54999999999995"/>
  </r>
  <r>
    <x v="925"/>
    <n v="625.04999999999995"/>
  </r>
  <r>
    <x v="926"/>
    <n v="619.9"/>
  </r>
  <r>
    <x v="927"/>
    <n v="627.29999999999995"/>
  </r>
  <r>
    <x v="928"/>
    <n v="620.04999999999995"/>
  </r>
  <r>
    <x v="929"/>
    <n v="607.95000000000005"/>
  </r>
  <r>
    <x v="930"/>
    <n v="619.6"/>
  </r>
  <r>
    <x v="931"/>
    <n v="637.45000000000005"/>
  </r>
  <r>
    <x v="932"/>
    <n v="650.9"/>
  </r>
  <r>
    <x v="933"/>
    <n v="670.1"/>
  </r>
  <r>
    <x v="934"/>
    <n v="663.25"/>
  </r>
  <r>
    <x v="935"/>
    <n v="666.5"/>
  </r>
  <r>
    <x v="936"/>
    <n v="659.2"/>
  </r>
  <r>
    <x v="937"/>
    <n v="660.6"/>
  </r>
  <r>
    <x v="938"/>
    <n v="664"/>
  </r>
  <r>
    <x v="939"/>
    <n v="676.65"/>
  </r>
  <r>
    <x v="940"/>
    <n v="664.6"/>
  </r>
  <r>
    <x v="941"/>
    <n v="660.3"/>
  </r>
  <r>
    <x v="942"/>
    <n v="661.6"/>
  </r>
  <r>
    <x v="943"/>
    <n v="661.6"/>
  </r>
  <r>
    <x v="944"/>
    <n v="663.65"/>
  </r>
  <r>
    <x v="945"/>
    <n v="669.75"/>
  </r>
  <r>
    <x v="946"/>
    <n v="656.3"/>
  </r>
  <r>
    <x v="947"/>
    <n v="660.75"/>
  </r>
  <r>
    <x v="948"/>
    <n v="690.95"/>
  </r>
  <r>
    <x v="949"/>
    <n v="722.7"/>
  </r>
  <r>
    <x v="950"/>
    <n v="717.25"/>
  </r>
  <r>
    <x v="951"/>
    <n v="720.5"/>
  </r>
  <r>
    <x v="952"/>
    <n v="729.5"/>
  </r>
  <r>
    <x v="953"/>
    <n v="725.75"/>
  </r>
  <r>
    <x v="954"/>
    <n v="730.15"/>
  </r>
  <r>
    <x v="955"/>
    <n v="719.4"/>
  </r>
  <r>
    <x v="956"/>
    <n v="710.85"/>
  </r>
  <r>
    <x v="957"/>
    <n v="705.6"/>
  </r>
  <r>
    <x v="958"/>
    <n v="697.5"/>
  </r>
  <r>
    <x v="959"/>
    <n v="695"/>
  </r>
  <r>
    <x v="960"/>
    <n v="686.6"/>
  </r>
  <r>
    <x v="961"/>
    <n v="693.3"/>
  </r>
  <r>
    <x v="962"/>
    <n v="693.05"/>
  </r>
  <r>
    <x v="963"/>
    <n v="700.35"/>
  </r>
  <r>
    <x v="964"/>
    <n v="697.2"/>
  </r>
  <r>
    <x v="965"/>
    <n v="702.05"/>
  </r>
  <r>
    <x v="966"/>
    <n v="703.7"/>
  </r>
  <r>
    <x v="967"/>
    <n v="710.15"/>
  </r>
  <r>
    <x v="968"/>
    <n v="718.2"/>
  </r>
  <r>
    <x v="969"/>
    <n v="709.55"/>
  </r>
  <r>
    <x v="970"/>
    <n v="702.4"/>
  </r>
  <r>
    <x v="971"/>
    <n v="732.05"/>
  </r>
  <r>
    <x v="972"/>
    <n v="720.6"/>
  </r>
  <r>
    <x v="973"/>
    <n v="733.75"/>
  </r>
  <r>
    <x v="974"/>
    <n v="733.4"/>
  </r>
  <r>
    <x v="975"/>
    <n v="734.5"/>
  </r>
  <r>
    <x v="976"/>
    <n v="742.55"/>
  </r>
  <r>
    <x v="977"/>
    <n v="738"/>
  </r>
  <r>
    <x v="978"/>
    <n v="740.6"/>
  </r>
  <r>
    <x v="979"/>
    <n v="735.1"/>
  </r>
  <r>
    <x v="980"/>
    <n v="751.6"/>
  </r>
  <r>
    <x v="981"/>
    <n v="760.9"/>
  </r>
  <r>
    <x v="982"/>
    <n v="755.75"/>
  </r>
  <r>
    <x v="983"/>
    <n v="757.05"/>
  </r>
  <r>
    <x v="984"/>
    <n v="745.7"/>
  </r>
  <r>
    <x v="985"/>
    <n v="757.1"/>
  </r>
  <r>
    <x v="986"/>
    <n v="759.3"/>
  </r>
  <r>
    <x v="987"/>
    <n v="780.7"/>
  </r>
  <r>
    <x v="988"/>
    <n v="777.25"/>
  </r>
  <r>
    <x v="989"/>
    <n v="765.6"/>
  </r>
  <r>
    <x v="990"/>
    <n v="767.4"/>
  </r>
  <r>
    <x v="991"/>
    <n v="761.5"/>
  </r>
  <r>
    <x v="992"/>
    <n v="762.15"/>
  </r>
  <r>
    <x v="993"/>
    <n v="762.2"/>
  </r>
  <r>
    <x v="994"/>
    <n v="754.6"/>
  </r>
  <r>
    <x v="995"/>
    <n v="763.4"/>
  </r>
  <r>
    <x v="996"/>
    <n v="760.85"/>
  </r>
  <r>
    <x v="997"/>
    <n v="752.3"/>
  </r>
  <r>
    <x v="998"/>
    <n v="764.35"/>
  </r>
  <r>
    <x v="999"/>
    <n v="762.85"/>
  </r>
  <r>
    <x v="1000"/>
    <n v="771.1"/>
  </r>
  <r>
    <x v="1001"/>
    <n v="771.2"/>
  </r>
  <r>
    <x v="1002"/>
    <n v="755.5"/>
  </r>
  <r>
    <x v="1003"/>
    <n v="753.25"/>
  </r>
  <r>
    <x v="1004"/>
    <n v="752.85"/>
  </r>
  <r>
    <x v="1005"/>
    <n v="740.9"/>
  </r>
  <r>
    <x v="1006"/>
    <n v="759.9"/>
  </r>
  <r>
    <x v="1007"/>
    <n v="766.85"/>
  </r>
  <r>
    <x v="1008"/>
    <n v="752.35"/>
  </r>
  <r>
    <x v="1009"/>
    <n v="757.3"/>
  </r>
  <r>
    <x v="1010"/>
    <n v="747.45"/>
  </r>
  <r>
    <x v="1011"/>
    <n v="741.85"/>
  </r>
  <r>
    <x v="1012"/>
    <n v="735.5"/>
  </r>
  <r>
    <x v="1013"/>
    <n v="731"/>
  </r>
  <r>
    <x v="1014"/>
    <n v="735.05"/>
  </r>
  <r>
    <x v="1015"/>
    <n v="732.1"/>
  </r>
  <r>
    <x v="1016"/>
    <n v="731.35"/>
  </r>
  <r>
    <x v="1017"/>
    <n v="721.95"/>
  </r>
  <r>
    <x v="1018"/>
    <n v="731.85"/>
  </r>
  <r>
    <x v="1019"/>
    <n v="748.95"/>
  </r>
  <r>
    <x v="1020"/>
    <n v="782.4"/>
  </r>
  <r>
    <x v="1021"/>
    <n v="772.95"/>
  </r>
  <r>
    <x v="1022"/>
    <n v="779.15"/>
  </r>
  <r>
    <x v="1023"/>
    <n v="776.4"/>
  </r>
  <r>
    <x v="1024"/>
    <n v="793.2"/>
  </r>
  <r>
    <x v="1025"/>
    <n v="813.9"/>
  </r>
  <r>
    <x v="1026"/>
    <n v="808.4"/>
  </r>
  <r>
    <x v="1027"/>
    <n v="804.7"/>
  </r>
  <r>
    <x v="1028"/>
    <n v="807.55"/>
  </r>
  <r>
    <x v="1029"/>
    <n v="808.3"/>
  </r>
  <r>
    <x v="1030"/>
    <n v="812.65"/>
  </r>
  <r>
    <x v="1031"/>
    <n v="822.8"/>
  </r>
  <r>
    <x v="1032"/>
    <n v="807.7"/>
  </r>
  <r>
    <x v="1033"/>
    <n v="804"/>
  </r>
  <r>
    <x v="1034"/>
    <n v="814.15"/>
  </r>
  <r>
    <x v="1035"/>
    <n v="814.8"/>
  </r>
  <r>
    <x v="1036"/>
    <n v="813.55"/>
  </r>
  <r>
    <x v="1037"/>
    <n v="820.15"/>
  </r>
  <r>
    <x v="1038"/>
    <n v="801.2"/>
  </r>
  <r>
    <x v="1039"/>
    <n v="777.7"/>
  </r>
  <r>
    <x v="1040"/>
    <n v="775.75"/>
  </r>
  <r>
    <x v="1041"/>
    <n v="770.7"/>
  </r>
  <r>
    <x v="1042"/>
    <n v="771.4"/>
  </r>
  <r>
    <x v="1043"/>
    <n v="771.05"/>
  </r>
  <r>
    <x v="1044"/>
    <n v="762.85"/>
  </r>
  <r>
    <x v="1045"/>
    <n v="781.65"/>
  </r>
  <r>
    <x v="1046"/>
    <n v="788.6"/>
  </r>
  <r>
    <x v="1047"/>
    <n v="800.45"/>
  </r>
  <r>
    <x v="1048"/>
    <n v="808.55"/>
  </r>
  <r>
    <x v="1049"/>
    <n v="810.45"/>
  </r>
  <r>
    <x v="1050"/>
    <n v="802.6"/>
  </r>
  <r>
    <x v="1051"/>
    <n v="806.2"/>
  </r>
  <r>
    <x v="1052"/>
    <n v="808.85"/>
  </r>
  <r>
    <x v="1053"/>
    <n v="806.1"/>
  </r>
  <r>
    <x v="1054"/>
    <n v="782.9"/>
  </r>
  <r>
    <x v="1055"/>
    <n v="786.2"/>
  </r>
  <r>
    <x v="1056"/>
    <n v="769.25"/>
  </r>
  <r>
    <x v="1057"/>
    <n v="766.4"/>
  </r>
  <r>
    <x v="1058"/>
    <n v="755.8"/>
  </r>
  <r>
    <x v="1059"/>
    <n v="749.75"/>
  </r>
  <r>
    <x v="1060"/>
    <n v="761.05"/>
  </r>
  <r>
    <x v="1061"/>
    <n v="752.6"/>
  </r>
  <r>
    <x v="1062"/>
    <n v="740.4"/>
  </r>
  <r>
    <x v="1063"/>
    <n v="729.25"/>
  </r>
  <r>
    <x v="1064"/>
    <n v="727.45"/>
  </r>
  <r>
    <x v="1065"/>
    <n v="728"/>
  </r>
  <r>
    <x v="1066"/>
    <n v="712.3"/>
  </r>
  <r>
    <x v="1067"/>
    <n v="723.15"/>
  </r>
  <r>
    <x v="1068"/>
    <n v="729.85"/>
  </r>
  <r>
    <x v="1069"/>
    <n v="720.25"/>
  </r>
  <r>
    <x v="1070"/>
    <n v="707.6"/>
  </r>
  <r>
    <x v="1071"/>
    <n v="674.1"/>
  </r>
  <r>
    <x v="1072"/>
    <n v="669.3"/>
  </r>
  <r>
    <x v="1073"/>
    <n v="673.85"/>
  </r>
  <r>
    <x v="1074"/>
    <n v="662.45"/>
  </r>
  <r>
    <x v="1075"/>
    <n v="679"/>
  </r>
  <r>
    <x v="1076"/>
    <n v="659.95"/>
  </r>
  <r>
    <x v="1077"/>
    <n v="660.1"/>
  </r>
  <r>
    <x v="1078"/>
    <n v="660.8"/>
  </r>
  <r>
    <x v="1079"/>
    <n v="649.45000000000005"/>
  </r>
  <r>
    <x v="1080"/>
    <n v="663.2"/>
  </r>
  <r>
    <x v="1081"/>
    <n v="675.65"/>
  </r>
  <r>
    <x v="1082"/>
    <n v="685"/>
  </r>
  <r>
    <x v="1083"/>
    <n v="672.35"/>
  </r>
  <r>
    <x v="1084"/>
    <n v="664.7"/>
  </r>
  <r>
    <x v="1085"/>
    <n v="661.15"/>
  </r>
  <r>
    <x v="1086"/>
    <n v="663.9"/>
  </r>
  <r>
    <x v="1087"/>
    <n v="683.7"/>
  </r>
  <r>
    <x v="1088"/>
    <n v="682.95"/>
  </r>
  <r>
    <x v="1089"/>
    <n v="678.2"/>
  </r>
  <r>
    <x v="1090"/>
    <n v="661.15"/>
  </r>
  <r>
    <x v="1091"/>
    <n v="663.9"/>
  </r>
  <r>
    <x v="1092"/>
    <n v="645.70000000000005"/>
  </r>
  <r>
    <x v="1093"/>
    <n v="647.29999999999995"/>
  </r>
  <r>
    <x v="1094"/>
    <n v="649.6"/>
  </r>
  <r>
    <x v="1095"/>
    <n v="671.1"/>
  </r>
  <r>
    <x v="1096"/>
    <n v="671.55"/>
  </r>
  <r>
    <x v="1097"/>
    <n v="681.7"/>
  </r>
  <r>
    <x v="1098"/>
    <n v="662.9"/>
  </r>
  <r>
    <x v="1099"/>
    <n v="674.25"/>
  </r>
  <r>
    <x v="1100"/>
    <n v="670.9"/>
  </r>
  <r>
    <x v="1101"/>
    <n v="640.45000000000005"/>
  </r>
  <r>
    <x v="1102"/>
    <n v="648.4"/>
  </r>
  <r>
    <x v="1103"/>
    <n v="638.20000000000005"/>
  </r>
  <r>
    <x v="1104"/>
    <n v="680.35"/>
  </r>
  <r>
    <x v="1105"/>
    <n v="725.5"/>
  </r>
  <r>
    <x v="1106"/>
    <n v="704.4"/>
  </r>
  <r>
    <x v="1107"/>
    <n v="694.95"/>
  </r>
  <r>
    <x v="1108"/>
    <n v="699.9"/>
  </r>
  <r>
    <x v="1109"/>
    <n v="700.6"/>
  </r>
  <r>
    <x v="1110"/>
    <n v="685"/>
  </r>
  <r>
    <x v="1111"/>
    <n v="679.15"/>
  </r>
  <r>
    <x v="1112"/>
    <n v="668.4"/>
  </r>
  <r>
    <x v="1113"/>
    <n v="656.4"/>
  </r>
  <r>
    <x v="1114"/>
    <n v="673.45"/>
  </r>
  <r>
    <x v="1115"/>
    <n v="686.3"/>
  </r>
  <r>
    <x v="1116"/>
    <n v="672.95"/>
  </r>
  <r>
    <x v="1117"/>
    <n v="672.7"/>
  </r>
  <r>
    <x v="1118"/>
    <n v="683.5"/>
  </r>
  <r>
    <x v="1119"/>
    <n v="690.05"/>
  </r>
  <r>
    <x v="1120"/>
    <n v="693.4"/>
  </r>
  <r>
    <x v="1121"/>
    <n v="710.3"/>
  </r>
  <r>
    <x v="1122"/>
    <n v="709.55"/>
  </r>
  <r>
    <x v="1123"/>
    <n v="712.75"/>
  </r>
  <r>
    <x v="1124"/>
    <n v="714.85"/>
  </r>
  <r>
    <x v="1125"/>
    <n v="707.7"/>
  </r>
  <r>
    <x v="1126"/>
    <n v="708.6"/>
  </r>
  <r>
    <x v="1127"/>
    <n v="710.1"/>
  </r>
  <r>
    <x v="1128"/>
    <n v="738.45"/>
  </r>
  <r>
    <x v="1129"/>
    <n v="747.4"/>
  </r>
  <r>
    <x v="1130"/>
    <n v="736.35"/>
  </r>
  <r>
    <x v="1131"/>
    <n v="748.3"/>
  </r>
  <r>
    <x v="1132"/>
    <n v="742.6"/>
  </r>
  <r>
    <x v="1133"/>
    <n v="738.05"/>
  </r>
  <r>
    <x v="1134"/>
    <n v="747.25"/>
  </r>
  <r>
    <x v="1135"/>
    <n v="734.75"/>
  </r>
  <r>
    <x v="1136"/>
    <n v="725.5"/>
  </r>
  <r>
    <x v="1137"/>
    <n v="733.7"/>
  </r>
  <r>
    <x v="1138"/>
    <n v="711.2"/>
  </r>
  <r>
    <x v="1139"/>
    <n v="715.9"/>
  </r>
  <r>
    <x v="1140"/>
    <n v="716.9"/>
  </r>
  <r>
    <x v="1141"/>
    <n v="722.95"/>
  </r>
  <r>
    <x v="1142"/>
    <n v="747.8"/>
  </r>
  <r>
    <x v="1143"/>
    <n v="748.75"/>
  </r>
  <r>
    <x v="1144"/>
    <n v="737.4"/>
  </r>
  <r>
    <x v="1145"/>
    <n v="732.1"/>
  </r>
  <r>
    <x v="1146"/>
    <n v="754.75"/>
  </r>
  <r>
    <x v="1147"/>
    <n v="752.25"/>
  </r>
  <r>
    <x v="1148"/>
    <n v="752.9"/>
  </r>
  <r>
    <x v="1149"/>
    <n v="750.6"/>
  </r>
  <r>
    <x v="1150"/>
    <n v="739.05"/>
  </r>
  <r>
    <x v="1151"/>
    <n v="744.3"/>
  </r>
  <r>
    <x v="1152"/>
    <n v="733.4"/>
  </r>
  <r>
    <x v="1153"/>
    <n v="739.85"/>
  </r>
  <r>
    <x v="1154"/>
    <n v="729.25"/>
  </r>
  <r>
    <x v="1155"/>
    <n v="717.6"/>
  </r>
  <r>
    <x v="1156"/>
    <n v="732"/>
  </r>
  <r>
    <x v="1157"/>
    <n v="715.7"/>
  </r>
  <r>
    <x v="1158"/>
    <n v="716.55"/>
  </r>
  <r>
    <x v="1159"/>
    <n v="722.1"/>
  </r>
  <r>
    <x v="1160"/>
    <n v="752"/>
  </r>
  <r>
    <x v="1161"/>
    <n v="747.25"/>
  </r>
  <r>
    <x v="1162"/>
    <n v="745.65"/>
  </r>
  <r>
    <x v="1163"/>
    <n v="741.85"/>
  </r>
  <r>
    <x v="1164"/>
    <n v="742.55"/>
  </r>
  <r>
    <x v="1165"/>
    <n v="739.85"/>
  </r>
  <r>
    <x v="1166"/>
    <n v="743.15"/>
  </r>
  <r>
    <x v="1167"/>
    <n v="740.65"/>
  </r>
  <r>
    <x v="1168"/>
    <n v="736.5"/>
  </r>
  <r>
    <x v="1169"/>
    <n v="760.15"/>
  </r>
  <r>
    <x v="1170"/>
    <n v="754.1"/>
  </r>
  <r>
    <x v="1171"/>
    <n v="754.1"/>
  </r>
  <r>
    <x v="1172"/>
    <n v="748.7"/>
  </r>
  <r>
    <x v="1173"/>
    <n v="756.95"/>
  </r>
  <r>
    <x v="1174"/>
    <n v="742.95"/>
  </r>
  <r>
    <x v="1175"/>
    <n v="723.25"/>
  </r>
  <r>
    <x v="1176"/>
    <n v="725.75"/>
  </r>
  <r>
    <x v="1177"/>
    <n v="724.5"/>
  </r>
  <r>
    <x v="1178"/>
    <n v="742.85"/>
  </r>
  <r>
    <x v="1179"/>
    <n v="740.05"/>
  </r>
  <r>
    <x v="1180"/>
    <n v="737.4"/>
  </r>
  <r>
    <x v="1181"/>
    <n v="747.9"/>
  </r>
  <r>
    <x v="1182"/>
    <n v="746.3"/>
  </r>
  <r>
    <x v="1183"/>
    <n v="737.3"/>
  </r>
  <r>
    <x v="1184"/>
    <n v="739.9"/>
  </r>
  <r>
    <x v="1185"/>
    <n v="727.2"/>
  </r>
  <r>
    <x v="1186"/>
    <n v="717.6"/>
  </r>
  <r>
    <x v="1187"/>
    <n v="712.6"/>
  </r>
  <r>
    <x v="1188"/>
    <n v="723"/>
  </r>
  <r>
    <x v="1189"/>
    <n v="737.4"/>
  </r>
  <r>
    <x v="1190"/>
    <n v="740.25"/>
  </r>
  <r>
    <x v="1191"/>
    <n v="737.15"/>
  </r>
  <r>
    <x v="1192"/>
    <n v="735.25"/>
  </r>
  <r>
    <x v="1193"/>
    <n v="730.9"/>
  </r>
  <r>
    <x v="1194"/>
    <n v="729.3"/>
  </r>
  <r>
    <x v="1195"/>
    <n v="705.45"/>
  </r>
  <r>
    <x v="1196"/>
    <n v="708.95"/>
  </r>
  <r>
    <x v="1197"/>
    <n v="715"/>
  </r>
  <r>
    <x v="1198"/>
    <n v="724.05"/>
  </r>
  <r>
    <x v="1199"/>
    <n v="736.95"/>
  </r>
  <r>
    <x v="1200"/>
    <n v="748.15"/>
  </r>
  <r>
    <x v="1201"/>
    <n v="741.1"/>
  </r>
  <r>
    <x v="1202"/>
    <n v="749.95"/>
  </r>
  <r>
    <x v="1203"/>
    <n v="755.25"/>
  </r>
  <r>
    <x v="1204"/>
    <n v="747.8"/>
  </r>
  <r>
    <x v="1205"/>
    <n v="736.5"/>
  </r>
  <r>
    <x v="1206"/>
    <n v="738.4"/>
  </r>
  <r>
    <x v="1207"/>
    <n v="733.65"/>
  </r>
  <r>
    <x v="1208"/>
    <n v="741.05"/>
  </r>
  <r>
    <x v="1209"/>
    <n v="744.3"/>
  </r>
  <r>
    <x v="1210"/>
    <n v="725.45"/>
  </r>
  <r>
    <x v="1211"/>
    <n v="728.75"/>
  </r>
  <r>
    <x v="1212"/>
    <n v="729.4"/>
  </r>
  <r>
    <x v="1213"/>
    <n v="735.85"/>
  </r>
  <r>
    <x v="1214"/>
    <n v="697.3"/>
  </r>
  <r>
    <x v="1215"/>
    <n v="684.2"/>
  </r>
  <r>
    <x v="1216"/>
    <n v="687.15"/>
  </r>
  <r>
    <x v="1217"/>
    <n v="682.2"/>
  </r>
  <r>
    <x v="1218"/>
    <n v="677.9"/>
  </r>
  <r>
    <x v="1219"/>
    <n v="657.65"/>
  </r>
  <r>
    <x v="1220"/>
    <n v="623.54999999999995"/>
  </r>
  <r>
    <x v="1221"/>
    <n v="619.35"/>
  </r>
  <r>
    <x v="1222"/>
    <n v="543.25"/>
  </r>
  <r>
    <x v="1223"/>
    <n v="568.79999999999995"/>
  </r>
  <r>
    <x v="1224"/>
    <n v="508.6"/>
  </r>
  <r>
    <x v="1225"/>
    <n v="488.35"/>
  </r>
  <r>
    <x v="1226"/>
    <n v="473.45"/>
  </r>
  <r>
    <x v="1227"/>
    <n v="428.25"/>
  </r>
  <r>
    <x v="1228"/>
    <n v="428.15"/>
  </r>
  <r>
    <x v="1229"/>
    <n v="308.64999999999998"/>
  </r>
  <r>
    <x v="1230"/>
    <n v="303.14999999999998"/>
  </r>
  <r>
    <x v="1231"/>
    <n v="326.8"/>
  </r>
  <r>
    <x v="1232"/>
    <n v="341.4"/>
  </r>
  <r>
    <x v="1233"/>
    <n v="359.75"/>
  </r>
  <r>
    <x v="1234"/>
    <n v="368.15"/>
  </r>
  <r>
    <x v="1235"/>
    <n v="379"/>
  </r>
  <r>
    <x v="1236"/>
    <n v="358.65"/>
  </r>
  <r>
    <x v="1237"/>
    <n v="325.45"/>
  </r>
  <r>
    <x v="1238"/>
    <n v="388.85"/>
  </r>
  <r>
    <x v="1239"/>
    <n v="391.35"/>
  </r>
  <r>
    <x v="1240"/>
    <n v="420.15"/>
  </r>
  <r>
    <x v="1241"/>
    <n v="418.95"/>
  </r>
  <r>
    <x v="1242"/>
    <n v="417.3"/>
  </r>
  <r>
    <x v="1243"/>
    <n v="422.55"/>
  </r>
  <r>
    <x v="1244"/>
    <n v="478.8"/>
  </r>
  <r>
    <x v="1245"/>
    <n v="455.95"/>
  </r>
  <r>
    <x v="1246"/>
    <n v="420.65"/>
  </r>
  <r>
    <x v="1247"/>
    <n v="431.15"/>
  </r>
  <r>
    <x v="1248"/>
    <n v="430.05"/>
  </r>
  <r>
    <x v="1249"/>
    <n v="403.95"/>
  </r>
  <r>
    <x v="1250"/>
    <n v="427.3"/>
  </r>
  <r>
    <x v="1251"/>
    <n v="455.45"/>
  </r>
  <r>
    <x v="1252"/>
    <n v="439.1"/>
  </r>
  <r>
    <x v="1253"/>
    <n v="444.9"/>
  </r>
  <r>
    <x v="1254"/>
    <n v="402.8"/>
  </r>
  <r>
    <x v="1255"/>
    <n v="389"/>
  </r>
  <r>
    <x v="1256"/>
    <n v="388.85"/>
  </r>
  <r>
    <x v="1257"/>
    <n v="397.35"/>
  </r>
  <r>
    <x v="1258"/>
    <n v="382.05"/>
  </r>
  <r>
    <x v="1259"/>
    <n v="379.55"/>
  </r>
  <r>
    <x v="1260"/>
    <n v="386.85"/>
  </r>
  <r>
    <x v="1261"/>
    <n v="414"/>
  </r>
  <r>
    <x v="1262"/>
    <n v="401.95"/>
  </r>
  <r>
    <x v="1263"/>
    <n v="388.55"/>
  </r>
  <r>
    <x v="1264"/>
    <n v="358.8"/>
  </r>
  <r>
    <x v="1265"/>
    <n v="354.5"/>
  </r>
  <r>
    <x v="1266"/>
    <n v="362.5"/>
  </r>
  <r>
    <x v="1267"/>
    <n v="357.2"/>
  </r>
  <r>
    <x v="1268"/>
    <n v="336.95"/>
  </r>
  <r>
    <x v="1269"/>
    <n v="341.3"/>
  </r>
  <r>
    <x v="1270"/>
    <n v="387"/>
  </r>
  <r>
    <x v="1271"/>
    <n v="390.95"/>
  </r>
  <r>
    <x v="1272"/>
    <n v="384.95"/>
  </r>
  <r>
    <x v="1273"/>
    <n v="396.95"/>
  </r>
  <r>
    <x v="1274"/>
    <n v="410.1"/>
  </r>
  <r>
    <x v="1275"/>
    <n v="409.55"/>
  </r>
  <r>
    <x v="1276"/>
    <n v="394.35"/>
  </r>
  <r>
    <x v="1277"/>
    <n v="405.3"/>
  </r>
  <r>
    <x v="1278"/>
    <n v="430.25"/>
  </r>
  <r>
    <x v="1279"/>
    <n v="420.05"/>
  </r>
  <r>
    <x v="1280"/>
    <n v="427.45"/>
  </r>
  <r>
    <x v="1281"/>
    <n v="413.45"/>
  </r>
  <r>
    <x v="1282"/>
    <n v="408"/>
  </r>
  <r>
    <x v="1283"/>
    <n v="389.6"/>
  </r>
  <r>
    <x v="1284"/>
    <n v="381.55"/>
  </r>
  <r>
    <x v="1285"/>
    <n v="389.6"/>
  </r>
  <r>
    <x v="1286"/>
    <n v="405.4"/>
  </r>
  <r>
    <x v="1287"/>
    <n v="417.05"/>
  </r>
  <r>
    <x v="1288"/>
    <n v="430.15"/>
  </r>
  <r>
    <x v="1289"/>
    <n v="443.65"/>
  </r>
  <r>
    <x v="1290"/>
    <n v="424.65"/>
  </r>
  <r>
    <x v="1291"/>
    <n v="421.7"/>
  </r>
  <r>
    <x v="1292"/>
    <n v="424.85"/>
  </r>
  <r>
    <x v="1293"/>
    <n v="404.8"/>
  </r>
  <r>
    <x v="1294"/>
    <n v="406.65"/>
  </r>
  <r>
    <x v="1295"/>
    <n v="433.25"/>
  </r>
  <r>
    <x v="1296"/>
    <n v="423.2"/>
  </r>
  <r>
    <x v="1297"/>
    <n v="428.45"/>
  </r>
  <r>
    <x v="1298"/>
    <n v="434"/>
  </r>
  <r>
    <x v="1299"/>
    <n v="447.35"/>
  </r>
  <r>
    <x v="1300"/>
    <n v="444.15"/>
  </r>
  <r>
    <x v="1301"/>
    <n v="453.75"/>
  </r>
  <r>
    <x v="1302"/>
    <n v="439.6"/>
  </r>
  <r>
    <x v="1303"/>
    <n v="440.05"/>
  </r>
  <r>
    <x v="1304"/>
    <n v="417.7"/>
  </r>
  <r>
    <x v="1305"/>
    <n v="426.65"/>
  </r>
  <r>
    <x v="1306"/>
    <n v="434"/>
  </r>
  <r>
    <x v="1307"/>
    <n v="433.1"/>
  </r>
  <r>
    <x v="1308"/>
    <n v="434"/>
  </r>
  <r>
    <x v="1309"/>
    <n v="446.2"/>
  </r>
  <r>
    <x v="1310"/>
    <n v="478.95"/>
  </r>
  <r>
    <x v="1311"/>
    <n v="460.85"/>
  </r>
  <r>
    <x v="1312"/>
    <n v="445.6"/>
  </r>
  <r>
    <x v="1313"/>
    <n v="431.55"/>
  </r>
  <r>
    <x v="1314"/>
    <n v="437.05"/>
  </r>
  <r>
    <x v="1315"/>
    <n v="440.9"/>
  </r>
  <r>
    <x v="1316"/>
    <n v="425.85"/>
  </r>
  <r>
    <x v="1317"/>
    <n v="431.65"/>
  </r>
  <r>
    <x v="1318"/>
    <n v="417.35"/>
  </r>
  <r>
    <x v="1319"/>
    <n v="429.15"/>
  </r>
  <r>
    <x v="1320"/>
    <n v="434.95"/>
  </r>
  <r>
    <x v="1321"/>
    <n v="433"/>
  </r>
  <r>
    <x v="1322"/>
    <n v="433.3"/>
  </r>
  <r>
    <x v="1323"/>
    <n v="431.1"/>
  </r>
  <r>
    <x v="1324"/>
    <n v="448"/>
  </r>
  <r>
    <x v="1325"/>
    <n v="451.1"/>
  </r>
  <r>
    <x v="1326"/>
    <n v="448.1"/>
  </r>
  <r>
    <x v="1327"/>
    <n v="435.85"/>
  </r>
  <r>
    <x v="1328"/>
    <n v="438.15"/>
  </r>
  <r>
    <x v="1329"/>
    <n v="445.8"/>
  </r>
  <r>
    <x v="1330"/>
    <n v="444.2"/>
  </r>
  <r>
    <x v="1331"/>
    <n v="434.95"/>
  </r>
  <r>
    <x v="1332"/>
    <n v="440.45"/>
  </r>
  <r>
    <x v="1333"/>
    <n v="445.8"/>
  </r>
  <r>
    <x v="1334"/>
    <n v="451.8"/>
  </r>
  <r>
    <x v="1335"/>
    <n v="463.35"/>
  </r>
  <r>
    <x v="1336"/>
    <n v="473.05"/>
  </r>
  <r>
    <x v="1337"/>
    <n v="509.2"/>
  </r>
  <r>
    <x v="1338"/>
    <n v="496.75"/>
  </r>
  <r>
    <x v="1339"/>
    <n v="485.7"/>
  </r>
  <r>
    <x v="1340"/>
    <n v="484.4"/>
  </r>
  <r>
    <x v="1341"/>
    <n v="474.95"/>
  </r>
  <r>
    <x v="1342"/>
    <n v="455.2"/>
  </r>
  <r>
    <x v="1343"/>
    <n v="458.7"/>
  </r>
  <r>
    <x v="1344"/>
    <n v="444.35"/>
  </r>
  <r>
    <x v="1345"/>
    <n v="431.25"/>
  </r>
  <r>
    <x v="1346"/>
    <n v="446.85"/>
  </r>
  <r>
    <x v="1347"/>
    <n v="447.2"/>
  </r>
  <r>
    <x v="1348"/>
    <n v="440.55"/>
  </r>
  <r>
    <x v="1349"/>
    <n v="449.55"/>
  </r>
  <r>
    <x v="1350"/>
    <n v="446"/>
  </r>
  <r>
    <x v="1351"/>
    <n v="442.9"/>
  </r>
  <r>
    <x v="1352"/>
    <n v="443.35"/>
  </r>
  <r>
    <x v="1353"/>
    <n v="423.35"/>
  </r>
  <r>
    <x v="1354"/>
    <n v="412"/>
  </r>
  <r>
    <x v="1355"/>
    <n v="419.75"/>
  </r>
  <r>
    <x v="1356"/>
    <n v="402.45"/>
  </r>
  <r>
    <x v="1357"/>
    <n v="415.05"/>
  </r>
  <r>
    <x v="1358"/>
    <n v="439.25"/>
  </r>
  <r>
    <x v="1359"/>
    <n v="426.85"/>
  </r>
  <r>
    <x v="1360"/>
    <n v="424.65"/>
  </r>
  <r>
    <x v="1361"/>
    <n v="443.7"/>
  </r>
  <r>
    <x v="1362"/>
    <n v="444.15"/>
  </r>
  <r>
    <x v="1363"/>
    <n v="449.65"/>
  </r>
  <r>
    <x v="1364"/>
    <n v="453.1"/>
  </r>
  <r>
    <x v="1365"/>
    <n v="451.9"/>
  </r>
  <r>
    <x v="1366"/>
    <n v="468.05"/>
  </r>
  <r>
    <x v="1367"/>
    <n v="468"/>
  </r>
  <r>
    <x v="1368"/>
    <n v="461.35"/>
  </r>
  <r>
    <x v="1369"/>
    <n v="471.3"/>
  </r>
  <r>
    <x v="1370"/>
    <n v="462.6"/>
  </r>
  <r>
    <x v="1371"/>
    <n v="472.4"/>
  </r>
  <r>
    <x v="1372"/>
    <n v="492.95"/>
  </r>
  <r>
    <x v="1373"/>
    <n v="493.95"/>
  </r>
  <r>
    <x v="1374"/>
    <n v="501.45"/>
  </r>
  <r>
    <x v="1375"/>
    <n v="510.3"/>
  </r>
  <r>
    <x v="1376"/>
    <n v="507.2"/>
  </r>
  <r>
    <x v="1377"/>
    <n v="493.35"/>
  </r>
  <r>
    <x v="1378"/>
    <n v="508.1"/>
  </r>
  <r>
    <x v="1379"/>
    <n v="504.7"/>
  </r>
  <r>
    <x v="1380"/>
    <n v="493.85"/>
  </r>
  <r>
    <x v="1381"/>
    <n v="492.5"/>
  </r>
  <r>
    <x v="1382"/>
    <n v="522.65"/>
  </r>
  <r>
    <x v="1383"/>
    <n v="534.15"/>
  </r>
  <r>
    <x v="1384"/>
    <n v="525.15"/>
  </r>
  <r>
    <x v="1385"/>
    <n v="539.29999999999995"/>
  </r>
  <r>
    <x v="1386"/>
    <n v="541.75"/>
  </r>
  <r>
    <x v="1387"/>
    <n v="565.04999999999995"/>
  </r>
  <r>
    <x v="1388"/>
    <n v="583.6"/>
  </r>
  <r>
    <x v="1389"/>
    <n v="608.65"/>
  </r>
  <r>
    <x v="1390"/>
    <n v="599.70000000000005"/>
  </r>
  <r>
    <x v="1391"/>
    <n v="610.35"/>
  </r>
  <r>
    <x v="1392"/>
    <n v="613.15"/>
  </r>
  <r>
    <x v="1393"/>
    <n v="628.79999999999995"/>
  </r>
  <r>
    <x v="1394"/>
    <n v="636.29999999999995"/>
  </r>
  <r>
    <x v="1395"/>
    <n v="611.5"/>
  </r>
  <r>
    <x v="1396"/>
    <n v="607.85"/>
  </r>
  <r>
    <x v="1397"/>
    <n v="595.6"/>
  </r>
  <r>
    <x v="1398"/>
    <n v="619.65"/>
  </r>
  <r>
    <x v="1399"/>
    <n v="599.85"/>
  </r>
  <r>
    <x v="1400"/>
    <n v="612.54999999999995"/>
  </r>
  <r>
    <x v="1401"/>
    <n v="601.6"/>
  </r>
  <r>
    <x v="1402"/>
    <n v="603.65"/>
  </r>
  <r>
    <x v="1403"/>
    <n v="608.1"/>
  </r>
  <r>
    <x v="1404"/>
    <n v="602.70000000000005"/>
  </r>
  <r>
    <x v="1405"/>
    <n v="614.5"/>
  </r>
  <r>
    <x v="1406"/>
    <n v="619.25"/>
  </r>
  <r>
    <x v="1407"/>
    <n v="620.65"/>
  </r>
  <r>
    <x v="1408"/>
    <n v="634.20000000000005"/>
  </r>
  <r>
    <x v="1409"/>
    <n v="627.04999999999995"/>
  </r>
  <r>
    <x v="1410"/>
    <n v="613.25"/>
  </r>
  <r>
    <x v="1411"/>
    <n v="615.9"/>
  </r>
  <r>
    <x v="1412"/>
    <n v="607.1"/>
  </r>
  <r>
    <x v="1413"/>
    <n v="606.1"/>
  </r>
  <r>
    <x v="1414"/>
    <n v="605.4"/>
  </r>
  <r>
    <x v="1415"/>
    <n v="609.5"/>
  </r>
  <r>
    <x v="1416"/>
    <n v="582.5"/>
  </r>
  <r>
    <x v="1417"/>
    <n v="589.75"/>
  </r>
  <r>
    <x v="1418"/>
    <n v="592.45000000000005"/>
  </r>
  <r>
    <x v="1419"/>
    <n v="610.20000000000005"/>
  </r>
  <r>
    <x v="1420"/>
    <n v="617.65"/>
  </r>
  <r>
    <x v="1421"/>
    <n v="630.20000000000005"/>
  </r>
  <r>
    <x v="1422"/>
    <n v="625.1"/>
  </r>
  <r>
    <x v="1423"/>
    <n v="620.45000000000005"/>
  </r>
  <r>
    <x v="1424"/>
    <n v="623.79999999999995"/>
  </r>
  <r>
    <x v="1425"/>
    <n v="624.70000000000005"/>
  </r>
  <r>
    <x v="1426"/>
    <n v="664.45"/>
  </r>
  <r>
    <x v="1427"/>
    <n v="654.25"/>
  </r>
  <r>
    <x v="1428"/>
    <n v="671.1"/>
  </r>
  <r>
    <x v="1429"/>
    <n v="672.7"/>
  </r>
  <r>
    <x v="1430"/>
    <n v="666.95"/>
  </r>
  <r>
    <x v="1431"/>
    <n v="675.7"/>
  </r>
  <r>
    <x v="1432"/>
    <n v="687.8"/>
  </r>
  <r>
    <x v="1433"/>
    <n v="676"/>
  </r>
  <r>
    <x v="1434"/>
    <n v="674.85"/>
  </r>
  <r>
    <x v="1435"/>
    <n v="657"/>
  </r>
  <r>
    <x v="1436"/>
    <n v="668.75"/>
  </r>
  <r>
    <x v="1437"/>
    <n v="675.75"/>
  </r>
  <r>
    <x v="1438"/>
    <n v="675.85"/>
  </r>
  <r>
    <x v="1439"/>
    <n v="644.5"/>
  </r>
  <r>
    <x v="1440"/>
    <n v="658.4"/>
  </r>
  <r>
    <x v="1441"/>
    <n v="632.1"/>
  </r>
  <r>
    <x v="1442"/>
    <n v="670.7"/>
  </r>
  <r>
    <x v="1443"/>
    <n v="662.9"/>
  </r>
  <r>
    <x v="1444"/>
    <n v="709.35"/>
  </r>
  <r>
    <x v="1445"/>
    <n v="714.2"/>
  </r>
  <r>
    <x v="1446"/>
    <n v="733.8"/>
  </r>
  <r>
    <x v="1447"/>
    <n v="743.9"/>
  </r>
  <r>
    <x v="1448"/>
    <n v="719.6"/>
  </r>
  <r>
    <x v="1449"/>
    <n v="736.15"/>
  </r>
  <r>
    <x v="1450"/>
    <n v="742.5"/>
  </r>
  <r>
    <x v="1451"/>
    <n v="734.8"/>
  </r>
  <r>
    <x v="1452"/>
    <n v="740.1"/>
  </r>
  <r>
    <x v="1453"/>
    <n v="750.4"/>
  </r>
  <r>
    <x v="1454"/>
    <n v="794"/>
  </r>
  <r>
    <x v="1455"/>
    <n v="775.05"/>
  </r>
  <r>
    <x v="1456"/>
    <n v="777.75"/>
  </r>
  <r>
    <x v="1457"/>
    <n v="777"/>
  </r>
  <r>
    <x v="1458"/>
    <n v="749.65"/>
  </r>
  <r>
    <x v="1459"/>
    <n v="719.45"/>
  </r>
  <r>
    <x v="1460"/>
    <n v="715.95"/>
  </r>
  <r>
    <x v="1461"/>
    <n v="749.4"/>
  </r>
  <r>
    <x v="1462"/>
    <n v="770.65"/>
  </r>
  <r>
    <x v="1463"/>
    <n v="724.8"/>
  </r>
  <r>
    <x v="1464"/>
    <n v="728.55"/>
  </r>
  <r>
    <x v="1465"/>
    <n v="731.25"/>
  </r>
  <r>
    <x v="1466"/>
    <n v="753.95"/>
  </r>
  <r>
    <x v="1467"/>
    <n v="736.8"/>
  </r>
  <r>
    <x v="1468"/>
    <n v="730.75"/>
  </r>
  <r>
    <x v="1469"/>
    <n v="743.3"/>
  </r>
  <r>
    <x v="1470"/>
    <n v="745.45"/>
  </r>
  <r>
    <x v="1471"/>
    <n v="760.75"/>
  </r>
  <r>
    <x v="1472"/>
    <n v="750.6"/>
  </r>
  <r>
    <x v="1473"/>
    <n v="744.4"/>
  </r>
  <r>
    <x v="1474"/>
    <n v="737.75"/>
  </r>
  <r>
    <x v="1475"/>
    <n v="727.9"/>
  </r>
  <r>
    <x v="1476"/>
    <n v="718.75"/>
  </r>
  <r>
    <x v="1477"/>
    <n v="726.25"/>
  </r>
  <r>
    <x v="1478"/>
    <n v="716.2"/>
  </r>
  <r>
    <x v="1479"/>
    <n v="730.55"/>
  </r>
  <r>
    <x v="1480"/>
    <n v="706.4"/>
  </r>
  <r>
    <x v="1481"/>
    <n v="694.6"/>
  </r>
  <r>
    <x v="1482"/>
    <n v="698.2"/>
  </r>
  <r>
    <x v="1483"/>
    <n v="695.35"/>
  </r>
  <r>
    <x v="1484"/>
    <n v="697.45"/>
  </r>
  <r>
    <x v="1485"/>
    <n v="713"/>
  </r>
  <r>
    <x v="1486"/>
    <n v="685.25"/>
  </r>
  <r>
    <x v="1487"/>
    <n v="677.9"/>
  </r>
  <r>
    <x v="1488"/>
    <n v="688.25"/>
  </r>
  <r>
    <x v="1489"/>
    <n v="681.6"/>
  </r>
  <r>
    <x v="1490"/>
    <n v="668.2"/>
  </r>
  <r>
    <x v="1491"/>
    <n v="635.6"/>
  </r>
  <r>
    <x v="1492"/>
    <n v="661"/>
  </r>
  <r>
    <x v="1493"/>
    <n v="668.85"/>
  </r>
  <r>
    <x v="1494"/>
    <n v="669.2"/>
  </r>
  <r>
    <x v="1495"/>
    <n v="648.15"/>
  </r>
  <r>
    <x v="1496"/>
    <n v="651.75"/>
  </r>
  <r>
    <x v="1497"/>
    <n v="658.7"/>
  </r>
  <r>
    <x v="1498"/>
    <n v="671.35"/>
  </r>
  <r>
    <x v="1499"/>
    <n v="700.45"/>
  </r>
  <r>
    <x v="1500"/>
    <n v="699.55"/>
  </r>
  <r>
    <x v="1501"/>
    <n v="708.15"/>
  </r>
  <r>
    <x v="1502"/>
    <n v="719.4"/>
  </r>
  <r>
    <x v="1503"/>
    <n v="714.9"/>
  </r>
  <r>
    <x v="1504"/>
    <n v="702.75"/>
  </r>
  <r>
    <x v="1505"/>
    <n v="700.35"/>
  </r>
  <r>
    <x v="1506"/>
    <n v="717.2"/>
  </r>
  <r>
    <x v="1507"/>
    <n v="715.75"/>
  </r>
  <r>
    <x v="1508"/>
    <n v="716.75"/>
  </r>
  <r>
    <x v="1509"/>
    <n v="715.25"/>
  </r>
  <r>
    <x v="1510"/>
    <n v="707.35"/>
  </r>
  <r>
    <x v="1511"/>
    <n v="691.3"/>
  </r>
  <r>
    <x v="1512"/>
    <n v="685"/>
  </r>
  <r>
    <x v="1513"/>
    <n v="709.25"/>
  </r>
  <r>
    <x v="1514"/>
    <n v="711.65"/>
  </r>
  <r>
    <x v="1515"/>
    <n v="716.8"/>
  </r>
  <r>
    <x v="1516"/>
    <n v="705.9"/>
  </r>
  <r>
    <x v="1517"/>
    <n v="730.9"/>
  </r>
  <r>
    <x v="1518"/>
    <n v="741.15"/>
  </r>
  <r>
    <x v="1519"/>
    <n v="731.55"/>
  </r>
  <r>
    <x v="1520"/>
    <n v="735.1"/>
  </r>
  <r>
    <x v="1521"/>
    <n v="750.35"/>
  </r>
  <r>
    <x v="1522"/>
    <n v="739.85"/>
  </r>
  <r>
    <x v="1523"/>
    <n v="750.7"/>
  </r>
  <r>
    <x v="1524"/>
    <n v="745.15"/>
  </r>
  <r>
    <x v="1525"/>
    <n v="737"/>
  </r>
  <r>
    <x v="1526"/>
    <n v="750.65"/>
  </r>
  <r>
    <x v="1527"/>
    <n v="742.05"/>
  </r>
  <r>
    <x v="1528"/>
    <n v="751.1"/>
  </r>
  <r>
    <x v="1529"/>
    <n v="746.35"/>
  </r>
  <r>
    <x v="1530"/>
    <n v="736.75"/>
  </r>
  <r>
    <x v="1531"/>
    <n v="744.25"/>
  </r>
  <r>
    <x v="1532"/>
    <n v="738.45"/>
  </r>
  <r>
    <x v="1533"/>
    <n v="736.25"/>
  </r>
  <r>
    <x v="1534"/>
    <n v="750.9"/>
  </r>
  <r>
    <x v="1535"/>
    <n v="749.8"/>
  </r>
  <r>
    <x v="1536"/>
    <n v="738.6"/>
  </r>
  <r>
    <x v="1537"/>
    <n v="736.3"/>
  </r>
  <r>
    <x v="1538"/>
    <n v="739.55"/>
  </r>
  <r>
    <x v="1539"/>
    <n v="739.35"/>
  </r>
  <r>
    <x v="1540"/>
    <n v="732.35"/>
  </r>
  <r>
    <x v="1541"/>
    <n v="739.15"/>
  </r>
  <r>
    <x v="1542"/>
    <n v="761.35"/>
  </r>
  <r>
    <x v="1543"/>
    <n v="762.4"/>
  </r>
  <r>
    <x v="1544"/>
    <n v="751.95"/>
  </r>
  <r>
    <x v="1545"/>
    <n v="748.3"/>
  </r>
  <r>
    <x v="1546"/>
    <n v="746.45"/>
  </r>
  <r>
    <x v="1547"/>
    <n v="750.65"/>
  </r>
  <r>
    <x v="1548"/>
    <n v="760.35"/>
  </r>
  <r>
    <x v="1549"/>
    <n v="758.35"/>
  </r>
  <r>
    <x v="1550"/>
    <n v="762.9"/>
  </r>
  <r>
    <x v="1551"/>
    <n v="754.4"/>
  </r>
  <r>
    <x v="1552"/>
    <n v="747.35"/>
  </r>
  <r>
    <x v="1553"/>
    <n v="753.6"/>
  </r>
  <r>
    <x v="1554"/>
    <n v="770.75"/>
  </r>
  <r>
    <x v="1555"/>
    <n v="770.05"/>
  </r>
  <r>
    <x v="1556"/>
    <n v="774.15"/>
  </r>
  <r>
    <x v="1557"/>
    <n v="771.15"/>
  </r>
  <r>
    <x v="1558"/>
    <n v="755.2"/>
  </r>
  <r>
    <x v="1559"/>
    <n v="745.75"/>
  </r>
  <r>
    <x v="1560"/>
    <n v="746.75"/>
  </r>
  <r>
    <x v="1561"/>
    <n v="755.4"/>
  </r>
  <r>
    <x v="1562"/>
    <n v="756.3"/>
  </r>
  <r>
    <x v="1563"/>
    <n v="731.7"/>
  </r>
  <r>
    <x v="1564"/>
    <n v="722.9"/>
  </r>
  <r>
    <x v="1565"/>
    <n v="717.25"/>
  </r>
  <r>
    <x v="1566"/>
    <n v="708.9"/>
  </r>
  <r>
    <x v="1567"/>
    <n v="721.15"/>
  </r>
  <r>
    <x v="1568"/>
    <n v="738.6"/>
  </r>
  <r>
    <x v="1569"/>
    <n v="753.8"/>
  </r>
  <r>
    <x v="1570"/>
    <n v="749.3"/>
  </r>
  <r>
    <x v="1571"/>
    <n v="740.85"/>
  </r>
  <r>
    <x v="1572"/>
    <n v="755.5"/>
  </r>
  <r>
    <x v="1573"/>
    <n v="761.55"/>
  </r>
  <r>
    <x v="1574"/>
    <n v="760.8"/>
  </r>
  <r>
    <x v="1575"/>
    <n v="757.35"/>
  </r>
  <r>
    <x v="1576"/>
    <n v="759.9"/>
  </r>
  <r>
    <x v="1577"/>
    <n v="762"/>
  </r>
  <r>
    <x v="1578"/>
    <n v="756.75"/>
  </r>
  <r>
    <x v="1579"/>
    <n v="754.4"/>
  </r>
  <r>
    <x v="1580"/>
    <n v="740.25"/>
  </r>
  <r>
    <x v="1581"/>
    <n v="736.1"/>
  </r>
  <r>
    <x v="1582"/>
    <n v="746.35"/>
  </r>
  <r>
    <x v="1583"/>
    <n v="739.05"/>
  </r>
  <r>
    <x v="1584"/>
    <n v="746.35"/>
  </r>
  <r>
    <x v="1585"/>
    <n v="752.4"/>
  </r>
  <r>
    <x v="1586"/>
    <n v="784.05"/>
  </r>
  <r>
    <x v="1587"/>
    <n v="786.5"/>
  </r>
  <r>
    <x v="1588"/>
    <n v="798.9"/>
  </r>
  <r>
    <x v="1589"/>
    <n v="802.7"/>
  </r>
  <r>
    <x v="1590"/>
    <n v="798"/>
  </r>
  <r>
    <x v="1591"/>
    <n v="800.8"/>
  </r>
  <r>
    <x v="1592"/>
    <n v="787.85"/>
  </r>
  <r>
    <x v="1593"/>
    <n v="794.7"/>
  </r>
  <r>
    <x v="1594"/>
    <n v="790.15"/>
  </r>
  <r>
    <x v="1595"/>
    <n v="788.35"/>
  </r>
  <r>
    <x v="1596"/>
    <n v="794.4"/>
  </r>
  <r>
    <x v="1597"/>
    <n v="791.4"/>
  </r>
  <r>
    <x v="1598"/>
    <n v="802.6"/>
  </r>
  <r>
    <x v="1599"/>
    <n v="807.35"/>
  </r>
  <r>
    <x v="1600"/>
    <n v="795.85"/>
  </r>
  <r>
    <x v="1601"/>
    <n v="795.35"/>
  </r>
  <r>
    <x v="1602"/>
    <n v="788.35"/>
  </r>
  <r>
    <x v="1603"/>
    <n v="812.15"/>
  </r>
  <r>
    <x v="1604"/>
    <n v="798.05"/>
  </r>
  <r>
    <x v="1605"/>
    <n v="796.95"/>
  </r>
  <r>
    <x v="1606"/>
    <n v="789.2"/>
  </r>
  <r>
    <x v="1607"/>
    <n v="782.15"/>
  </r>
  <r>
    <x v="1608"/>
    <n v="766.55"/>
  </r>
  <r>
    <x v="1609"/>
    <n v="768.15"/>
  </r>
  <r>
    <x v="1610"/>
    <n v="779"/>
  </r>
  <r>
    <x v="1611"/>
    <n v="782.6"/>
  </r>
  <r>
    <x v="1612"/>
    <n v="778.95"/>
  </r>
  <r>
    <x v="1613"/>
    <n v="777.1"/>
  </r>
  <r>
    <x v="1614"/>
    <n v="781.95"/>
  </r>
  <r>
    <x v="1615"/>
    <n v="787.15"/>
  </r>
  <r>
    <x v="1616"/>
    <n v="797.15"/>
  </r>
  <r>
    <x v="1617"/>
    <n v="794.6"/>
  </r>
  <r>
    <x v="1618"/>
    <n v="802.05"/>
  </r>
  <r>
    <x v="1619"/>
    <n v="813.3"/>
  </r>
  <r>
    <x v="1620"/>
    <n v="801.65"/>
  </r>
  <r>
    <x v="1621"/>
    <n v="804.8"/>
  </r>
  <r>
    <x v="1622"/>
    <n v="807.8"/>
  </r>
  <r>
    <x v="1623"/>
    <n v="816.7"/>
  </r>
  <r>
    <x v="1624"/>
    <n v="845.1"/>
  </r>
  <r>
    <x v="1625"/>
    <n v="841.9"/>
  </r>
  <r>
    <x v="1626"/>
    <n v="787.5"/>
  </r>
  <r>
    <x v="1627"/>
    <n v="758.35"/>
  </r>
  <r>
    <x v="1628"/>
    <n v="742"/>
  </r>
  <r>
    <x v="1629"/>
    <n v="752.35"/>
  </r>
  <r>
    <x v="1630"/>
    <n v="755.85"/>
  </r>
  <r>
    <x v="1631"/>
    <n v="750.6"/>
  </r>
  <r>
    <x v="1632"/>
    <n v="752.95"/>
  </r>
  <r>
    <x v="1633"/>
    <n v="751.05"/>
  </r>
  <r>
    <x v="1634"/>
    <n v="745.05"/>
  </r>
  <r>
    <x v="1635"/>
    <n v="749.35"/>
  </r>
  <r>
    <x v="1636"/>
    <n v="738.05"/>
  </r>
  <r>
    <x v="1637"/>
    <n v="736.05"/>
  </r>
  <r>
    <x v="1638"/>
    <n v="733.25"/>
  </r>
  <r>
    <x v="1639"/>
    <n v="726.15"/>
  </r>
  <r>
    <x v="1640"/>
    <n v="712.35"/>
  </r>
  <r>
    <x v="1641"/>
    <n v="706.35"/>
  </r>
  <r>
    <x v="1642"/>
    <n v="686.4"/>
  </r>
  <r>
    <x v="1643"/>
    <n v="685.65"/>
  </r>
  <r>
    <x v="1644"/>
    <n v="685.15"/>
  </r>
  <r>
    <x v="1645"/>
    <n v="679.9"/>
  </r>
  <r>
    <x v="1646"/>
    <n v="661.75"/>
  </r>
  <r>
    <x v="1647"/>
    <n v="651.1"/>
  </r>
  <r>
    <x v="1648"/>
    <n v="655.65"/>
  </r>
  <r>
    <x v="1649"/>
    <n v="679.6"/>
  </r>
  <r>
    <x v="1650"/>
    <n v="676.1"/>
  </r>
  <r>
    <x v="1651"/>
    <n v="673"/>
  </r>
  <r>
    <x v="1652"/>
    <n v="663.1"/>
  </r>
  <r>
    <x v="1653"/>
    <n v="687"/>
  </r>
  <r>
    <x v="1654"/>
    <n v="697.1"/>
  </r>
  <r>
    <x v="1655"/>
    <n v="693.95"/>
  </r>
  <r>
    <x v="1656"/>
    <n v="688.05"/>
  </r>
  <r>
    <x v="1657"/>
    <n v="704"/>
  </r>
  <r>
    <x v="1658"/>
    <n v="710.9"/>
  </r>
  <r>
    <x v="1659"/>
    <n v="712.5"/>
  </r>
  <r>
    <x v="1660"/>
    <n v="709.65"/>
  </r>
  <r>
    <x v="1661"/>
    <n v="688.9"/>
  </r>
  <r>
    <x v="1662"/>
    <n v="674.35"/>
  </r>
  <r>
    <x v="1663"/>
    <n v="665.85"/>
  </r>
  <r>
    <x v="1664"/>
    <n v="669.35"/>
  </r>
  <r>
    <x v="1665"/>
    <n v="678.8"/>
  </r>
  <r>
    <x v="1666"/>
    <n v="667.5"/>
  </r>
  <r>
    <x v="1667"/>
    <n v="672.15"/>
  </r>
  <r>
    <x v="1668"/>
    <n v="675.45"/>
  </r>
  <r>
    <x v="1669"/>
    <n v="670.5"/>
  </r>
  <r>
    <x v="1670"/>
    <n v="668.85"/>
  </r>
  <r>
    <x v="1671"/>
    <n v="678.55"/>
  </r>
  <r>
    <x v="1672"/>
    <n v="696.35"/>
  </r>
  <r>
    <x v="1673"/>
    <n v="709.15"/>
  </r>
  <r>
    <x v="1674"/>
    <n v="726.9"/>
  </r>
  <r>
    <x v="1675"/>
    <n v="730.3"/>
  </r>
  <r>
    <x v="1676"/>
    <n v="730.6"/>
  </r>
  <r>
    <x v="1677"/>
    <n v="742.8"/>
  </r>
  <r>
    <x v="1678"/>
    <n v="743.25"/>
  </r>
  <r>
    <x v="1679"/>
    <n v="746.85"/>
  </r>
  <r>
    <x v="1680"/>
    <n v="740.7"/>
  </r>
  <r>
    <x v="1681"/>
    <n v="721.7"/>
  </r>
  <r>
    <x v="1682"/>
    <n v="712.65"/>
  </r>
  <r>
    <x v="1683"/>
    <n v="725.2"/>
  </r>
  <r>
    <x v="1684"/>
    <n v="729.6"/>
  </r>
  <r>
    <x v="1685"/>
    <n v="728.9"/>
  </r>
  <r>
    <x v="1686"/>
    <n v="712.5"/>
  </r>
  <r>
    <x v="1687"/>
    <n v="704.6"/>
  </r>
  <r>
    <x v="1688"/>
    <n v="752.2"/>
  </r>
  <r>
    <x v="1689"/>
    <n v="773.85"/>
  </r>
  <r>
    <x v="1690"/>
    <n v="764.7"/>
  </r>
  <r>
    <x v="1691"/>
    <n v="773.05"/>
  </r>
  <r>
    <x v="1692"/>
    <n v="781.9"/>
  </r>
  <r>
    <x v="1693"/>
    <n v="804.1"/>
  </r>
  <r>
    <x v="1694"/>
    <n v="799.55"/>
  </r>
  <r>
    <x v="1695"/>
    <n v="798.55"/>
  </r>
  <r>
    <x v="1696"/>
    <n v="789.6"/>
  </r>
  <r>
    <x v="1697"/>
    <n v="798.55"/>
  </r>
  <r>
    <x v="1698"/>
    <n v="803.85"/>
  </r>
  <r>
    <x v="1699"/>
    <n v="809.8"/>
  </r>
  <r>
    <x v="1700"/>
    <n v="803.8"/>
  </r>
  <r>
    <x v="1701"/>
    <n v="773.35"/>
  </r>
  <r>
    <x v="1702"/>
    <n v="796.95"/>
  </r>
  <r>
    <x v="1703"/>
    <n v="797.05"/>
  </r>
  <r>
    <x v="1704"/>
    <n v="782.8"/>
  </r>
  <r>
    <x v="1705"/>
    <n v="787.4"/>
  </r>
  <r>
    <x v="1706"/>
    <n v="788.85"/>
  </r>
  <r>
    <x v="1707"/>
    <n v="779.15"/>
  </r>
  <r>
    <x v="1708"/>
    <n v="777.2"/>
  </r>
  <r>
    <x v="1709"/>
    <n v="730.3"/>
  </r>
  <r>
    <x v="1710"/>
    <n v="758.05"/>
  </r>
  <r>
    <x v="1711"/>
    <n v="742.4"/>
  </r>
  <r>
    <x v="1712"/>
    <n v="750.25"/>
  </r>
  <r>
    <x v="1713"/>
    <n v="737.65"/>
  </r>
  <r>
    <x v="1714"/>
    <n v="715"/>
  </r>
  <r>
    <x v="1715"/>
    <n v="667.55"/>
  </r>
  <r>
    <x v="1716"/>
    <n v="670.4"/>
  </r>
  <r>
    <x v="1717"/>
    <n v="674.2"/>
  </r>
  <r>
    <x v="1718"/>
    <n v="694.95"/>
  </r>
  <r>
    <x v="1719"/>
    <n v="690.85"/>
  </r>
  <r>
    <x v="1720"/>
    <n v="710.05"/>
  </r>
  <r>
    <x v="1721"/>
    <n v="698.15"/>
  </r>
  <r>
    <x v="1722"/>
    <n v="723.85"/>
  </r>
  <r>
    <x v="1723"/>
    <n v="739.25"/>
  </r>
  <r>
    <x v="1724"/>
    <n v="725.9"/>
  </r>
  <r>
    <x v="1725"/>
    <n v="731.4"/>
  </r>
  <r>
    <x v="1726"/>
    <n v="726.75"/>
  </r>
  <r>
    <x v="1727"/>
    <n v="722.25"/>
  </r>
  <r>
    <x v="1728"/>
    <n v="721.25"/>
  </r>
  <r>
    <x v="1729"/>
    <n v="736"/>
  </r>
  <r>
    <x v="1730"/>
    <n v="737.8"/>
  </r>
  <r>
    <x v="1731"/>
    <n v="750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18BFE-C817-45C6-8D31-059BBCAC7FD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6" firstHeaderRow="1" firstDataRow="1" firstDataCol="1"/>
  <pivotFields count="5">
    <pivotField axis="axisRow" numFmtId="164" showAll="0">
      <items count="17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1">
        <item sd="0" x="0"/>
        <item x="1"/>
        <item x="2"/>
        <item x="3"/>
        <item x="4"/>
        <item x="5"/>
        <item x="6"/>
        <item x="7"/>
        <item x="8"/>
        <item sd="0" x="9"/>
        <item t="default"/>
      </items>
    </pivotField>
  </pivotFields>
  <rowFields count="3">
    <field x="4"/>
    <field x="2"/>
    <field x="0"/>
  </rowFields>
  <rowItems count="93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y" fld="1" subtotal="average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88E3-F3DF-4E74-A5B6-CA18EB36B75B}">
  <dimension ref="A3:B96"/>
  <sheetViews>
    <sheetView workbookViewId="0">
      <selection activeCell="F12" sqref="F12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5" t="s">
        <v>5</v>
      </c>
      <c r="B3" t="s">
        <v>27</v>
      </c>
    </row>
    <row r="4" spans="1:2" x14ac:dyDescent="0.35">
      <c r="A4" s="6" t="s">
        <v>7</v>
      </c>
      <c r="B4">
        <v>523.68494623655909</v>
      </c>
    </row>
    <row r="5" spans="1:2" x14ac:dyDescent="0.35">
      <c r="A5" s="7" t="s">
        <v>8</v>
      </c>
      <c r="B5">
        <v>548.38421052631577</v>
      </c>
    </row>
    <row r="6" spans="1:2" x14ac:dyDescent="0.35">
      <c r="A6" s="7" t="s">
        <v>9</v>
      </c>
      <c r="B6">
        <v>559.79999999999995</v>
      </c>
    </row>
    <row r="7" spans="1:2" x14ac:dyDescent="0.35">
      <c r="A7" s="7" t="s">
        <v>10</v>
      </c>
      <c r="B7">
        <v>558.47499999999991</v>
      </c>
    </row>
    <row r="8" spans="1:2" x14ac:dyDescent="0.35">
      <c r="A8" s="7" t="s">
        <v>11</v>
      </c>
      <c r="B8">
        <v>581.22173913043491</v>
      </c>
    </row>
    <row r="9" spans="1:2" x14ac:dyDescent="0.35">
      <c r="A9" s="7" t="s">
        <v>12</v>
      </c>
      <c r="B9">
        <v>546.95238095238096</v>
      </c>
    </row>
    <row r="10" spans="1:2" x14ac:dyDescent="0.35">
      <c r="A10" s="7" t="s">
        <v>13</v>
      </c>
      <c r="B10">
        <v>491.81499999999994</v>
      </c>
    </row>
    <row r="11" spans="1:2" x14ac:dyDescent="0.35">
      <c r="A11" s="7" t="s">
        <v>14</v>
      </c>
      <c r="B11">
        <v>499.74999999999989</v>
      </c>
    </row>
    <row r="12" spans="1:2" x14ac:dyDescent="0.35">
      <c r="A12" s="7" t="s">
        <v>15</v>
      </c>
      <c r="B12">
        <v>469.91842105263163</v>
      </c>
    </row>
    <row r="13" spans="1:2" x14ac:dyDescent="0.35">
      <c r="A13" s="7" t="s">
        <v>16</v>
      </c>
      <c r="B13">
        <v>449.53636363636366</v>
      </c>
    </row>
    <row r="14" spans="1:2" x14ac:dyDescent="0.35">
      <c r="A14" s="6" t="s">
        <v>17</v>
      </c>
      <c r="B14">
        <v>489.01821862348174</v>
      </c>
    </row>
    <row r="15" spans="1:2" x14ac:dyDescent="0.35">
      <c r="A15" s="7" t="s">
        <v>18</v>
      </c>
      <c r="B15">
        <v>410.53249999999991</v>
      </c>
    </row>
    <row r="16" spans="1:2" x14ac:dyDescent="0.35">
      <c r="A16" s="7" t="s">
        <v>19</v>
      </c>
      <c r="B16">
        <v>392.84523809523807</v>
      </c>
    </row>
    <row r="17" spans="1:2" x14ac:dyDescent="0.35">
      <c r="A17" s="7" t="s">
        <v>20</v>
      </c>
      <c r="B17">
        <v>423.7</v>
      </c>
    </row>
    <row r="18" spans="1:2" x14ac:dyDescent="0.35">
      <c r="A18" s="7" t="s">
        <v>8</v>
      </c>
      <c r="B18">
        <v>450.48333333333335</v>
      </c>
    </row>
    <row r="19" spans="1:2" x14ac:dyDescent="0.35">
      <c r="A19" s="7" t="s">
        <v>9</v>
      </c>
      <c r="B19">
        <v>490.16590909090917</v>
      </c>
    </row>
    <row r="20" spans="1:2" x14ac:dyDescent="0.35">
      <c r="A20" s="7" t="s">
        <v>10</v>
      </c>
      <c r="B20">
        <v>526.43409090909086</v>
      </c>
    </row>
    <row r="21" spans="1:2" x14ac:dyDescent="0.35">
      <c r="A21" s="7" t="s">
        <v>11</v>
      </c>
      <c r="B21">
        <v>550.19499999999994</v>
      </c>
    </row>
    <row r="22" spans="1:2" x14ac:dyDescent="0.35">
      <c r="A22" s="7" t="s">
        <v>12</v>
      </c>
      <c r="B22">
        <v>576.77045454545453</v>
      </c>
    </row>
    <row r="23" spans="1:2" x14ac:dyDescent="0.35">
      <c r="A23" s="7" t="s">
        <v>13</v>
      </c>
      <c r="B23">
        <v>586.88750000000005</v>
      </c>
    </row>
    <row r="24" spans="1:2" x14ac:dyDescent="0.35">
      <c r="A24" s="7" t="s">
        <v>14</v>
      </c>
      <c r="B24">
        <v>522.12894736842111</v>
      </c>
    </row>
    <row r="25" spans="1:2" x14ac:dyDescent="0.35">
      <c r="A25" s="7" t="s">
        <v>15</v>
      </c>
      <c r="B25">
        <v>478.0928571428571</v>
      </c>
    </row>
    <row r="26" spans="1:2" x14ac:dyDescent="0.35">
      <c r="A26" s="7" t="s">
        <v>16</v>
      </c>
      <c r="B26">
        <v>454.00909090909096</v>
      </c>
    </row>
    <row r="27" spans="1:2" x14ac:dyDescent="0.35">
      <c r="A27" s="6" t="s">
        <v>21</v>
      </c>
      <c r="B27">
        <v>507.92076612903224</v>
      </c>
    </row>
    <row r="28" spans="1:2" x14ac:dyDescent="0.35">
      <c r="A28" s="7" t="s">
        <v>18</v>
      </c>
      <c r="B28">
        <v>462.33809523809515</v>
      </c>
    </row>
    <row r="29" spans="1:2" x14ac:dyDescent="0.35">
      <c r="A29" s="7" t="s">
        <v>19</v>
      </c>
      <c r="B29">
        <v>494.97105263157897</v>
      </c>
    </row>
    <row r="30" spans="1:2" x14ac:dyDescent="0.35">
      <c r="A30" s="7" t="s">
        <v>20</v>
      </c>
      <c r="B30">
        <v>504.42272727272717</v>
      </c>
    </row>
    <row r="31" spans="1:2" x14ac:dyDescent="0.35">
      <c r="A31" s="7" t="s">
        <v>8</v>
      </c>
      <c r="B31">
        <v>504.74166666666656</v>
      </c>
    </row>
    <row r="32" spans="1:2" x14ac:dyDescent="0.35">
      <c r="A32" s="7" t="s">
        <v>9</v>
      </c>
      <c r="B32">
        <v>507.28636363636366</v>
      </c>
    </row>
    <row r="33" spans="1:2" x14ac:dyDescent="0.35">
      <c r="A33" s="7" t="s">
        <v>10</v>
      </c>
      <c r="B33">
        <v>509.19047619047626</v>
      </c>
    </row>
    <row r="34" spans="1:2" x14ac:dyDescent="0.35">
      <c r="A34" s="7" t="s">
        <v>11</v>
      </c>
      <c r="B34">
        <v>518.89285714285711</v>
      </c>
    </row>
    <row r="35" spans="1:2" x14ac:dyDescent="0.35">
      <c r="A35" s="7" t="s">
        <v>12</v>
      </c>
      <c r="B35">
        <v>500.74761904761897</v>
      </c>
    </row>
    <row r="36" spans="1:2" x14ac:dyDescent="0.35">
      <c r="A36" s="7" t="s">
        <v>13</v>
      </c>
      <c r="B36">
        <v>506.91666666666657</v>
      </c>
    </row>
    <row r="37" spans="1:2" x14ac:dyDescent="0.35">
      <c r="A37" s="7" t="s">
        <v>14</v>
      </c>
      <c r="B37">
        <v>496.07749999999999</v>
      </c>
    </row>
    <row r="38" spans="1:2" x14ac:dyDescent="0.35">
      <c r="A38" s="7" t="s">
        <v>15</v>
      </c>
      <c r="B38">
        <v>542.63636363636351</v>
      </c>
    </row>
    <row r="39" spans="1:2" x14ac:dyDescent="0.35">
      <c r="A39" s="7" t="s">
        <v>16</v>
      </c>
      <c r="B39">
        <v>544.88</v>
      </c>
    </row>
    <row r="40" spans="1:2" x14ac:dyDescent="0.35">
      <c r="A40" s="6" t="s">
        <v>22</v>
      </c>
      <c r="B40">
        <v>566.83353658536589</v>
      </c>
    </row>
    <row r="41" spans="1:2" x14ac:dyDescent="0.35">
      <c r="A41" s="7" t="s">
        <v>18</v>
      </c>
      <c r="B41">
        <v>579.4818181818182</v>
      </c>
    </row>
    <row r="42" spans="1:2" x14ac:dyDescent="0.35">
      <c r="A42" s="7" t="s">
        <v>19</v>
      </c>
      <c r="B42">
        <v>550.37105263157889</v>
      </c>
    </row>
    <row r="43" spans="1:2" x14ac:dyDescent="0.35">
      <c r="A43" s="7" t="s">
        <v>20</v>
      </c>
      <c r="B43">
        <v>518.9394736842105</v>
      </c>
    </row>
    <row r="44" spans="1:2" x14ac:dyDescent="0.35">
      <c r="A44" s="7" t="s">
        <v>8</v>
      </c>
      <c r="B44">
        <v>517.33571428571429</v>
      </c>
    </row>
    <row r="45" spans="1:2" x14ac:dyDescent="0.35">
      <c r="A45" s="7" t="s">
        <v>9</v>
      </c>
      <c r="B45">
        <v>538.81818181818176</v>
      </c>
    </row>
    <row r="46" spans="1:2" x14ac:dyDescent="0.35">
      <c r="A46" s="7" t="s">
        <v>10</v>
      </c>
      <c r="B46">
        <v>525.92857142857156</v>
      </c>
    </row>
    <row r="47" spans="1:2" x14ac:dyDescent="0.35">
      <c r="A47" s="7" t="s">
        <v>11</v>
      </c>
      <c r="B47">
        <v>531.80227272727268</v>
      </c>
    </row>
    <row r="48" spans="1:2" x14ac:dyDescent="0.35">
      <c r="A48" s="7" t="s">
        <v>12</v>
      </c>
      <c r="B48">
        <v>617.21428571428567</v>
      </c>
    </row>
    <row r="49" spans="1:2" x14ac:dyDescent="0.35">
      <c r="A49" s="7" t="s">
        <v>13</v>
      </c>
      <c r="B49">
        <v>625.21388888888896</v>
      </c>
    </row>
    <row r="50" spans="1:2" x14ac:dyDescent="0.35">
      <c r="A50" s="7" t="s">
        <v>14</v>
      </c>
      <c r="B50">
        <v>570.86904761904782</v>
      </c>
    </row>
    <row r="51" spans="1:2" x14ac:dyDescent="0.35">
      <c r="A51" s="7" t="s">
        <v>15</v>
      </c>
      <c r="B51">
        <v>617.995</v>
      </c>
    </row>
    <row r="52" spans="1:2" x14ac:dyDescent="0.35">
      <c r="A52" s="7" t="s">
        <v>16</v>
      </c>
      <c r="B52">
        <v>617.49249999999995</v>
      </c>
    </row>
    <row r="53" spans="1:2" x14ac:dyDescent="0.35">
      <c r="A53" s="6" t="s">
        <v>23</v>
      </c>
      <c r="B53">
        <v>724.85469387755052</v>
      </c>
    </row>
    <row r="54" spans="1:2" x14ac:dyDescent="0.35">
      <c r="A54" s="7" t="s">
        <v>18</v>
      </c>
      <c r="B54">
        <v>658.07608695652186</v>
      </c>
    </row>
    <row r="55" spans="1:2" x14ac:dyDescent="0.35">
      <c r="A55" s="7" t="s">
        <v>19</v>
      </c>
      <c r="B55">
        <v>708.28250000000003</v>
      </c>
    </row>
    <row r="56" spans="1:2" x14ac:dyDescent="0.35">
      <c r="A56" s="7" t="s">
        <v>20</v>
      </c>
      <c r="B56">
        <v>745.1736842105264</v>
      </c>
    </row>
    <row r="57" spans="1:2" x14ac:dyDescent="0.35">
      <c r="A57" s="7" t="s">
        <v>8</v>
      </c>
      <c r="B57">
        <v>760.46052631578959</v>
      </c>
    </row>
    <row r="58" spans="1:2" x14ac:dyDescent="0.35">
      <c r="A58" s="7" t="s">
        <v>9</v>
      </c>
      <c r="B58">
        <v>764.25681818181829</v>
      </c>
    </row>
    <row r="59" spans="1:2" x14ac:dyDescent="0.35">
      <c r="A59" s="7" t="s">
        <v>10</v>
      </c>
      <c r="B59">
        <v>795.77368421052631</v>
      </c>
    </row>
    <row r="60" spans="1:2" x14ac:dyDescent="0.35">
      <c r="A60" s="7" t="s">
        <v>11</v>
      </c>
      <c r="B60">
        <v>754.36956521739114</v>
      </c>
    </row>
    <row r="61" spans="1:2" x14ac:dyDescent="0.35">
      <c r="A61" s="7" t="s">
        <v>12</v>
      </c>
      <c r="B61">
        <v>668.53750000000002</v>
      </c>
    </row>
    <row r="62" spans="1:2" x14ac:dyDescent="0.35">
      <c r="A62" s="7" t="s">
        <v>13</v>
      </c>
      <c r="B62">
        <v>673.30263157894728</v>
      </c>
    </row>
    <row r="63" spans="1:2" x14ac:dyDescent="0.35">
      <c r="A63" s="7" t="s">
        <v>14</v>
      </c>
      <c r="B63">
        <v>698.61750000000006</v>
      </c>
    </row>
    <row r="64" spans="1:2" x14ac:dyDescent="0.35">
      <c r="A64" s="7" t="s">
        <v>15</v>
      </c>
      <c r="B64">
        <v>737.63499999999988</v>
      </c>
    </row>
    <row r="65" spans="1:2" x14ac:dyDescent="0.35">
      <c r="A65" s="7" t="s">
        <v>16</v>
      </c>
      <c r="B65">
        <v>738.50238095238092</v>
      </c>
    </row>
    <row r="66" spans="1:2" x14ac:dyDescent="0.35">
      <c r="A66" s="6" t="s">
        <v>24</v>
      </c>
      <c r="B66">
        <v>516.90952380952399</v>
      </c>
    </row>
    <row r="67" spans="1:2" x14ac:dyDescent="0.35">
      <c r="A67" s="7" t="s">
        <v>18</v>
      </c>
      <c r="B67">
        <v>734.97608695652173</v>
      </c>
    </row>
    <row r="68" spans="1:2" x14ac:dyDescent="0.35">
      <c r="A68" s="7" t="s">
        <v>19</v>
      </c>
      <c r="B68">
        <v>732.16499999999985</v>
      </c>
    </row>
    <row r="69" spans="1:2" x14ac:dyDescent="0.35">
      <c r="A69" s="7" t="s">
        <v>20</v>
      </c>
      <c r="B69">
        <v>497.98809523809524</v>
      </c>
    </row>
    <row r="70" spans="1:2" x14ac:dyDescent="0.35">
      <c r="A70" s="7" t="s">
        <v>8</v>
      </c>
      <c r="B70">
        <v>418.36388888888882</v>
      </c>
    </row>
    <row r="71" spans="1:2" x14ac:dyDescent="0.35">
      <c r="A71" s="7" t="s">
        <v>9</v>
      </c>
      <c r="B71">
        <v>379.2157894736842</v>
      </c>
    </row>
    <row r="72" spans="1:2" x14ac:dyDescent="0.35">
      <c r="A72" s="7" t="s">
        <v>10</v>
      </c>
      <c r="B72">
        <v>411.59545454545446</v>
      </c>
    </row>
    <row r="73" spans="1:2" x14ac:dyDescent="0.35">
      <c r="A73" s="7" t="s">
        <v>11</v>
      </c>
      <c r="B73">
        <v>438.60217391304343</v>
      </c>
    </row>
    <row r="74" spans="1:2" x14ac:dyDescent="0.35">
      <c r="A74" s="7" t="s">
        <v>12</v>
      </c>
      <c r="B74">
        <v>447.87619047619046</v>
      </c>
    </row>
    <row r="75" spans="1:2" x14ac:dyDescent="0.35">
      <c r="A75" s="7" t="s">
        <v>13</v>
      </c>
      <c r="B75">
        <v>441.55909090909086</v>
      </c>
    </row>
    <row r="76" spans="1:2" x14ac:dyDescent="0.35">
      <c r="A76" s="7" t="s">
        <v>14</v>
      </c>
      <c r="B76">
        <v>478.31190476190483</v>
      </c>
    </row>
    <row r="77" spans="1:2" x14ac:dyDescent="0.35">
      <c r="A77" s="7" t="s">
        <v>15</v>
      </c>
      <c r="B77">
        <v>587.86</v>
      </c>
    </row>
    <row r="78" spans="1:2" x14ac:dyDescent="0.35">
      <c r="A78" s="7" t="s">
        <v>16</v>
      </c>
      <c r="B78">
        <v>611.62045454545466</v>
      </c>
    </row>
    <row r="79" spans="1:2" x14ac:dyDescent="0.35">
      <c r="A79" s="6" t="s">
        <v>25</v>
      </c>
      <c r="B79">
        <v>730.64193548387107</v>
      </c>
    </row>
    <row r="80" spans="1:2" x14ac:dyDescent="0.35">
      <c r="A80" s="7" t="s">
        <v>18</v>
      </c>
      <c r="B80">
        <v>661.91250000000002</v>
      </c>
    </row>
    <row r="81" spans="1:2" x14ac:dyDescent="0.35">
      <c r="A81" s="7" t="s">
        <v>19</v>
      </c>
      <c r="B81">
        <v>743.92499999999995</v>
      </c>
    </row>
    <row r="82" spans="1:2" x14ac:dyDescent="0.35">
      <c r="A82" s="7" t="s">
        <v>20</v>
      </c>
      <c r="B82">
        <v>727.39047619047631</v>
      </c>
    </row>
    <row r="83" spans="1:2" x14ac:dyDescent="0.35">
      <c r="A83" s="7" t="s">
        <v>8</v>
      </c>
      <c r="B83">
        <v>680.06578947368416</v>
      </c>
    </row>
    <row r="84" spans="1:2" x14ac:dyDescent="0.35">
      <c r="A84" s="7" t="s">
        <v>9</v>
      </c>
      <c r="B84">
        <v>718.745</v>
      </c>
    </row>
    <row r="85" spans="1:2" x14ac:dyDescent="0.35">
      <c r="A85" s="7" t="s">
        <v>10</v>
      </c>
      <c r="B85">
        <v>744.45454545454538</v>
      </c>
    </row>
    <row r="86" spans="1:2" x14ac:dyDescent="0.35">
      <c r="A86" s="7" t="s">
        <v>11</v>
      </c>
      <c r="B86">
        <v>750.4904761904761</v>
      </c>
    </row>
    <row r="87" spans="1:2" x14ac:dyDescent="0.35">
      <c r="A87" s="7" t="s">
        <v>12</v>
      </c>
      <c r="B87">
        <v>752.52380952380952</v>
      </c>
    </row>
    <row r="88" spans="1:2" x14ac:dyDescent="0.35">
      <c r="A88" s="7" t="s">
        <v>13</v>
      </c>
      <c r="B88">
        <v>794.37142857142851</v>
      </c>
    </row>
    <row r="89" spans="1:2" x14ac:dyDescent="0.35">
      <c r="A89" s="7" t="s">
        <v>14</v>
      </c>
      <c r="B89">
        <v>793.39</v>
      </c>
    </row>
    <row r="90" spans="1:2" x14ac:dyDescent="0.35">
      <c r="A90" s="7" t="s">
        <v>15</v>
      </c>
      <c r="B90">
        <v>715.75</v>
      </c>
    </row>
    <row r="91" spans="1:2" x14ac:dyDescent="0.35">
      <c r="A91" s="7" t="s">
        <v>16</v>
      </c>
      <c r="B91">
        <v>682.83478260869572</v>
      </c>
    </row>
    <row r="92" spans="1:2" x14ac:dyDescent="0.35">
      <c r="A92" s="6" t="s">
        <v>26</v>
      </c>
      <c r="B92">
        <v>744.88333333333333</v>
      </c>
    </row>
    <row r="93" spans="1:2" x14ac:dyDescent="0.35">
      <c r="A93" s="7" t="s">
        <v>18</v>
      </c>
      <c r="B93">
        <v>733.29250000000002</v>
      </c>
    </row>
    <row r="94" spans="1:2" x14ac:dyDescent="0.35">
      <c r="A94" s="7" t="s">
        <v>19</v>
      </c>
      <c r="B94">
        <v>785.16</v>
      </c>
    </row>
    <row r="95" spans="1:2" x14ac:dyDescent="0.35">
      <c r="A95" s="7" t="s">
        <v>20</v>
      </c>
      <c r="B95">
        <v>716.19749999999999</v>
      </c>
    </row>
    <row r="96" spans="1:2" x14ac:dyDescent="0.35">
      <c r="A96" s="6" t="s">
        <v>6</v>
      </c>
      <c r="B96">
        <v>587.3793879907621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39"/>
  <sheetViews>
    <sheetView topLeftCell="C1" workbookViewId="0">
      <pane ySplit="1" topLeftCell="A2" activePane="bottomLeft" state="frozen"/>
      <selection pane="bottomLeft" activeCell="E4" sqref="E4"/>
    </sheetView>
  </sheetViews>
  <sheetFormatPr defaultRowHeight="14.5" x14ac:dyDescent="0.35"/>
  <cols>
    <col min="1" max="1" width="13.54296875" style="4" customWidth="1"/>
    <col min="2" max="2" width="16" style="4" bestFit="1" customWidth="1"/>
    <col min="8" max="8" width="12.26953125" customWidth="1"/>
  </cols>
  <sheetData>
    <row r="1" spans="1:13" x14ac:dyDescent="0.35">
      <c r="A1" s="1" t="s">
        <v>3</v>
      </c>
      <c r="B1" s="1" t="s">
        <v>4</v>
      </c>
      <c r="C1" t="s">
        <v>28</v>
      </c>
      <c r="D1" t="s">
        <v>29</v>
      </c>
      <c r="E1" t="s">
        <v>30</v>
      </c>
      <c r="F1" t="s">
        <v>31</v>
      </c>
      <c r="G1" t="s">
        <v>33</v>
      </c>
      <c r="H1" t="s">
        <v>32</v>
      </c>
    </row>
    <row r="2" spans="1:13" x14ac:dyDescent="0.35">
      <c r="A2" s="2">
        <v>42095</v>
      </c>
      <c r="B2">
        <v>569.65</v>
      </c>
      <c r="C2" s="9">
        <v>45031</v>
      </c>
      <c r="D2" s="8">
        <v>548.38421052631577</v>
      </c>
      <c r="M2" t="s">
        <v>46</v>
      </c>
    </row>
    <row r="3" spans="1:13" x14ac:dyDescent="0.35">
      <c r="A3" s="2">
        <v>42100</v>
      </c>
      <c r="B3">
        <v>569.04999999999995</v>
      </c>
      <c r="C3" s="9">
        <v>45061</v>
      </c>
      <c r="D3" s="8">
        <v>559.79999999999995</v>
      </c>
      <c r="E3">
        <f>AVERAGE(D2:D4)</f>
        <v>555.55307017543862</v>
      </c>
      <c r="F3">
        <f>D3-E3</f>
        <v>4.2469298245613345</v>
      </c>
      <c r="G3">
        <f>F3*F3</f>
        <v>18.036412934748569</v>
      </c>
      <c r="H3">
        <f>ABS(F3)/D3*100</f>
        <v>0.75865127269763044</v>
      </c>
      <c r="J3" t="s">
        <v>36</v>
      </c>
      <c r="K3">
        <f>SUM(G:G)/84</f>
        <v>316.92060560487926</v>
      </c>
    </row>
    <row r="4" spans="1:13" x14ac:dyDescent="0.35">
      <c r="A4" s="2">
        <v>42101</v>
      </c>
      <c r="B4">
        <v>557.85</v>
      </c>
      <c r="C4" s="9">
        <v>45092</v>
      </c>
      <c r="D4" s="8">
        <v>558.47499999999991</v>
      </c>
      <c r="E4">
        <f>AVERAGE(D3:D5)</f>
        <v>566.4989130434783</v>
      </c>
      <c r="F4">
        <f>D4-E4</f>
        <v>-8.0239130434783874</v>
      </c>
      <c r="G4">
        <f>F4*F4</f>
        <v>64.383180529302592</v>
      </c>
      <c r="H4">
        <f t="shared" ref="H4:H67" si="0">ABS(F4)/D4*100</f>
        <v>1.4367542044815595</v>
      </c>
      <c r="J4" t="s">
        <v>37</v>
      </c>
      <c r="K4">
        <f>SQRT(K3)</f>
        <v>17.802264058396595</v>
      </c>
    </row>
    <row r="5" spans="1:13" x14ac:dyDescent="0.35">
      <c r="A5" s="2">
        <v>42102</v>
      </c>
      <c r="B5">
        <v>555.9</v>
      </c>
      <c r="C5" s="9">
        <v>45122</v>
      </c>
      <c r="D5" s="8">
        <v>581.22173913043491</v>
      </c>
      <c r="E5">
        <f t="shared" ref="E5:E68" si="1">AVERAGE(D4:D6)</f>
        <v>562.21637336093852</v>
      </c>
      <c r="F5">
        <f>D5-E5</f>
        <v>19.005365769496393</v>
      </c>
      <c r="G5">
        <f t="shared" ref="G5:G68" si="2">F5*F5</f>
        <v>361.20392803234523</v>
      </c>
      <c r="H5">
        <f t="shared" si="0"/>
        <v>3.2698993327280386</v>
      </c>
      <c r="J5" t="s">
        <v>34</v>
      </c>
      <c r="K5">
        <f>SUM(H:H)/84</f>
        <v>2.1663885877090419</v>
      </c>
    </row>
    <row r="6" spans="1:13" x14ac:dyDescent="0.35">
      <c r="A6" s="2">
        <v>42103</v>
      </c>
      <c r="B6">
        <v>572.15</v>
      </c>
      <c r="C6" s="9">
        <v>45153</v>
      </c>
      <c r="D6" s="8">
        <v>546.95238095238096</v>
      </c>
      <c r="E6">
        <f t="shared" si="1"/>
        <v>539.99637336093872</v>
      </c>
      <c r="F6">
        <f t="shared" ref="F6:F69" si="3">D6-E6</f>
        <v>6.9560075914422441</v>
      </c>
      <c r="G6">
        <f t="shared" si="2"/>
        <v>48.386041612202128</v>
      </c>
      <c r="H6">
        <f t="shared" si="0"/>
        <v>1.27177572192484</v>
      </c>
      <c r="J6" s="8" t="s">
        <v>35</v>
      </c>
      <c r="K6" s="8">
        <f>100-K5</f>
        <v>97.833611412290963</v>
      </c>
    </row>
    <row r="7" spans="1:13" x14ac:dyDescent="0.35">
      <c r="A7" s="2">
        <v>42104</v>
      </c>
      <c r="B7">
        <v>568.04999999999995</v>
      </c>
      <c r="C7" s="9">
        <v>45184</v>
      </c>
      <c r="D7" s="8">
        <v>491.81499999999994</v>
      </c>
      <c r="E7">
        <f t="shared" si="1"/>
        <v>512.83912698412689</v>
      </c>
      <c r="F7">
        <f t="shared" si="3"/>
        <v>-21.024126984126951</v>
      </c>
      <c r="G7">
        <f t="shared" si="2"/>
        <v>442.01391544469504</v>
      </c>
      <c r="H7">
        <f t="shared" si="0"/>
        <v>4.2748039372786417</v>
      </c>
    </row>
    <row r="8" spans="1:13" x14ac:dyDescent="0.35">
      <c r="A8" s="2">
        <v>42107</v>
      </c>
      <c r="B8">
        <v>566</v>
      </c>
      <c r="C8" s="9">
        <v>45214</v>
      </c>
      <c r="D8" s="8">
        <v>499.74999999999989</v>
      </c>
      <c r="E8">
        <f t="shared" si="1"/>
        <v>487.16114035087713</v>
      </c>
      <c r="F8">
        <f t="shared" si="3"/>
        <v>12.588859649122753</v>
      </c>
      <c r="G8">
        <f t="shared" si="2"/>
        <v>158.47938726531106</v>
      </c>
      <c r="H8">
        <f t="shared" si="0"/>
        <v>2.5190314455473248</v>
      </c>
    </row>
    <row r="9" spans="1:13" x14ac:dyDescent="0.35">
      <c r="A9" s="2">
        <v>42109</v>
      </c>
      <c r="B9">
        <v>550.20000000000005</v>
      </c>
      <c r="C9" s="9">
        <v>45245</v>
      </c>
      <c r="D9" s="8">
        <v>469.91842105263163</v>
      </c>
      <c r="E9">
        <f t="shared" si="1"/>
        <v>473.06826156299843</v>
      </c>
      <c r="F9">
        <f t="shared" si="3"/>
        <v>-3.1498405103668006</v>
      </c>
      <c r="G9">
        <f t="shared" si="2"/>
        <v>9.9214952407477863</v>
      </c>
      <c r="H9">
        <f t="shared" si="0"/>
        <v>0.67029517662045712</v>
      </c>
    </row>
    <row r="10" spans="1:13" x14ac:dyDescent="0.35">
      <c r="A10" s="2">
        <v>42110</v>
      </c>
      <c r="B10">
        <v>550.79999999999995</v>
      </c>
      <c r="C10" s="9">
        <v>45275</v>
      </c>
      <c r="D10" s="8">
        <v>449.53636363636366</v>
      </c>
      <c r="E10">
        <f t="shared" si="1"/>
        <v>443.32909489633175</v>
      </c>
      <c r="F10">
        <f t="shared" si="3"/>
        <v>6.2072687400319069</v>
      </c>
      <c r="G10">
        <f t="shared" si="2"/>
        <v>38.530185210977294</v>
      </c>
      <c r="H10">
        <f t="shared" si="0"/>
        <v>1.3808157119527387</v>
      </c>
    </row>
    <row r="11" spans="1:13" x14ac:dyDescent="0.35">
      <c r="A11" s="2">
        <v>42111</v>
      </c>
      <c r="B11">
        <v>533.70000000000005</v>
      </c>
      <c r="C11" s="9">
        <v>44942</v>
      </c>
      <c r="D11" s="8">
        <v>410.53249999999991</v>
      </c>
      <c r="E11">
        <f t="shared" si="1"/>
        <v>417.63803391053392</v>
      </c>
      <c r="F11">
        <f t="shared" si="3"/>
        <v>-7.1055339105340067</v>
      </c>
      <c r="G11">
        <f t="shared" si="2"/>
        <v>50.488612153748697</v>
      </c>
      <c r="H11">
        <f t="shared" si="0"/>
        <v>1.7308091102492515</v>
      </c>
      <c r="K11" t="s">
        <v>47</v>
      </c>
    </row>
    <row r="12" spans="1:13" x14ac:dyDescent="0.35">
      <c r="A12" s="2">
        <v>42114</v>
      </c>
      <c r="B12">
        <v>518.25</v>
      </c>
      <c r="C12" s="9">
        <v>44973</v>
      </c>
      <c r="D12" s="8">
        <v>392.84523809523807</v>
      </c>
      <c r="E12">
        <f t="shared" si="1"/>
        <v>409.02591269841264</v>
      </c>
      <c r="F12">
        <f t="shared" si="3"/>
        <v>-16.180674603174566</v>
      </c>
      <c r="G12">
        <f t="shared" si="2"/>
        <v>261.81423061381838</v>
      </c>
      <c r="H12">
        <f t="shared" si="0"/>
        <v>4.1188419851106506</v>
      </c>
    </row>
    <row r="13" spans="1:13" x14ac:dyDescent="0.35">
      <c r="A13" s="2">
        <v>42115</v>
      </c>
      <c r="B13">
        <v>523.20000000000005</v>
      </c>
      <c r="C13" s="9">
        <v>45001</v>
      </c>
      <c r="D13" s="8">
        <v>423.7</v>
      </c>
      <c r="E13">
        <f t="shared" si="1"/>
        <v>422.34285714285716</v>
      </c>
      <c r="F13">
        <f t="shared" si="3"/>
        <v>1.3571428571428328</v>
      </c>
      <c r="G13">
        <f t="shared" si="2"/>
        <v>1.8418367346938114</v>
      </c>
      <c r="H13">
        <f t="shared" si="0"/>
        <v>0.32030749519538187</v>
      </c>
    </row>
    <row r="14" spans="1:13" x14ac:dyDescent="0.35">
      <c r="A14" s="2">
        <v>42116</v>
      </c>
      <c r="B14">
        <v>540.1</v>
      </c>
      <c r="C14" s="9">
        <v>45032</v>
      </c>
      <c r="D14" s="8">
        <v>450.48333333333335</v>
      </c>
      <c r="E14">
        <f t="shared" si="1"/>
        <v>454.78308080808091</v>
      </c>
      <c r="F14">
        <f t="shared" si="3"/>
        <v>-4.2997474747475621</v>
      </c>
      <c r="G14">
        <f t="shared" si="2"/>
        <v>18.487828346598036</v>
      </c>
      <c r="H14">
        <f t="shared" si="0"/>
        <v>0.95447426277277636</v>
      </c>
    </row>
    <row r="15" spans="1:13" x14ac:dyDescent="0.35">
      <c r="A15" s="2">
        <v>42117</v>
      </c>
      <c r="B15">
        <v>538.20000000000005</v>
      </c>
      <c r="C15" s="9">
        <v>45062</v>
      </c>
      <c r="D15" s="8">
        <v>490.16590909090917</v>
      </c>
      <c r="E15">
        <f t="shared" si="1"/>
        <v>489.02777777777783</v>
      </c>
      <c r="F15">
        <f t="shared" si="3"/>
        <v>1.1381313131313391</v>
      </c>
      <c r="G15">
        <f t="shared" si="2"/>
        <v>1.2953428859300662</v>
      </c>
      <c r="H15">
        <f t="shared" si="0"/>
        <v>0.2321930783073399</v>
      </c>
    </row>
    <row r="16" spans="1:13" x14ac:dyDescent="0.35">
      <c r="A16" s="2">
        <v>42118</v>
      </c>
      <c r="B16">
        <v>527.25</v>
      </c>
      <c r="C16" s="9">
        <v>45093</v>
      </c>
      <c r="D16" s="8">
        <v>526.43409090909086</v>
      </c>
      <c r="E16">
        <f t="shared" si="1"/>
        <v>522.26499999999999</v>
      </c>
      <c r="F16">
        <f t="shared" si="3"/>
        <v>4.169090909090869</v>
      </c>
      <c r="G16">
        <f t="shared" si="2"/>
        <v>17.381319008264128</v>
      </c>
      <c r="H16">
        <f t="shared" si="0"/>
        <v>0.79194926413130484</v>
      </c>
    </row>
    <row r="17" spans="1:11" x14ac:dyDescent="0.35">
      <c r="A17" s="2">
        <v>42121</v>
      </c>
      <c r="B17">
        <v>524.20000000000005</v>
      </c>
      <c r="C17" s="9">
        <v>45123</v>
      </c>
      <c r="D17" s="8">
        <v>550.19499999999994</v>
      </c>
      <c r="E17">
        <f t="shared" si="1"/>
        <v>551.1331818181817</v>
      </c>
      <c r="F17">
        <f t="shared" si="3"/>
        <v>-0.93818181818176072</v>
      </c>
      <c r="G17">
        <f t="shared" si="2"/>
        <v>0.88018512396683435</v>
      </c>
      <c r="H17">
        <f t="shared" si="0"/>
        <v>0.17051805599501282</v>
      </c>
      <c r="K17" t="s">
        <v>48</v>
      </c>
    </row>
    <row r="18" spans="1:11" x14ac:dyDescent="0.35">
      <c r="A18" s="2">
        <v>42122</v>
      </c>
      <c r="B18">
        <v>535</v>
      </c>
      <c r="C18" s="9">
        <v>45154</v>
      </c>
      <c r="D18" s="8">
        <v>576.77045454545453</v>
      </c>
      <c r="E18">
        <f t="shared" si="1"/>
        <v>571.28431818181821</v>
      </c>
      <c r="F18">
        <f t="shared" si="3"/>
        <v>5.4861363636363194</v>
      </c>
      <c r="G18">
        <f t="shared" si="2"/>
        <v>30.097692200412737</v>
      </c>
      <c r="H18">
        <f t="shared" si="0"/>
        <v>0.95118193388735106</v>
      </c>
    </row>
    <row r="19" spans="1:11" x14ac:dyDescent="0.35">
      <c r="A19" s="2">
        <v>42123</v>
      </c>
      <c r="B19">
        <v>551.95000000000005</v>
      </c>
      <c r="C19" s="9">
        <v>45185</v>
      </c>
      <c r="D19" s="8">
        <v>586.88750000000005</v>
      </c>
      <c r="E19">
        <f t="shared" si="1"/>
        <v>561.92896730462519</v>
      </c>
      <c r="F19">
        <f t="shared" si="3"/>
        <v>24.958532695374856</v>
      </c>
      <c r="G19">
        <f t="shared" si="2"/>
        <v>622.92835430609568</v>
      </c>
      <c r="H19">
        <f t="shared" si="0"/>
        <v>4.2526945445890147</v>
      </c>
    </row>
    <row r="20" spans="1:11" x14ac:dyDescent="0.35">
      <c r="A20" s="2">
        <v>42124</v>
      </c>
      <c r="B20">
        <v>567.79999999999995</v>
      </c>
      <c r="C20" s="9">
        <v>45215</v>
      </c>
      <c r="D20" s="8">
        <v>522.12894736842111</v>
      </c>
      <c r="E20">
        <f t="shared" si="1"/>
        <v>529.03643483709277</v>
      </c>
      <c r="F20">
        <f t="shared" si="3"/>
        <v>-6.9074874686716612</v>
      </c>
      <c r="G20">
        <f t="shared" si="2"/>
        <v>47.713383129856034</v>
      </c>
      <c r="H20">
        <f t="shared" si="0"/>
        <v>1.3229466597257338</v>
      </c>
    </row>
    <row r="21" spans="1:11" x14ac:dyDescent="0.35">
      <c r="A21" s="2">
        <v>42128</v>
      </c>
      <c r="B21">
        <v>568.35</v>
      </c>
      <c r="C21" s="9">
        <v>45246</v>
      </c>
      <c r="D21" s="8">
        <v>478.0928571428571</v>
      </c>
      <c r="E21">
        <f t="shared" si="1"/>
        <v>484.74363180678967</v>
      </c>
      <c r="F21">
        <f t="shared" si="3"/>
        <v>-6.650774663932566</v>
      </c>
      <c r="G21">
        <f t="shared" si="2"/>
        <v>44.232803630407339</v>
      </c>
      <c r="H21">
        <f t="shared" si="0"/>
        <v>1.3911052140955273</v>
      </c>
    </row>
    <row r="22" spans="1:11" x14ac:dyDescent="0.35">
      <c r="A22" s="2">
        <v>42129</v>
      </c>
      <c r="B22">
        <v>565.85</v>
      </c>
      <c r="C22" s="9">
        <v>45276</v>
      </c>
      <c r="D22" s="8">
        <v>454.00909090909096</v>
      </c>
      <c r="E22">
        <f t="shared" si="1"/>
        <v>464.81334776334774</v>
      </c>
      <c r="F22">
        <f t="shared" si="3"/>
        <v>-10.804256854256778</v>
      </c>
      <c r="G22">
        <f t="shared" si="2"/>
        <v>116.73196617275457</v>
      </c>
      <c r="H22">
        <f t="shared" si="0"/>
        <v>2.3797446065722463</v>
      </c>
    </row>
    <row r="23" spans="1:11" x14ac:dyDescent="0.35">
      <c r="A23" s="2">
        <v>42130</v>
      </c>
      <c r="B23">
        <v>543.29999999999995</v>
      </c>
      <c r="C23" s="9">
        <v>44943</v>
      </c>
      <c r="D23" s="8">
        <v>462.33809523809515</v>
      </c>
      <c r="E23">
        <f t="shared" si="1"/>
        <v>470.43941292625505</v>
      </c>
      <c r="F23">
        <f t="shared" si="3"/>
        <v>-8.1013176881598952</v>
      </c>
      <c r="G23">
        <f t="shared" si="2"/>
        <v>65.63134828449239</v>
      </c>
      <c r="H23">
        <f t="shared" si="0"/>
        <v>1.7522496570367783</v>
      </c>
    </row>
    <row r="24" spans="1:11" x14ac:dyDescent="0.35">
      <c r="A24" s="2">
        <v>42131</v>
      </c>
      <c r="B24">
        <v>527.35</v>
      </c>
      <c r="C24" s="9">
        <v>44974</v>
      </c>
      <c r="D24" s="8">
        <v>494.97105263157897</v>
      </c>
      <c r="E24">
        <f t="shared" si="1"/>
        <v>487.24395838080045</v>
      </c>
      <c r="F24">
        <f t="shared" si="3"/>
        <v>7.7270942507785207</v>
      </c>
      <c r="G24">
        <f t="shared" si="2"/>
        <v>59.707985560414471</v>
      </c>
      <c r="H24">
        <f t="shared" si="0"/>
        <v>1.5611204351641179</v>
      </c>
    </row>
    <row r="25" spans="1:11" x14ac:dyDescent="0.35">
      <c r="A25" s="2">
        <v>42132</v>
      </c>
      <c r="B25">
        <v>540.79999999999995</v>
      </c>
      <c r="C25" s="9">
        <v>45002</v>
      </c>
      <c r="D25" s="8">
        <v>504.42272727272717</v>
      </c>
      <c r="E25">
        <f t="shared" si="1"/>
        <v>501.37848219032429</v>
      </c>
      <c r="F25">
        <f t="shared" si="3"/>
        <v>3.0442450824028811</v>
      </c>
      <c r="G25">
        <f t="shared" si="2"/>
        <v>9.2674281217341239</v>
      </c>
      <c r="H25">
        <f t="shared" si="0"/>
        <v>0.60351069010356928</v>
      </c>
    </row>
    <row r="26" spans="1:11" x14ac:dyDescent="0.35">
      <c r="A26" s="2">
        <v>42135</v>
      </c>
      <c r="B26">
        <v>551.1</v>
      </c>
      <c r="C26" s="9">
        <v>45033</v>
      </c>
      <c r="D26" s="8">
        <v>504.74166666666656</v>
      </c>
      <c r="E26">
        <f t="shared" si="1"/>
        <v>505.48358585858574</v>
      </c>
      <c r="F26">
        <f t="shared" si="3"/>
        <v>-0.74191919191918032</v>
      </c>
      <c r="G26">
        <f t="shared" si="2"/>
        <v>0.55044408733800954</v>
      </c>
      <c r="H26">
        <f t="shared" si="0"/>
        <v>0.14698988431425591</v>
      </c>
    </row>
    <row r="27" spans="1:11" x14ac:dyDescent="0.35">
      <c r="A27" s="2">
        <v>42136</v>
      </c>
      <c r="B27">
        <v>532.35</v>
      </c>
      <c r="C27" s="9">
        <v>45063</v>
      </c>
      <c r="D27" s="8">
        <v>507.28636363636366</v>
      </c>
      <c r="E27">
        <f t="shared" si="1"/>
        <v>507.07283549783551</v>
      </c>
      <c r="F27">
        <f t="shared" si="3"/>
        <v>0.21352813852814734</v>
      </c>
      <c r="G27">
        <f t="shared" si="2"/>
        <v>4.559426594329568E-2</v>
      </c>
      <c r="H27">
        <f t="shared" si="0"/>
        <v>4.2092229130213717E-2</v>
      </c>
    </row>
    <row r="28" spans="1:11" x14ac:dyDescent="0.35">
      <c r="A28" s="2">
        <v>42137</v>
      </c>
      <c r="B28">
        <v>558.5</v>
      </c>
      <c r="C28" s="9">
        <v>45094</v>
      </c>
      <c r="D28" s="8">
        <v>509.19047619047626</v>
      </c>
      <c r="E28">
        <f t="shared" si="1"/>
        <v>511.78989898989903</v>
      </c>
      <c r="F28">
        <f t="shared" si="3"/>
        <v>-2.5994227994227685</v>
      </c>
      <c r="G28">
        <f t="shared" si="2"/>
        <v>6.7569988901589024</v>
      </c>
      <c r="H28">
        <f t="shared" si="0"/>
        <v>0.51050106413427598</v>
      </c>
    </row>
    <row r="29" spans="1:11" x14ac:dyDescent="0.35">
      <c r="A29" s="2">
        <v>42138</v>
      </c>
      <c r="B29">
        <v>555.85</v>
      </c>
      <c r="C29" s="9">
        <v>45124</v>
      </c>
      <c r="D29" s="8">
        <v>518.89285714285711</v>
      </c>
      <c r="E29">
        <f t="shared" si="1"/>
        <v>509.6103174603175</v>
      </c>
      <c r="F29">
        <f t="shared" si="3"/>
        <v>9.2825396825396069</v>
      </c>
      <c r="G29">
        <f t="shared" si="2"/>
        <v>86.165542957922511</v>
      </c>
      <c r="H29">
        <f t="shared" si="0"/>
        <v>1.7889125962633974</v>
      </c>
    </row>
    <row r="30" spans="1:11" x14ac:dyDescent="0.35">
      <c r="A30" s="2">
        <v>42139</v>
      </c>
      <c r="B30">
        <v>562.04999999999995</v>
      </c>
      <c r="C30" s="9">
        <v>45155</v>
      </c>
      <c r="D30" s="8">
        <v>500.74761904761897</v>
      </c>
      <c r="E30">
        <f t="shared" si="1"/>
        <v>508.85238095238088</v>
      </c>
      <c r="F30">
        <f t="shared" si="3"/>
        <v>-8.104761904761915</v>
      </c>
      <c r="G30">
        <f t="shared" si="2"/>
        <v>65.687165532879987</v>
      </c>
      <c r="H30">
        <f t="shared" si="0"/>
        <v>1.6185322898142802</v>
      </c>
    </row>
    <row r="31" spans="1:11" x14ac:dyDescent="0.35">
      <c r="A31" s="2">
        <v>42142</v>
      </c>
      <c r="B31">
        <v>567.5</v>
      </c>
      <c r="C31" s="9">
        <v>45186</v>
      </c>
      <c r="D31" s="8">
        <v>506.91666666666657</v>
      </c>
      <c r="E31">
        <f t="shared" si="1"/>
        <v>501.24726190476184</v>
      </c>
      <c r="F31">
        <f t="shared" si="3"/>
        <v>5.6694047619047296</v>
      </c>
      <c r="G31">
        <f t="shared" si="2"/>
        <v>32.142150354308022</v>
      </c>
      <c r="H31">
        <f t="shared" si="0"/>
        <v>1.1184096193137723</v>
      </c>
    </row>
    <row r="32" spans="1:11" x14ac:dyDescent="0.35">
      <c r="A32" s="2">
        <v>42143</v>
      </c>
      <c r="B32">
        <v>561.45000000000005</v>
      </c>
      <c r="C32" s="9">
        <v>45216</v>
      </c>
      <c r="D32" s="8">
        <v>496.07749999999999</v>
      </c>
      <c r="E32">
        <f t="shared" si="1"/>
        <v>515.21017676767667</v>
      </c>
      <c r="F32">
        <f t="shared" si="3"/>
        <v>-19.132676767676685</v>
      </c>
      <c r="G32">
        <f t="shared" si="2"/>
        <v>366.05932029639519</v>
      </c>
      <c r="H32">
        <f t="shared" si="0"/>
        <v>3.8567918858800661</v>
      </c>
    </row>
    <row r="33" spans="1:8" x14ac:dyDescent="0.35">
      <c r="A33" s="2">
        <v>42144</v>
      </c>
      <c r="B33">
        <v>558.25</v>
      </c>
      <c r="C33" s="9">
        <v>45247</v>
      </c>
      <c r="D33" s="8">
        <v>542.63636363636351</v>
      </c>
      <c r="E33">
        <f t="shared" si="1"/>
        <v>527.86462121212116</v>
      </c>
      <c r="F33">
        <f t="shared" si="3"/>
        <v>14.771742424242348</v>
      </c>
      <c r="G33">
        <f t="shared" si="2"/>
        <v>218.2043742481612</v>
      </c>
      <c r="H33">
        <f t="shared" si="0"/>
        <v>2.722217568548599</v>
      </c>
    </row>
    <row r="34" spans="1:8" x14ac:dyDescent="0.35">
      <c r="A34" s="2">
        <v>42145</v>
      </c>
      <c r="B34">
        <v>570.45000000000005</v>
      </c>
      <c r="C34" s="9">
        <v>45277</v>
      </c>
      <c r="D34" s="8">
        <v>544.88</v>
      </c>
      <c r="E34">
        <f t="shared" si="1"/>
        <v>555.66606060606057</v>
      </c>
      <c r="F34">
        <f t="shared" si="3"/>
        <v>-10.786060606060573</v>
      </c>
      <c r="G34">
        <f t="shared" si="2"/>
        <v>116.33910339761178</v>
      </c>
      <c r="H34">
        <f t="shared" si="0"/>
        <v>1.9795295489026157</v>
      </c>
    </row>
    <row r="35" spans="1:8" x14ac:dyDescent="0.35">
      <c r="A35" s="2">
        <v>42146</v>
      </c>
      <c r="B35">
        <v>568.65</v>
      </c>
      <c r="C35" s="9">
        <v>44944</v>
      </c>
      <c r="D35" s="8">
        <v>579.4818181818182</v>
      </c>
      <c r="E35">
        <f t="shared" si="1"/>
        <v>558.2442902711324</v>
      </c>
      <c r="F35">
        <f t="shared" si="3"/>
        <v>21.237527910685799</v>
      </c>
      <c r="G35">
        <f t="shared" si="2"/>
        <v>451.03259175715829</v>
      </c>
      <c r="H35">
        <f t="shared" si="0"/>
        <v>3.6649170421464912</v>
      </c>
    </row>
    <row r="36" spans="1:8" x14ac:dyDescent="0.35">
      <c r="A36" s="2">
        <v>42149</v>
      </c>
      <c r="B36">
        <v>562.1</v>
      </c>
      <c r="C36" s="9">
        <v>44975</v>
      </c>
      <c r="D36" s="8">
        <v>550.37105263157889</v>
      </c>
      <c r="E36">
        <f t="shared" si="1"/>
        <v>549.5974481658692</v>
      </c>
      <c r="F36">
        <f t="shared" si="3"/>
        <v>0.77360446570969543</v>
      </c>
      <c r="G36">
        <f t="shared" si="2"/>
        <v>0.59846386936598328</v>
      </c>
      <c r="H36">
        <f t="shared" si="0"/>
        <v>0.14056052948474201</v>
      </c>
    </row>
    <row r="37" spans="1:8" x14ac:dyDescent="0.35">
      <c r="A37" s="2">
        <v>42150</v>
      </c>
      <c r="B37">
        <v>564.25</v>
      </c>
      <c r="C37" s="9">
        <v>45003</v>
      </c>
      <c r="D37" s="8">
        <v>518.9394736842105</v>
      </c>
      <c r="E37">
        <f t="shared" si="1"/>
        <v>528.88208020050126</v>
      </c>
      <c r="F37">
        <f t="shared" si="3"/>
        <v>-9.9426065162907662</v>
      </c>
      <c r="G37">
        <f t="shared" si="2"/>
        <v>98.855424337787611</v>
      </c>
      <c r="H37">
        <f t="shared" si="0"/>
        <v>1.9159472386448533</v>
      </c>
    </row>
    <row r="38" spans="1:8" x14ac:dyDescent="0.35">
      <c r="A38" s="2">
        <v>42151</v>
      </c>
      <c r="B38">
        <v>577.79999999999995</v>
      </c>
      <c r="C38" s="9">
        <v>45034</v>
      </c>
      <c r="D38" s="8">
        <v>517.33571428571429</v>
      </c>
      <c r="E38">
        <f t="shared" si="1"/>
        <v>525.03112326270218</v>
      </c>
      <c r="F38">
        <f t="shared" si="3"/>
        <v>-7.6954089769878919</v>
      </c>
      <c r="G38">
        <f t="shared" si="2"/>
        <v>59.219319323105836</v>
      </c>
      <c r="H38">
        <f t="shared" si="0"/>
        <v>1.4875077757995014</v>
      </c>
    </row>
    <row r="39" spans="1:8" x14ac:dyDescent="0.35">
      <c r="A39" s="2">
        <v>42152</v>
      </c>
      <c r="B39">
        <v>574.65</v>
      </c>
      <c r="C39" s="9">
        <v>45064</v>
      </c>
      <c r="D39" s="8">
        <v>538.81818181818176</v>
      </c>
      <c r="E39">
        <f t="shared" si="1"/>
        <v>527.36082251082246</v>
      </c>
      <c r="F39">
        <f t="shared" si="3"/>
        <v>11.457359307359297</v>
      </c>
      <c r="G39">
        <f t="shared" si="2"/>
        <v>131.27108229793271</v>
      </c>
      <c r="H39">
        <f t="shared" si="0"/>
        <v>2.1263869138004434</v>
      </c>
    </row>
    <row r="40" spans="1:8" x14ac:dyDescent="0.35">
      <c r="A40" s="2">
        <v>42153</v>
      </c>
      <c r="B40">
        <v>585.4</v>
      </c>
      <c r="C40" s="9">
        <v>45095</v>
      </c>
      <c r="D40" s="8">
        <v>525.92857142857156</v>
      </c>
      <c r="E40">
        <f t="shared" si="1"/>
        <v>532.18300865800859</v>
      </c>
      <c r="F40">
        <f t="shared" si="3"/>
        <v>-6.2544372294370305</v>
      </c>
      <c r="G40">
        <f t="shared" si="2"/>
        <v>39.11798505696796</v>
      </c>
      <c r="H40">
        <f t="shared" si="0"/>
        <v>1.1892179982631863</v>
      </c>
    </row>
    <row r="41" spans="1:8" x14ac:dyDescent="0.35">
      <c r="A41" s="2">
        <v>42156</v>
      </c>
      <c r="B41">
        <v>578.45000000000005</v>
      </c>
      <c r="C41" s="9">
        <v>45125</v>
      </c>
      <c r="D41" s="8">
        <v>531.80227272727268</v>
      </c>
      <c r="E41">
        <f t="shared" si="1"/>
        <v>558.31504329004338</v>
      </c>
      <c r="F41">
        <f t="shared" si="3"/>
        <v>-26.512770562770697</v>
      </c>
      <c r="G41">
        <f t="shared" si="2"/>
        <v>702.92700291412041</v>
      </c>
      <c r="H41">
        <f t="shared" si="0"/>
        <v>4.9854564228926108</v>
      </c>
    </row>
    <row r="42" spans="1:8" x14ac:dyDescent="0.35">
      <c r="A42" s="2">
        <v>42157</v>
      </c>
      <c r="B42">
        <v>553.1</v>
      </c>
      <c r="C42" s="9">
        <v>45156</v>
      </c>
      <c r="D42" s="8">
        <v>617.21428571428567</v>
      </c>
      <c r="E42">
        <f t="shared" si="1"/>
        <v>591.41014911014906</v>
      </c>
      <c r="F42">
        <f t="shared" si="3"/>
        <v>25.804136604136602</v>
      </c>
      <c r="G42">
        <f t="shared" si="2"/>
        <v>665.85346588494247</v>
      </c>
      <c r="H42">
        <f t="shared" si="0"/>
        <v>4.1807419564623594</v>
      </c>
    </row>
    <row r="43" spans="1:8" x14ac:dyDescent="0.35">
      <c r="A43" s="2">
        <v>42158</v>
      </c>
      <c r="B43">
        <v>550.9</v>
      </c>
      <c r="C43" s="9">
        <v>45187</v>
      </c>
      <c r="D43" s="8">
        <v>625.21388888888896</v>
      </c>
      <c r="E43">
        <f t="shared" si="1"/>
        <v>604.43240740740748</v>
      </c>
      <c r="F43">
        <f t="shared" si="3"/>
        <v>20.781481481481478</v>
      </c>
      <c r="G43">
        <f t="shared" si="2"/>
        <v>431.86997256515764</v>
      </c>
      <c r="H43">
        <f t="shared" si="0"/>
        <v>3.3238995247552312</v>
      </c>
    </row>
    <row r="44" spans="1:8" x14ac:dyDescent="0.35">
      <c r="A44" s="2">
        <v>42159</v>
      </c>
      <c r="B44">
        <v>556.4</v>
      </c>
      <c r="C44" s="9">
        <v>45217</v>
      </c>
      <c r="D44" s="8">
        <v>570.86904761904782</v>
      </c>
      <c r="E44">
        <f t="shared" si="1"/>
        <v>604.69264550264552</v>
      </c>
      <c r="F44">
        <f t="shared" si="3"/>
        <v>-33.823597883597699</v>
      </c>
      <c r="G44">
        <f t="shared" si="2"/>
        <v>1144.0357737913148</v>
      </c>
      <c r="H44">
        <f t="shared" si="0"/>
        <v>5.9249311246891869</v>
      </c>
    </row>
    <row r="45" spans="1:8" x14ac:dyDescent="0.35">
      <c r="A45" s="2">
        <v>42160</v>
      </c>
      <c r="B45">
        <v>548.4</v>
      </c>
      <c r="C45" s="9">
        <v>45248</v>
      </c>
      <c r="D45" s="8">
        <v>617.995</v>
      </c>
      <c r="E45">
        <f t="shared" si="1"/>
        <v>602.1188492063493</v>
      </c>
      <c r="F45">
        <f t="shared" si="3"/>
        <v>15.876150793650709</v>
      </c>
      <c r="G45">
        <f t="shared" si="2"/>
        <v>252.05216402273604</v>
      </c>
      <c r="H45">
        <f t="shared" si="0"/>
        <v>2.5689772237074262</v>
      </c>
    </row>
    <row r="46" spans="1:8" x14ac:dyDescent="0.35">
      <c r="A46" s="2">
        <v>42163</v>
      </c>
      <c r="B46">
        <v>553.6</v>
      </c>
      <c r="C46" s="9">
        <v>45278</v>
      </c>
      <c r="D46" s="8">
        <v>617.49249999999995</v>
      </c>
      <c r="E46">
        <f t="shared" si="1"/>
        <v>631.18786231884053</v>
      </c>
      <c r="F46">
        <f t="shared" si="3"/>
        <v>-13.69536231884058</v>
      </c>
      <c r="G46">
        <f t="shared" si="2"/>
        <v>187.56294904431843</v>
      </c>
      <c r="H46">
        <f t="shared" si="0"/>
        <v>2.2178993783471999</v>
      </c>
    </row>
    <row r="47" spans="1:8" x14ac:dyDescent="0.35">
      <c r="A47" s="2">
        <v>42164</v>
      </c>
      <c r="B47">
        <v>558.70000000000005</v>
      </c>
      <c r="C47" s="9">
        <v>44945</v>
      </c>
      <c r="D47" s="8">
        <v>658.07608695652186</v>
      </c>
      <c r="E47">
        <f t="shared" si="1"/>
        <v>661.28369565217395</v>
      </c>
      <c r="F47">
        <f t="shared" si="3"/>
        <v>-3.207608695652084</v>
      </c>
      <c r="G47">
        <f t="shared" si="2"/>
        <v>10.288753544422864</v>
      </c>
      <c r="H47">
        <f t="shared" si="0"/>
        <v>0.4874221627603384</v>
      </c>
    </row>
    <row r="48" spans="1:8" x14ac:dyDescent="0.35">
      <c r="A48" s="2">
        <v>42165</v>
      </c>
      <c r="B48">
        <v>564.5</v>
      </c>
      <c r="C48" s="9">
        <v>44976</v>
      </c>
      <c r="D48" s="8">
        <v>708.28250000000003</v>
      </c>
      <c r="E48">
        <f t="shared" si="1"/>
        <v>703.84409038901606</v>
      </c>
      <c r="F48">
        <f t="shared" si="3"/>
        <v>4.4384096109839675</v>
      </c>
      <c r="G48">
        <f t="shared" si="2"/>
        <v>19.699479874874854</v>
      </c>
      <c r="H48">
        <f t="shared" si="0"/>
        <v>0.62664397482416512</v>
      </c>
    </row>
    <row r="49" spans="1:8" x14ac:dyDescent="0.35">
      <c r="A49" s="2">
        <v>42166</v>
      </c>
      <c r="B49">
        <v>546.75</v>
      </c>
      <c r="C49" s="9">
        <v>45004</v>
      </c>
      <c r="D49" s="8">
        <v>745.1736842105264</v>
      </c>
      <c r="E49">
        <f t="shared" si="1"/>
        <v>737.9722368421053</v>
      </c>
      <c r="F49">
        <f t="shared" si="3"/>
        <v>7.2014473684210998</v>
      </c>
      <c r="G49">
        <f t="shared" si="2"/>
        <v>51.860844200139184</v>
      </c>
      <c r="H49">
        <f t="shared" si="0"/>
        <v>0.96641192798571063</v>
      </c>
    </row>
    <row r="50" spans="1:8" x14ac:dyDescent="0.35">
      <c r="A50" s="2">
        <v>42167</v>
      </c>
      <c r="B50">
        <v>551.45000000000005</v>
      </c>
      <c r="C50" s="9">
        <v>45035</v>
      </c>
      <c r="D50" s="8">
        <v>760.46052631578959</v>
      </c>
      <c r="E50">
        <f t="shared" si="1"/>
        <v>756.6303429027115</v>
      </c>
      <c r="F50">
        <f t="shared" si="3"/>
        <v>3.830183413078089</v>
      </c>
      <c r="G50">
        <f t="shared" si="2"/>
        <v>14.670304977818519</v>
      </c>
      <c r="H50">
        <f t="shared" si="0"/>
        <v>0.50366630226478881</v>
      </c>
    </row>
    <row r="51" spans="1:8" x14ac:dyDescent="0.35">
      <c r="A51" s="2">
        <v>42170</v>
      </c>
      <c r="B51">
        <v>550.04999999999995</v>
      </c>
      <c r="C51" s="9">
        <v>45065</v>
      </c>
      <c r="D51" s="8">
        <v>764.25681818181829</v>
      </c>
      <c r="E51">
        <f t="shared" si="1"/>
        <v>773.49700956937806</v>
      </c>
      <c r="F51">
        <f t="shared" si="3"/>
        <v>-9.2401913875597756</v>
      </c>
      <c r="G51">
        <f t="shared" si="2"/>
        <v>85.381136878733855</v>
      </c>
      <c r="H51">
        <f t="shared" si="0"/>
        <v>1.2090427154503338</v>
      </c>
    </row>
    <row r="52" spans="1:8" x14ac:dyDescent="0.35">
      <c r="A52" s="2">
        <v>42171</v>
      </c>
      <c r="B52">
        <v>551.15</v>
      </c>
      <c r="C52" s="9">
        <v>45096</v>
      </c>
      <c r="D52" s="8">
        <v>795.77368421052631</v>
      </c>
      <c r="E52">
        <f t="shared" si="1"/>
        <v>771.46668920324521</v>
      </c>
      <c r="F52">
        <f t="shared" si="3"/>
        <v>24.306995007281103</v>
      </c>
      <c r="G52">
        <f t="shared" si="2"/>
        <v>590.8300062839885</v>
      </c>
      <c r="H52">
        <f t="shared" si="0"/>
        <v>3.0545110361868355</v>
      </c>
    </row>
    <row r="53" spans="1:8" x14ac:dyDescent="0.35">
      <c r="A53" s="2">
        <v>42172</v>
      </c>
      <c r="B53">
        <v>549.25</v>
      </c>
      <c r="C53" s="9">
        <v>45126</v>
      </c>
      <c r="D53" s="8">
        <v>754.36956521739114</v>
      </c>
      <c r="E53">
        <f t="shared" si="1"/>
        <v>739.56024980930579</v>
      </c>
      <c r="F53">
        <f t="shared" si="3"/>
        <v>14.809315408085354</v>
      </c>
      <c r="G53">
        <f t="shared" si="2"/>
        <v>219.31582285615426</v>
      </c>
      <c r="H53">
        <f t="shared" si="0"/>
        <v>1.9631379751935865</v>
      </c>
    </row>
    <row r="54" spans="1:8" x14ac:dyDescent="0.35">
      <c r="A54" s="2">
        <v>42173</v>
      </c>
      <c r="B54">
        <v>550.04999999999995</v>
      </c>
      <c r="C54" s="9">
        <v>45157</v>
      </c>
      <c r="D54" s="8">
        <v>668.53750000000002</v>
      </c>
      <c r="E54">
        <f t="shared" si="1"/>
        <v>698.73656559877952</v>
      </c>
      <c r="F54">
        <f t="shared" si="3"/>
        <v>-30.199065598779498</v>
      </c>
      <c r="G54">
        <f t="shared" si="2"/>
        <v>911.98356303938738</v>
      </c>
      <c r="H54">
        <f t="shared" si="0"/>
        <v>4.5171834936379032</v>
      </c>
    </row>
    <row r="55" spans="1:8" x14ac:dyDescent="0.35">
      <c r="A55" s="2">
        <v>42174</v>
      </c>
      <c r="B55">
        <v>551.54999999999995</v>
      </c>
      <c r="C55" s="9">
        <v>45188</v>
      </c>
      <c r="D55" s="8">
        <v>673.30263157894728</v>
      </c>
      <c r="E55">
        <f t="shared" si="1"/>
        <v>680.1525438596492</v>
      </c>
      <c r="F55">
        <f t="shared" si="3"/>
        <v>-6.8499122807019148</v>
      </c>
      <c r="G55">
        <f t="shared" si="2"/>
        <v>46.921298253310908</v>
      </c>
      <c r="H55">
        <f t="shared" si="0"/>
        <v>1.0173600932820261</v>
      </c>
    </row>
    <row r="56" spans="1:8" x14ac:dyDescent="0.35">
      <c r="A56" s="2">
        <v>42177</v>
      </c>
      <c r="B56">
        <v>572.15</v>
      </c>
      <c r="C56" s="9">
        <v>45218</v>
      </c>
      <c r="D56" s="8">
        <v>698.61750000000006</v>
      </c>
      <c r="E56">
        <f t="shared" si="1"/>
        <v>703.185043859649</v>
      </c>
      <c r="F56">
        <f t="shared" si="3"/>
        <v>-4.5675438596489357</v>
      </c>
      <c r="G56">
        <f t="shared" si="2"/>
        <v>20.862456909816697</v>
      </c>
      <c r="H56">
        <f t="shared" si="0"/>
        <v>0.65379751575775513</v>
      </c>
    </row>
    <row r="57" spans="1:8" x14ac:dyDescent="0.35">
      <c r="A57" s="2">
        <v>42178</v>
      </c>
      <c r="B57">
        <v>571.29999999999995</v>
      </c>
      <c r="C57" s="9">
        <v>45249</v>
      </c>
      <c r="D57" s="8">
        <v>737.63499999999988</v>
      </c>
      <c r="E57">
        <f t="shared" si="1"/>
        <v>724.91829365079366</v>
      </c>
      <c r="F57">
        <f t="shared" si="3"/>
        <v>12.71670634920622</v>
      </c>
      <c r="G57">
        <f t="shared" si="2"/>
        <v>161.71462037194178</v>
      </c>
      <c r="H57">
        <f t="shared" si="0"/>
        <v>1.7239835893370328</v>
      </c>
    </row>
    <row r="58" spans="1:8" x14ac:dyDescent="0.35">
      <c r="A58" s="2">
        <v>42179</v>
      </c>
      <c r="B58">
        <v>571.5</v>
      </c>
      <c r="C58" s="9">
        <v>45279</v>
      </c>
      <c r="D58" s="8">
        <v>738.50238095238092</v>
      </c>
      <c r="E58">
        <f t="shared" si="1"/>
        <v>737.0378226363008</v>
      </c>
      <c r="F58">
        <f t="shared" si="3"/>
        <v>1.4645583160801152</v>
      </c>
      <c r="G58">
        <f t="shared" si="2"/>
        <v>2.1449310611994226</v>
      </c>
      <c r="H58">
        <f t="shared" si="0"/>
        <v>0.19831463700785965</v>
      </c>
    </row>
    <row r="59" spans="1:8" x14ac:dyDescent="0.35">
      <c r="A59" s="2">
        <v>42180</v>
      </c>
      <c r="B59">
        <v>570.04999999999995</v>
      </c>
      <c r="C59" s="9">
        <v>44946</v>
      </c>
      <c r="D59" s="8">
        <v>734.97608695652173</v>
      </c>
      <c r="E59">
        <f t="shared" si="1"/>
        <v>735.21448930296754</v>
      </c>
      <c r="F59">
        <f t="shared" si="3"/>
        <v>-0.2384023464458096</v>
      </c>
      <c r="G59">
        <f t="shared" si="2"/>
        <v>5.6835678790867823E-2</v>
      </c>
      <c r="H59">
        <f t="shared" si="0"/>
        <v>3.2436748715596313E-2</v>
      </c>
    </row>
    <row r="60" spans="1:8" x14ac:dyDescent="0.35">
      <c r="A60" s="2">
        <v>42181</v>
      </c>
      <c r="B60">
        <v>565.5</v>
      </c>
      <c r="C60" s="9">
        <v>44977</v>
      </c>
      <c r="D60" s="8">
        <v>732.16499999999985</v>
      </c>
      <c r="E60">
        <f t="shared" si="1"/>
        <v>655.04306073153896</v>
      </c>
      <c r="F60">
        <f t="shared" si="3"/>
        <v>77.121939268460892</v>
      </c>
      <c r="G60">
        <f t="shared" si="2"/>
        <v>5947.7935165281706</v>
      </c>
      <c r="H60">
        <f t="shared" si="0"/>
        <v>10.533409718910479</v>
      </c>
    </row>
    <row r="61" spans="1:8" x14ac:dyDescent="0.35">
      <c r="A61" s="2">
        <v>42184</v>
      </c>
      <c r="B61">
        <v>562.70000000000005</v>
      </c>
      <c r="C61" s="9">
        <v>45005</v>
      </c>
      <c r="D61" s="8">
        <v>497.98809523809524</v>
      </c>
      <c r="E61">
        <f t="shared" si="1"/>
        <v>549.50566137566136</v>
      </c>
      <c r="F61">
        <f t="shared" si="3"/>
        <v>-51.517566137566121</v>
      </c>
      <c r="G61">
        <f t="shared" si="2"/>
        <v>2654.0596207384992</v>
      </c>
      <c r="H61">
        <f t="shared" si="0"/>
        <v>10.34514010077587</v>
      </c>
    </row>
    <row r="62" spans="1:8" x14ac:dyDescent="0.35">
      <c r="A62" s="2">
        <v>42185</v>
      </c>
      <c r="B62">
        <v>558.95000000000005</v>
      </c>
      <c r="C62" s="9">
        <v>45036</v>
      </c>
      <c r="D62" s="8">
        <v>418.36388888888882</v>
      </c>
      <c r="E62">
        <f t="shared" si="1"/>
        <v>431.85592453355611</v>
      </c>
      <c r="F62">
        <f t="shared" si="3"/>
        <v>-13.492035644667283</v>
      </c>
      <c r="G62">
        <f t="shared" si="2"/>
        <v>182.03502583697249</v>
      </c>
      <c r="H62">
        <f t="shared" si="0"/>
        <v>3.2249522492249723</v>
      </c>
    </row>
    <row r="63" spans="1:8" x14ac:dyDescent="0.35">
      <c r="A63" s="2">
        <v>42186</v>
      </c>
      <c r="B63">
        <v>578.65</v>
      </c>
      <c r="C63" s="9">
        <v>45066</v>
      </c>
      <c r="D63" s="8">
        <v>379.2157894736842</v>
      </c>
      <c r="E63">
        <f t="shared" si="1"/>
        <v>403.0583776360092</v>
      </c>
      <c r="F63">
        <f t="shared" si="3"/>
        <v>-23.842588162325001</v>
      </c>
      <c r="G63">
        <f t="shared" si="2"/>
        <v>568.46901027824026</v>
      </c>
      <c r="H63">
        <f t="shared" si="0"/>
        <v>6.2873405654907639</v>
      </c>
    </row>
    <row r="64" spans="1:8" x14ac:dyDescent="0.35">
      <c r="A64" s="2">
        <v>42187</v>
      </c>
      <c r="B64">
        <v>584</v>
      </c>
      <c r="C64" s="9">
        <v>45097</v>
      </c>
      <c r="D64" s="8">
        <v>411.59545454545446</v>
      </c>
      <c r="E64">
        <f t="shared" si="1"/>
        <v>409.80447264406075</v>
      </c>
      <c r="F64">
        <f t="shared" si="3"/>
        <v>1.7909819013937067</v>
      </c>
      <c r="G64">
        <f t="shared" si="2"/>
        <v>3.2076161711198172</v>
      </c>
      <c r="H64">
        <f t="shared" si="0"/>
        <v>0.43513160352355634</v>
      </c>
    </row>
    <row r="65" spans="1:8" x14ac:dyDescent="0.35">
      <c r="A65" s="2">
        <v>42188</v>
      </c>
      <c r="B65">
        <v>585.95000000000005</v>
      </c>
      <c r="C65" s="9">
        <v>45127</v>
      </c>
      <c r="D65" s="8">
        <v>438.60217391304343</v>
      </c>
      <c r="E65">
        <f t="shared" si="1"/>
        <v>432.69127297822951</v>
      </c>
      <c r="F65">
        <f t="shared" si="3"/>
        <v>5.9109009348139239</v>
      </c>
      <c r="G65">
        <f t="shared" si="2"/>
        <v>34.938749861184121</v>
      </c>
      <c r="H65">
        <f t="shared" si="0"/>
        <v>1.3476679520484569</v>
      </c>
    </row>
    <row r="66" spans="1:8" x14ac:dyDescent="0.35">
      <c r="A66" s="2">
        <v>42191</v>
      </c>
      <c r="B66">
        <v>584.20000000000005</v>
      </c>
      <c r="C66" s="9">
        <v>45158</v>
      </c>
      <c r="D66" s="8">
        <v>447.87619047619046</v>
      </c>
      <c r="E66">
        <f t="shared" si="1"/>
        <v>442.6791517661083</v>
      </c>
      <c r="F66">
        <f t="shared" si="3"/>
        <v>5.197038710082154</v>
      </c>
      <c r="G66">
        <f t="shared" si="2"/>
        <v>27.009211354092379</v>
      </c>
      <c r="H66">
        <f t="shared" si="0"/>
        <v>1.1603739650809666</v>
      </c>
    </row>
    <row r="67" spans="1:8" x14ac:dyDescent="0.35">
      <c r="A67" s="2">
        <v>42192</v>
      </c>
      <c r="B67">
        <v>586.20000000000005</v>
      </c>
      <c r="C67" s="9">
        <v>45189</v>
      </c>
      <c r="D67" s="8">
        <v>441.55909090909086</v>
      </c>
      <c r="E67">
        <f t="shared" si="1"/>
        <v>455.91572871572868</v>
      </c>
      <c r="F67">
        <f t="shared" si="3"/>
        <v>-14.356637806637821</v>
      </c>
      <c r="G67">
        <f t="shared" si="2"/>
        <v>206.11304911098242</v>
      </c>
      <c r="H67">
        <f t="shared" si="0"/>
        <v>3.2513514277511724</v>
      </c>
    </row>
    <row r="68" spans="1:8" x14ac:dyDescent="0.35">
      <c r="A68" s="2">
        <v>42193</v>
      </c>
      <c r="B68">
        <v>576.65</v>
      </c>
      <c r="C68" s="9">
        <v>45219</v>
      </c>
      <c r="D68" s="8">
        <v>478.31190476190483</v>
      </c>
      <c r="E68">
        <f t="shared" si="1"/>
        <v>502.57699855699849</v>
      </c>
      <c r="F68">
        <f t="shared" si="3"/>
        <v>-24.265093795093662</v>
      </c>
      <c r="G68">
        <f t="shared" si="2"/>
        <v>588.79477688469296</v>
      </c>
      <c r="H68">
        <f t="shared" ref="H68:H84" si="4">ABS(F68)/D68*100</f>
        <v>5.0730691738003877</v>
      </c>
    </row>
    <row r="69" spans="1:8" x14ac:dyDescent="0.35">
      <c r="A69" s="2">
        <v>42194</v>
      </c>
      <c r="B69">
        <v>571.70000000000005</v>
      </c>
      <c r="C69" s="9">
        <v>45250</v>
      </c>
      <c r="D69" s="8">
        <v>587.86</v>
      </c>
      <c r="E69">
        <f t="shared" ref="E69:E84" si="5">AVERAGE(D68:D70)</f>
        <v>559.26411976911993</v>
      </c>
      <c r="F69">
        <f t="shared" si="3"/>
        <v>28.595880230880084</v>
      </c>
      <c r="G69">
        <f t="shared" ref="G69:G84" si="6">F69*F69</f>
        <v>817.72436617883841</v>
      </c>
      <c r="H69">
        <f t="shared" si="4"/>
        <v>4.864403128445562</v>
      </c>
    </row>
    <row r="70" spans="1:8" x14ac:dyDescent="0.35">
      <c r="A70" s="2">
        <v>42195</v>
      </c>
      <c r="B70">
        <v>578.1</v>
      </c>
      <c r="C70" s="9">
        <v>45280</v>
      </c>
      <c r="D70" s="8">
        <v>611.62045454545466</v>
      </c>
      <c r="E70">
        <f t="shared" si="5"/>
        <v>620.46431818181827</v>
      </c>
      <c r="F70">
        <f t="shared" ref="F70:F84" si="7">D70-E70</f>
        <v>-8.8438636363636078</v>
      </c>
      <c r="G70">
        <f t="shared" si="6"/>
        <v>78.21392401859454</v>
      </c>
      <c r="H70">
        <f t="shared" si="4"/>
        <v>1.4459725096892333</v>
      </c>
    </row>
    <row r="71" spans="1:8" x14ac:dyDescent="0.35">
      <c r="A71" s="2">
        <v>42198</v>
      </c>
      <c r="B71">
        <v>581.95000000000005</v>
      </c>
      <c r="C71" s="9">
        <v>44947</v>
      </c>
      <c r="D71" s="8">
        <v>661.91250000000002</v>
      </c>
      <c r="E71">
        <f t="shared" si="5"/>
        <v>672.48598484848492</v>
      </c>
      <c r="F71">
        <f t="shared" si="7"/>
        <v>-10.573484848484895</v>
      </c>
      <c r="G71">
        <f t="shared" si="6"/>
        <v>111.79858184113965</v>
      </c>
      <c r="H71">
        <f t="shared" si="4"/>
        <v>1.5974142879134168</v>
      </c>
    </row>
    <row r="72" spans="1:8" x14ac:dyDescent="0.35">
      <c r="A72" s="2">
        <v>42199</v>
      </c>
      <c r="B72">
        <v>583.9</v>
      </c>
      <c r="C72" s="9">
        <v>44978</v>
      </c>
      <c r="D72" s="8">
        <v>743.92499999999995</v>
      </c>
      <c r="E72">
        <f t="shared" si="5"/>
        <v>711.07599206349221</v>
      </c>
      <c r="F72">
        <f t="shared" si="7"/>
        <v>32.849007936507746</v>
      </c>
      <c r="G72">
        <f t="shared" si="6"/>
        <v>1079.0573224127488</v>
      </c>
      <c r="H72">
        <f t="shared" si="4"/>
        <v>4.4156343632096986</v>
      </c>
    </row>
    <row r="73" spans="1:8" x14ac:dyDescent="0.35">
      <c r="A73" s="2">
        <v>42200</v>
      </c>
      <c r="B73">
        <v>584</v>
      </c>
      <c r="C73" s="9">
        <v>45006</v>
      </c>
      <c r="D73" s="8">
        <v>727.39047619047631</v>
      </c>
      <c r="E73">
        <f t="shared" si="5"/>
        <v>717.1270885547201</v>
      </c>
      <c r="F73">
        <f t="shared" si="7"/>
        <v>10.263387635756203</v>
      </c>
      <c r="G73">
        <f t="shared" si="6"/>
        <v>105.3371257617933</v>
      </c>
      <c r="H73">
        <f t="shared" si="4"/>
        <v>1.4109873543448219</v>
      </c>
    </row>
    <row r="74" spans="1:8" x14ac:dyDescent="0.35">
      <c r="A74" s="2">
        <v>42201</v>
      </c>
      <c r="B74">
        <v>608.65</v>
      </c>
      <c r="C74" s="9">
        <v>45037</v>
      </c>
      <c r="D74" s="8">
        <v>680.06578947368416</v>
      </c>
      <c r="E74">
        <f t="shared" si="5"/>
        <v>708.73375522138679</v>
      </c>
      <c r="F74">
        <f t="shared" si="7"/>
        <v>-28.667965747702624</v>
      </c>
      <c r="G74">
        <f t="shared" si="6"/>
        <v>821.85226011145085</v>
      </c>
      <c r="H74">
        <f t="shared" si="4"/>
        <v>4.2154694724299109</v>
      </c>
    </row>
    <row r="75" spans="1:8" x14ac:dyDescent="0.35">
      <c r="A75" s="2">
        <v>42202</v>
      </c>
      <c r="B75">
        <v>602.1</v>
      </c>
      <c r="C75" s="9">
        <v>45067</v>
      </c>
      <c r="D75" s="8">
        <v>718.745</v>
      </c>
      <c r="E75">
        <f t="shared" si="5"/>
        <v>714.42177830940989</v>
      </c>
      <c r="F75">
        <f t="shared" si="7"/>
        <v>4.3232216905901169</v>
      </c>
      <c r="G75">
        <f t="shared" si="6"/>
        <v>18.690245785988868</v>
      </c>
      <c r="H75">
        <f t="shared" si="4"/>
        <v>0.60149589779269663</v>
      </c>
    </row>
    <row r="76" spans="1:8" x14ac:dyDescent="0.35">
      <c r="A76" s="2">
        <v>42205</v>
      </c>
      <c r="B76">
        <v>599.9</v>
      </c>
      <c r="C76" s="9">
        <v>45098</v>
      </c>
      <c r="D76" s="8">
        <v>744.45454545454538</v>
      </c>
      <c r="E76">
        <f t="shared" si="5"/>
        <v>737.89667388167379</v>
      </c>
      <c r="F76">
        <f t="shared" si="7"/>
        <v>6.5578715728715906</v>
      </c>
      <c r="G76">
        <f t="shared" si="6"/>
        <v>43.005679566277308</v>
      </c>
      <c r="H76">
        <f t="shared" si="4"/>
        <v>0.88089616927082071</v>
      </c>
    </row>
    <row r="77" spans="1:8" x14ac:dyDescent="0.35">
      <c r="A77" s="2">
        <v>42206</v>
      </c>
      <c r="B77">
        <v>584.65</v>
      </c>
      <c r="C77" s="9">
        <v>45128</v>
      </c>
      <c r="D77" s="8">
        <v>750.4904761904761</v>
      </c>
      <c r="E77">
        <f t="shared" si="5"/>
        <v>749.15627705627696</v>
      </c>
      <c r="F77">
        <f t="shared" si="7"/>
        <v>1.3341991341991388</v>
      </c>
      <c r="G77">
        <f t="shared" si="6"/>
        <v>1.7800873296977318</v>
      </c>
      <c r="H77">
        <f t="shared" si="4"/>
        <v>0.17777695740678742</v>
      </c>
    </row>
    <row r="78" spans="1:8" x14ac:dyDescent="0.35">
      <c r="A78" s="2">
        <v>42207</v>
      </c>
      <c r="B78">
        <v>589.85</v>
      </c>
      <c r="C78" s="9">
        <v>45159</v>
      </c>
      <c r="D78" s="8">
        <v>752.52380952380952</v>
      </c>
      <c r="E78">
        <f t="shared" si="5"/>
        <v>765.79523809523801</v>
      </c>
      <c r="F78">
        <f t="shared" si="7"/>
        <v>-13.271428571428487</v>
      </c>
      <c r="G78">
        <f t="shared" si="6"/>
        <v>176.13081632652836</v>
      </c>
      <c r="H78">
        <f t="shared" si="4"/>
        <v>1.7635891919255724</v>
      </c>
    </row>
    <row r="79" spans="1:8" x14ac:dyDescent="0.35">
      <c r="A79" s="2">
        <v>42208</v>
      </c>
      <c r="B79">
        <v>583.75</v>
      </c>
      <c r="C79" s="9">
        <v>45190</v>
      </c>
      <c r="D79" s="8">
        <v>794.37142857142851</v>
      </c>
      <c r="E79">
        <f t="shared" si="5"/>
        <v>780.09507936507941</v>
      </c>
      <c r="F79">
        <f t="shared" si="7"/>
        <v>14.276349206349096</v>
      </c>
      <c r="G79">
        <f t="shared" si="6"/>
        <v>203.81414666162445</v>
      </c>
      <c r="H79">
        <f t="shared" si="4"/>
        <v>1.7971881531569196</v>
      </c>
    </row>
    <row r="80" spans="1:8" x14ac:dyDescent="0.35">
      <c r="A80" s="2">
        <v>42209</v>
      </c>
      <c r="B80">
        <v>580.45000000000005</v>
      </c>
      <c r="C80" s="9">
        <v>45220</v>
      </c>
      <c r="D80" s="8">
        <v>793.39</v>
      </c>
      <c r="E80">
        <f t="shared" si="5"/>
        <v>767.83714285714279</v>
      </c>
      <c r="F80">
        <f t="shared" si="7"/>
        <v>25.552857142857192</v>
      </c>
      <c r="G80">
        <f t="shared" si="6"/>
        <v>652.94850816326777</v>
      </c>
      <c r="H80">
        <f t="shared" si="4"/>
        <v>3.2207183280426008</v>
      </c>
    </row>
    <row r="81" spans="1:8" x14ac:dyDescent="0.35">
      <c r="A81" s="2">
        <v>42212</v>
      </c>
      <c r="B81">
        <v>555.79999999999995</v>
      </c>
      <c r="C81" s="9">
        <v>45251</v>
      </c>
      <c r="D81" s="8">
        <v>715.75</v>
      </c>
      <c r="E81">
        <f t="shared" si="5"/>
        <v>730.6582608695652</v>
      </c>
      <c r="F81">
        <f t="shared" si="7"/>
        <v>-14.908260869565197</v>
      </c>
      <c r="G81">
        <f t="shared" si="6"/>
        <v>222.25624215500883</v>
      </c>
      <c r="H81">
        <f t="shared" si="4"/>
        <v>2.0828866042005165</v>
      </c>
    </row>
    <row r="82" spans="1:8" x14ac:dyDescent="0.35">
      <c r="A82" s="2">
        <v>42213</v>
      </c>
      <c r="B82">
        <v>561.25</v>
      </c>
      <c r="C82" s="9">
        <v>45281</v>
      </c>
      <c r="D82" s="8">
        <v>682.83478260869572</v>
      </c>
      <c r="E82">
        <f t="shared" si="5"/>
        <v>710.62576086956517</v>
      </c>
      <c r="F82">
        <f t="shared" si="7"/>
        <v>-27.790978260869451</v>
      </c>
      <c r="G82">
        <f t="shared" si="6"/>
        <v>772.3384726961184</v>
      </c>
      <c r="H82">
        <f t="shared" si="4"/>
        <v>4.0699418027150074</v>
      </c>
    </row>
    <row r="83" spans="1:8" x14ac:dyDescent="0.35">
      <c r="A83" s="2">
        <v>42214</v>
      </c>
      <c r="B83">
        <v>567.20000000000005</v>
      </c>
      <c r="C83" s="9">
        <v>44948</v>
      </c>
      <c r="D83" s="8">
        <v>733.29250000000002</v>
      </c>
      <c r="E83">
        <f t="shared" si="5"/>
        <v>733.76242753623183</v>
      </c>
      <c r="F83">
        <f t="shared" si="7"/>
        <v>-0.46992753623180761</v>
      </c>
      <c r="G83">
        <f t="shared" si="6"/>
        <v>0.22083188930889686</v>
      </c>
      <c r="H83">
        <f t="shared" si="4"/>
        <v>6.4084596014797324E-2</v>
      </c>
    </row>
    <row r="84" spans="1:8" x14ac:dyDescent="0.35">
      <c r="A84" s="2">
        <v>42215</v>
      </c>
      <c r="B84">
        <v>565.70000000000005</v>
      </c>
      <c r="C84" s="9">
        <v>44979</v>
      </c>
      <c r="D84" s="8">
        <v>785.16</v>
      </c>
      <c r="E84">
        <f t="shared" si="5"/>
        <v>744.88333333333321</v>
      </c>
      <c r="F84">
        <f t="shared" si="7"/>
        <v>40.276666666666756</v>
      </c>
      <c r="G84">
        <f t="shared" si="6"/>
        <v>1622.2098777777851</v>
      </c>
      <c r="H84">
        <f t="shared" si="4"/>
        <v>5.1297400105286508</v>
      </c>
    </row>
    <row r="85" spans="1:8" x14ac:dyDescent="0.35">
      <c r="A85" s="2">
        <v>42216</v>
      </c>
      <c r="B85">
        <v>573.5</v>
      </c>
      <c r="C85" s="9">
        <v>45007</v>
      </c>
      <c r="D85" s="8">
        <v>716.19749999999999</v>
      </c>
    </row>
    <row r="86" spans="1:8" x14ac:dyDescent="0.35">
      <c r="A86" s="2">
        <v>42219</v>
      </c>
      <c r="B86">
        <v>576.70000000000005</v>
      </c>
    </row>
    <row r="87" spans="1:8" x14ac:dyDescent="0.35">
      <c r="A87" s="2">
        <v>42220</v>
      </c>
      <c r="B87">
        <v>580.1</v>
      </c>
    </row>
    <row r="88" spans="1:8" x14ac:dyDescent="0.35">
      <c r="A88" s="2">
        <v>42221</v>
      </c>
      <c r="B88">
        <v>580.4</v>
      </c>
    </row>
    <row r="89" spans="1:8" x14ac:dyDescent="0.35">
      <c r="A89" s="2">
        <v>42222</v>
      </c>
      <c r="B89">
        <v>584.75</v>
      </c>
    </row>
    <row r="90" spans="1:8" x14ac:dyDescent="0.35">
      <c r="A90" s="2">
        <v>42223</v>
      </c>
      <c r="B90">
        <v>580.29999999999995</v>
      </c>
    </row>
    <row r="91" spans="1:8" x14ac:dyDescent="0.35">
      <c r="A91" s="2">
        <v>42226</v>
      </c>
      <c r="B91">
        <v>575.9</v>
      </c>
    </row>
    <row r="92" spans="1:8" x14ac:dyDescent="0.35">
      <c r="A92" s="2">
        <v>42227</v>
      </c>
      <c r="B92">
        <v>571.25</v>
      </c>
    </row>
    <row r="93" spans="1:8" x14ac:dyDescent="0.35">
      <c r="A93" s="2">
        <v>42228</v>
      </c>
      <c r="B93">
        <v>557.85</v>
      </c>
    </row>
    <row r="94" spans="1:8" x14ac:dyDescent="0.35">
      <c r="A94" s="2">
        <v>42229</v>
      </c>
      <c r="B94">
        <v>567.54999999999995</v>
      </c>
    </row>
    <row r="95" spans="1:8" x14ac:dyDescent="0.35">
      <c r="A95" s="2">
        <v>42230</v>
      </c>
      <c r="B95">
        <v>570</v>
      </c>
    </row>
    <row r="96" spans="1:8" x14ac:dyDescent="0.35">
      <c r="A96" s="2">
        <v>42233</v>
      </c>
      <c r="B96">
        <v>561.4</v>
      </c>
    </row>
    <row r="97" spans="1:2" x14ac:dyDescent="0.35">
      <c r="A97" s="2">
        <v>42234</v>
      </c>
      <c r="B97">
        <v>561.35</v>
      </c>
    </row>
    <row r="98" spans="1:2" x14ac:dyDescent="0.35">
      <c r="A98" s="2">
        <v>42235</v>
      </c>
      <c r="B98">
        <v>554</v>
      </c>
    </row>
    <row r="99" spans="1:2" x14ac:dyDescent="0.35">
      <c r="A99" s="2">
        <v>42236</v>
      </c>
      <c r="B99">
        <v>533.4</v>
      </c>
    </row>
    <row r="100" spans="1:2" x14ac:dyDescent="0.35">
      <c r="A100" s="2">
        <v>42237</v>
      </c>
      <c r="B100">
        <v>525.29999999999995</v>
      </c>
    </row>
    <row r="101" spans="1:2" x14ac:dyDescent="0.35">
      <c r="A101" s="2">
        <v>42240</v>
      </c>
      <c r="B101">
        <v>482.05</v>
      </c>
    </row>
    <row r="102" spans="1:2" x14ac:dyDescent="0.35">
      <c r="A102" s="2">
        <v>42241</v>
      </c>
      <c r="B102">
        <v>502.95</v>
      </c>
    </row>
    <row r="103" spans="1:2" x14ac:dyDescent="0.35">
      <c r="A103" s="2">
        <v>42242</v>
      </c>
      <c r="B103">
        <v>495.6</v>
      </c>
    </row>
    <row r="104" spans="1:2" x14ac:dyDescent="0.35">
      <c r="A104" s="2">
        <v>42243</v>
      </c>
      <c r="B104">
        <v>509.25</v>
      </c>
    </row>
    <row r="105" spans="1:2" x14ac:dyDescent="0.35">
      <c r="A105" s="2">
        <v>42244</v>
      </c>
      <c r="B105">
        <v>508.15</v>
      </c>
    </row>
    <row r="106" spans="1:2" x14ac:dyDescent="0.35">
      <c r="A106" s="2">
        <v>42247</v>
      </c>
      <c r="B106">
        <v>507.75</v>
      </c>
    </row>
    <row r="107" spans="1:2" x14ac:dyDescent="0.35">
      <c r="A107" s="2">
        <v>42248</v>
      </c>
      <c r="B107">
        <v>480.1</v>
      </c>
    </row>
    <row r="108" spans="1:2" x14ac:dyDescent="0.35">
      <c r="A108" s="2">
        <v>42249</v>
      </c>
      <c r="B108">
        <v>466.6</v>
      </c>
    </row>
    <row r="109" spans="1:2" x14ac:dyDescent="0.35">
      <c r="A109" s="2">
        <v>42250</v>
      </c>
      <c r="B109">
        <v>486.9</v>
      </c>
    </row>
    <row r="110" spans="1:2" x14ac:dyDescent="0.35">
      <c r="A110" s="2">
        <v>42251</v>
      </c>
      <c r="B110">
        <v>468</v>
      </c>
    </row>
    <row r="111" spans="1:2" x14ac:dyDescent="0.35">
      <c r="A111" s="2">
        <v>42254</v>
      </c>
      <c r="B111">
        <v>449.85</v>
      </c>
    </row>
    <row r="112" spans="1:2" x14ac:dyDescent="0.35">
      <c r="A112" s="2">
        <v>42255</v>
      </c>
      <c r="B112">
        <v>473.9</v>
      </c>
    </row>
    <row r="113" spans="1:2" x14ac:dyDescent="0.35">
      <c r="A113" s="2">
        <v>42256</v>
      </c>
      <c r="B113">
        <v>486.25</v>
      </c>
    </row>
    <row r="114" spans="1:2" x14ac:dyDescent="0.35">
      <c r="A114" s="2">
        <v>42257</v>
      </c>
      <c r="B114">
        <v>482.6</v>
      </c>
    </row>
    <row r="115" spans="1:2" x14ac:dyDescent="0.35">
      <c r="A115" s="2">
        <v>42258</v>
      </c>
      <c r="B115">
        <v>481.25</v>
      </c>
    </row>
    <row r="116" spans="1:2" x14ac:dyDescent="0.35">
      <c r="A116" s="2">
        <v>42261</v>
      </c>
      <c r="B116">
        <v>496.2</v>
      </c>
    </row>
    <row r="117" spans="1:2" x14ac:dyDescent="0.35">
      <c r="A117" s="2">
        <v>42262</v>
      </c>
      <c r="B117">
        <v>482.75</v>
      </c>
    </row>
    <row r="118" spans="1:2" x14ac:dyDescent="0.35">
      <c r="A118" s="2">
        <v>42263</v>
      </c>
      <c r="B118">
        <v>494.25</v>
      </c>
    </row>
    <row r="119" spans="1:2" x14ac:dyDescent="0.35">
      <c r="A119" s="2">
        <v>42265</v>
      </c>
      <c r="B119">
        <v>517.45000000000005</v>
      </c>
    </row>
    <row r="120" spans="1:2" x14ac:dyDescent="0.35">
      <c r="A120" s="2">
        <v>42268</v>
      </c>
      <c r="B120">
        <v>528</v>
      </c>
    </row>
    <row r="121" spans="1:2" x14ac:dyDescent="0.35">
      <c r="A121" s="2">
        <v>42269</v>
      </c>
      <c r="B121">
        <v>509.7</v>
      </c>
    </row>
    <row r="122" spans="1:2" x14ac:dyDescent="0.35">
      <c r="A122" s="2">
        <v>42270</v>
      </c>
      <c r="B122">
        <v>511.7</v>
      </c>
    </row>
    <row r="123" spans="1:2" x14ac:dyDescent="0.35">
      <c r="A123" s="2">
        <v>42271</v>
      </c>
      <c r="B123">
        <v>513.95000000000005</v>
      </c>
    </row>
    <row r="124" spans="1:2" x14ac:dyDescent="0.35">
      <c r="A124" s="2">
        <v>42275</v>
      </c>
      <c r="B124">
        <v>506.7</v>
      </c>
    </row>
    <row r="125" spans="1:2" x14ac:dyDescent="0.35">
      <c r="A125" s="2">
        <v>42276</v>
      </c>
      <c r="B125">
        <v>504.5</v>
      </c>
    </row>
    <row r="126" spans="1:2" x14ac:dyDescent="0.35">
      <c r="A126" s="2">
        <v>42277</v>
      </c>
      <c r="B126">
        <v>495.65</v>
      </c>
    </row>
    <row r="127" spans="1:2" x14ac:dyDescent="0.35">
      <c r="A127" s="2">
        <v>42278</v>
      </c>
      <c r="B127">
        <v>496.25</v>
      </c>
    </row>
    <row r="128" spans="1:2" x14ac:dyDescent="0.35">
      <c r="A128" s="2">
        <v>42282</v>
      </c>
      <c r="B128">
        <v>513.25</v>
      </c>
    </row>
    <row r="129" spans="1:2" x14ac:dyDescent="0.35">
      <c r="A129" s="2">
        <v>42283</v>
      </c>
      <c r="B129">
        <v>506.4</v>
      </c>
    </row>
    <row r="130" spans="1:2" x14ac:dyDescent="0.35">
      <c r="A130" s="2">
        <v>42284</v>
      </c>
      <c r="B130">
        <v>496.8</v>
      </c>
    </row>
    <row r="131" spans="1:2" x14ac:dyDescent="0.35">
      <c r="A131" s="2">
        <v>42285</v>
      </c>
      <c r="B131">
        <v>491.5</v>
      </c>
    </row>
    <row r="132" spans="1:2" x14ac:dyDescent="0.35">
      <c r="A132" s="2">
        <v>42286</v>
      </c>
      <c r="B132">
        <v>490.45</v>
      </c>
    </row>
    <row r="133" spans="1:2" x14ac:dyDescent="0.35">
      <c r="A133" s="2">
        <v>42289</v>
      </c>
      <c r="B133">
        <v>487.05</v>
      </c>
    </row>
    <row r="134" spans="1:2" x14ac:dyDescent="0.35">
      <c r="A134" s="2">
        <v>42290</v>
      </c>
      <c r="B134">
        <v>490.9</v>
      </c>
    </row>
    <row r="135" spans="1:2" x14ac:dyDescent="0.35">
      <c r="A135" s="2">
        <v>42291</v>
      </c>
      <c r="B135">
        <v>495.5</v>
      </c>
    </row>
    <row r="136" spans="1:2" x14ac:dyDescent="0.35">
      <c r="A136" s="2">
        <v>42292</v>
      </c>
      <c r="B136">
        <v>498.7</v>
      </c>
    </row>
    <row r="137" spans="1:2" x14ac:dyDescent="0.35">
      <c r="A137" s="2">
        <v>42293</v>
      </c>
      <c r="B137">
        <v>504.65</v>
      </c>
    </row>
    <row r="138" spans="1:2" x14ac:dyDescent="0.35">
      <c r="A138" s="2">
        <v>42296</v>
      </c>
      <c r="B138">
        <v>506.65</v>
      </c>
    </row>
    <row r="139" spans="1:2" x14ac:dyDescent="0.35">
      <c r="A139" s="2">
        <v>42297</v>
      </c>
      <c r="B139">
        <v>509.4</v>
      </c>
    </row>
    <row r="140" spans="1:2" x14ac:dyDescent="0.35">
      <c r="A140" s="2">
        <v>42298</v>
      </c>
      <c r="B140">
        <v>511.75</v>
      </c>
    </row>
    <row r="141" spans="1:2" x14ac:dyDescent="0.35">
      <c r="A141" s="2">
        <v>42300</v>
      </c>
      <c r="B141">
        <v>525.65</v>
      </c>
    </row>
    <row r="142" spans="1:2" x14ac:dyDescent="0.35">
      <c r="A142" s="2">
        <v>42303</v>
      </c>
      <c r="B142">
        <v>521.04999999999995</v>
      </c>
    </row>
    <row r="143" spans="1:2" x14ac:dyDescent="0.35">
      <c r="A143" s="2">
        <v>42304</v>
      </c>
      <c r="B143">
        <v>521.79999999999995</v>
      </c>
    </row>
    <row r="144" spans="1:2" x14ac:dyDescent="0.35">
      <c r="A144" s="2">
        <v>42305</v>
      </c>
      <c r="B144">
        <v>482.9</v>
      </c>
    </row>
    <row r="145" spans="1:2" x14ac:dyDescent="0.35">
      <c r="A145" s="2">
        <v>42306</v>
      </c>
      <c r="B145">
        <v>468.95</v>
      </c>
    </row>
    <row r="146" spans="1:2" x14ac:dyDescent="0.35">
      <c r="A146" s="2">
        <v>42307</v>
      </c>
      <c r="B146">
        <v>475.4</v>
      </c>
    </row>
    <row r="147" spans="1:2" x14ac:dyDescent="0.35">
      <c r="A147" s="2">
        <v>42310</v>
      </c>
      <c r="B147">
        <v>478.25</v>
      </c>
    </row>
    <row r="148" spans="1:2" x14ac:dyDescent="0.35">
      <c r="A148" s="2">
        <v>42311</v>
      </c>
      <c r="B148">
        <v>474.65</v>
      </c>
    </row>
    <row r="149" spans="1:2" x14ac:dyDescent="0.35">
      <c r="A149" s="2">
        <v>42312</v>
      </c>
      <c r="B149">
        <v>472.5</v>
      </c>
    </row>
    <row r="150" spans="1:2" x14ac:dyDescent="0.35">
      <c r="A150" s="2">
        <v>42313</v>
      </c>
      <c r="B150">
        <v>463.8</v>
      </c>
    </row>
    <row r="151" spans="1:2" x14ac:dyDescent="0.35">
      <c r="A151" s="2">
        <v>42314</v>
      </c>
      <c r="B151">
        <v>465.15</v>
      </c>
    </row>
    <row r="152" spans="1:2" x14ac:dyDescent="0.35">
      <c r="A152" s="2">
        <v>42317</v>
      </c>
      <c r="B152">
        <v>464.95</v>
      </c>
    </row>
    <row r="153" spans="1:2" x14ac:dyDescent="0.35">
      <c r="A153" s="2">
        <v>42318</v>
      </c>
      <c r="B153">
        <v>468.35</v>
      </c>
    </row>
    <row r="154" spans="1:2" x14ac:dyDescent="0.35">
      <c r="A154" s="2">
        <v>42319</v>
      </c>
      <c r="B154">
        <v>480.35</v>
      </c>
    </row>
    <row r="155" spans="1:2" x14ac:dyDescent="0.35">
      <c r="A155" s="2">
        <v>42321</v>
      </c>
      <c r="B155">
        <v>484.95</v>
      </c>
    </row>
    <row r="156" spans="1:2" x14ac:dyDescent="0.35">
      <c r="A156" s="2">
        <v>42324</v>
      </c>
      <c r="B156">
        <v>481.45</v>
      </c>
    </row>
    <row r="157" spans="1:2" x14ac:dyDescent="0.35">
      <c r="A157" s="2">
        <v>42325</v>
      </c>
      <c r="B157">
        <v>475.6</v>
      </c>
    </row>
    <row r="158" spans="1:2" x14ac:dyDescent="0.35">
      <c r="A158" s="2">
        <v>42326</v>
      </c>
      <c r="B158">
        <v>463.55</v>
      </c>
    </row>
    <row r="159" spans="1:2" x14ac:dyDescent="0.35">
      <c r="A159" s="2">
        <v>42327</v>
      </c>
      <c r="B159">
        <v>463.05</v>
      </c>
    </row>
    <row r="160" spans="1:2" x14ac:dyDescent="0.35">
      <c r="A160" s="2">
        <v>42328</v>
      </c>
      <c r="B160">
        <v>459.85</v>
      </c>
    </row>
    <row r="161" spans="1:2" x14ac:dyDescent="0.35">
      <c r="A161" s="2">
        <v>42331</v>
      </c>
      <c r="B161">
        <v>462.7</v>
      </c>
    </row>
    <row r="162" spans="1:2" x14ac:dyDescent="0.35">
      <c r="A162" s="2">
        <v>42332</v>
      </c>
      <c r="B162">
        <v>463.85</v>
      </c>
    </row>
    <row r="163" spans="1:2" x14ac:dyDescent="0.35">
      <c r="A163" s="2">
        <v>42334</v>
      </c>
      <c r="B163">
        <v>465.3</v>
      </c>
    </row>
    <row r="164" spans="1:2" x14ac:dyDescent="0.35">
      <c r="A164" s="2">
        <v>42335</v>
      </c>
      <c r="B164">
        <v>471</v>
      </c>
    </row>
    <row r="165" spans="1:2" x14ac:dyDescent="0.35">
      <c r="A165" s="2">
        <v>42338</v>
      </c>
      <c r="B165">
        <v>469.15</v>
      </c>
    </row>
    <row r="166" spans="1:2" x14ac:dyDescent="0.35">
      <c r="A166" s="2">
        <v>42339</v>
      </c>
      <c r="B166">
        <v>461.6</v>
      </c>
    </row>
    <row r="167" spans="1:2" x14ac:dyDescent="0.35">
      <c r="A167" s="2">
        <v>42340</v>
      </c>
      <c r="B167">
        <v>459.5</v>
      </c>
    </row>
    <row r="168" spans="1:2" x14ac:dyDescent="0.35">
      <c r="A168" s="2">
        <v>42341</v>
      </c>
      <c r="B168">
        <v>462.5</v>
      </c>
    </row>
    <row r="169" spans="1:2" x14ac:dyDescent="0.35">
      <c r="A169" s="2">
        <v>42342</v>
      </c>
      <c r="B169">
        <v>460.5</v>
      </c>
    </row>
    <row r="170" spans="1:2" x14ac:dyDescent="0.35">
      <c r="A170" s="2">
        <v>42345</v>
      </c>
      <c r="B170">
        <v>462.3</v>
      </c>
    </row>
    <row r="171" spans="1:2" x14ac:dyDescent="0.35">
      <c r="A171" s="2">
        <v>42346</v>
      </c>
      <c r="B171">
        <v>458.8</v>
      </c>
    </row>
    <row r="172" spans="1:2" x14ac:dyDescent="0.35">
      <c r="A172" s="2">
        <v>42347</v>
      </c>
      <c r="B172">
        <v>450.6</v>
      </c>
    </row>
    <row r="173" spans="1:2" x14ac:dyDescent="0.35">
      <c r="A173" s="2">
        <v>42348</v>
      </c>
      <c r="B173">
        <v>449.95</v>
      </c>
    </row>
    <row r="174" spans="1:2" x14ac:dyDescent="0.35">
      <c r="A174" s="2">
        <v>42349</v>
      </c>
      <c r="B174">
        <v>440.65</v>
      </c>
    </row>
    <row r="175" spans="1:2" x14ac:dyDescent="0.35">
      <c r="A175" s="2">
        <v>42352</v>
      </c>
      <c r="B175">
        <v>431.35</v>
      </c>
    </row>
    <row r="176" spans="1:2" x14ac:dyDescent="0.35">
      <c r="A176" s="2">
        <v>42353</v>
      </c>
      <c r="B176">
        <v>436.1</v>
      </c>
    </row>
    <row r="177" spans="1:2" x14ac:dyDescent="0.35">
      <c r="A177" s="2">
        <v>42354</v>
      </c>
      <c r="B177">
        <v>438.15</v>
      </c>
    </row>
    <row r="178" spans="1:2" x14ac:dyDescent="0.35">
      <c r="A178" s="2">
        <v>42355</v>
      </c>
      <c r="B178">
        <v>435.55</v>
      </c>
    </row>
    <row r="179" spans="1:2" x14ac:dyDescent="0.35">
      <c r="A179" s="2">
        <v>42356</v>
      </c>
      <c r="B179">
        <v>432.55</v>
      </c>
    </row>
    <row r="180" spans="1:2" x14ac:dyDescent="0.35">
      <c r="A180" s="2">
        <v>42359</v>
      </c>
      <c r="B180">
        <v>442.35</v>
      </c>
    </row>
    <row r="181" spans="1:2" x14ac:dyDescent="0.35">
      <c r="A181" s="2">
        <v>42360</v>
      </c>
      <c r="B181">
        <v>446.7</v>
      </c>
    </row>
    <row r="182" spans="1:2" x14ac:dyDescent="0.35">
      <c r="A182" s="2">
        <v>42361</v>
      </c>
      <c r="B182">
        <v>452</v>
      </c>
    </row>
    <row r="183" spans="1:2" x14ac:dyDescent="0.35">
      <c r="A183" s="2">
        <v>42362</v>
      </c>
      <c r="B183">
        <v>450.75</v>
      </c>
    </row>
    <row r="184" spans="1:2" x14ac:dyDescent="0.35">
      <c r="A184" s="2">
        <v>42366</v>
      </c>
      <c r="B184">
        <v>455.35</v>
      </c>
    </row>
    <row r="185" spans="1:2" x14ac:dyDescent="0.35">
      <c r="A185" s="2">
        <v>42367</v>
      </c>
      <c r="B185">
        <v>458.35</v>
      </c>
    </row>
    <row r="186" spans="1:2" x14ac:dyDescent="0.35">
      <c r="A186" s="2">
        <v>42368</v>
      </c>
      <c r="B186">
        <v>455.1</v>
      </c>
    </row>
    <row r="187" spans="1:2" x14ac:dyDescent="0.35">
      <c r="A187" s="2">
        <v>42369</v>
      </c>
      <c r="B187">
        <v>449.1</v>
      </c>
    </row>
    <row r="188" spans="1:2" x14ac:dyDescent="0.35">
      <c r="A188" s="2">
        <v>42370</v>
      </c>
      <c r="B188">
        <v>449.9</v>
      </c>
    </row>
    <row r="189" spans="1:2" x14ac:dyDescent="0.35">
      <c r="A189" s="2">
        <v>42373</v>
      </c>
      <c r="B189">
        <v>438.4</v>
      </c>
    </row>
    <row r="190" spans="1:2" x14ac:dyDescent="0.35">
      <c r="A190" s="2">
        <v>42374</v>
      </c>
      <c r="B190">
        <v>436.45</v>
      </c>
    </row>
    <row r="191" spans="1:2" x14ac:dyDescent="0.35">
      <c r="A191" s="2">
        <v>42375</v>
      </c>
      <c r="B191">
        <v>430.7</v>
      </c>
    </row>
    <row r="192" spans="1:2" x14ac:dyDescent="0.35">
      <c r="A192" s="2">
        <v>42376</v>
      </c>
      <c r="B192">
        <v>409.25</v>
      </c>
    </row>
    <row r="193" spans="1:2" x14ac:dyDescent="0.35">
      <c r="A193" s="2">
        <v>42377</v>
      </c>
      <c r="B193">
        <v>413.7</v>
      </c>
    </row>
    <row r="194" spans="1:2" x14ac:dyDescent="0.35">
      <c r="A194" s="2">
        <v>42380</v>
      </c>
      <c r="B194">
        <v>417.2</v>
      </c>
    </row>
    <row r="195" spans="1:2" x14ac:dyDescent="0.35">
      <c r="A195" s="2">
        <v>42381</v>
      </c>
      <c r="B195">
        <v>406.1</v>
      </c>
    </row>
    <row r="196" spans="1:2" x14ac:dyDescent="0.35">
      <c r="A196" s="2">
        <v>42382</v>
      </c>
      <c r="B196">
        <v>406.7</v>
      </c>
    </row>
    <row r="197" spans="1:2" x14ac:dyDescent="0.35">
      <c r="A197" s="2">
        <v>42383</v>
      </c>
      <c r="B197">
        <v>390.6</v>
      </c>
    </row>
    <row r="198" spans="1:2" x14ac:dyDescent="0.35">
      <c r="A198" s="2">
        <v>42384</v>
      </c>
      <c r="B198">
        <v>374.25</v>
      </c>
    </row>
    <row r="199" spans="1:2" x14ac:dyDescent="0.35">
      <c r="A199" s="2">
        <v>42387</v>
      </c>
      <c r="B199">
        <v>373.2</v>
      </c>
    </row>
    <row r="200" spans="1:2" x14ac:dyDescent="0.35">
      <c r="A200" s="2">
        <v>42388</v>
      </c>
      <c r="B200">
        <v>393</v>
      </c>
    </row>
    <row r="201" spans="1:2" x14ac:dyDescent="0.35">
      <c r="A201" s="2">
        <v>42389</v>
      </c>
      <c r="B201">
        <v>387.6</v>
      </c>
    </row>
    <row r="202" spans="1:2" x14ac:dyDescent="0.35">
      <c r="A202" s="2">
        <v>42390</v>
      </c>
      <c r="B202">
        <v>409.15</v>
      </c>
    </row>
    <row r="203" spans="1:2" x14ac:dyDescent="0.35">
      <c r="A203" s="2">
        <v>42391</v>
      </c>
      <c r="B203">
        <v>424.15</v>
      </c>
    </row>
    <row r="204" spans="1:2" x14ac:dyDescent="0.35">
      <c r="A204" s="2">
        <v>42394</v>
      </c>
      <c r="B204">
        <v>420.85</v>
      </c>
    </row>
    <row r="205" spans="1:2" x14ac:dyDescent="0.35">
      <c r="A205" s="2">
        <v>42396</v>
      </c>
      <c r="B205">
        <v>415.4</v>
      </c>
    </row>
    <row r="206" spans="1:2" x14ac:dyDescent="0.35">
      <c r="A206" s="2">
        <v>42397</v>
      </c>
      <c r="B206">
        <v>405.65</v>
      </c>
    </row>
    <row r="207" spans="1:2" x14ac:dyDescent="0.35">
      <c r="A207" s="2">
        <v>42398</v>
      </c>
      <c r="B207">
        <v>408.4</v>
      </c>
    </row>
    <row r="208" spans="1:2" x14ac:dyDescent="0.35">
      <c r="A208" s="2">
        <v>42401</v>
      </c>
      <c r="B208">
        <v>399.3</v>
      </c>
    </row>
    <row r="209" spans="1:2" x14ac:dyDescent="0.35">
      <c r="A209" s="2">
        <v>42402</v>
      </c>
      <c r="B209">
        <v>390.9</v>
      </c>
    </row>
    <row r="210" spans="1:2" x14ac:dyDescent="0.35">
      <c r="A210" s="2">
        <v>42403</v>
      </c>
      <c r="B210">
        <v>380.55</v>
      </c>
    </row>
    <row r="211" spans="1:2" x14ac:dyDescent="0.35">
      <c r="A211" s="2">
        <v>42404</v>
      </c>
      <c r="B211">
        <v>382.75</v>
      </c>
    </row>
    <row r="212" spans="1:2" x14ac:dyDescent="0.35">
      <c r="A212" s="2">
        <v>42405</v>
      </c>
      <c r="B212">
        <v>399.55</v>
      </c>
    </row>
    <row r="213" spans="1:2" x14ac:dyDescent="0.35">
      <c r="A213" s="2">
        <v>42408</v>
      </c>
      <c r="B213">
        <v>408.55</v>
      </c>
    </row>
    <row r="214" spans="1:2" x14ac:dyDescent="0.35">
      <c r="A214" s="2">
        <v>42409</v>
      </c>
      <c r="B214">
        <v>399.9</v>
      </c>
    </row>
    <row r="215" spans="1:2" x14ac:dyDescent="0.35">
      <c r="A215" s="2">
        <v>42410</v>
      </c>
      <c r="B215">
        <v>393.6</v>
      </c>
    </row>
    <row r="216" spans="1:2" x14ac:dyDescent="0.35">
      <c r="A216" s="2">
        <v>42411</v>
      </c>
      <c r="B216">
        <v>377.2</v>
      </c>
    </row>
    <row r="217" spans="1:2" x14ac:dyDescent="0.35">
      <c r="A217" s="2">
        <v>42412</v>
      </c>
      <c r="B217">
        <v>391.1</v>
      </c>
    </row>
    <row r="218" spans="1:2" x14ac:dyDescent="0.35">
      <c r="A218" s="2">
        <v>42415</v>
      </c>
      <c r="B218">
        <v>417.65</v>
      </c>
    </row>
    <row r="219" spans="1:2" x14ac:dyDescent="0.35">
      <c r="A219" s="2">
        <v>42416</v>
      </c>
      <c r="B219">
        <v>405.8</v>
      </c>
    </row>
    <row r="220" spans="1:2" x14ac:dyDescent="0.35">
      <c r="A220" s="2">
        <v>42417</v>
      </c>
      <c r="B220">
        <v>403.1</v>
      </c>
    </row>
    <row r="221" spans="1:2" x14ac:dyDescent="0.35">
      <c r="A221" s="2">
        <v>42418</v>
      </c>
      <c r="B221">
        <v>398.05</v>
      </c>
    </row>
    <row r="222" spans="1:2" x14ac:dyDescent="0.35">
      <c r="A222" s="2">
        <v>42419</v>
      </c>
      <c r="B222">
        <v>392.5</v>
      </c>
    </row>
    <row r="223" spans="1:2" x14ac:dyDescent="0.35">
      <c r="A223" s="2">
        <v>42422</v>
      </c>
      <c r="B223">
        <v>397.15</v>
      </c>
    </row>
    <row r="224" spans="1:2" x14ac:dyDescent="0.35">
      <c r="A224" s="2">
        <v>42423</v>
      </c>
      <c r="B224">
        <v>385.15</v>
      </c>
    </row>
    <row r="225" spans="1:2" x14ac:dyDescent="0.35">
      <c r="A225" s="2">
        <v>42424</v>
      </c>
      <c r="B225">
        <v>386.65</v>
      </c>
    </row>
    <row r="226" spans="1:2" x14ac:dyDescent="0.35">
      <c r="A226" s="2">
        <v>42425</v>
      </c>
      <c r="B226">
        <v>378.2</v>
      </c>
    </row>
    <row r="227" spans="1:2" x14ac:dyDescent="0.35">
      <c r="A227" s="2">
        <v>42426</v>
      </c>
      <c r="B227">
        <v>386.35</v>
      </c>
    </row>
    <row r="228" spans="1:2" x14ac:dyDescent="0.35">
      <c r="A228" s="2">
        <v>42429</v>
      </c>
      <c r="B228">
        <v>375.75</v>
      </c>
    </row>
    <row r="229" spans="1:2" x14ac:dyDescent="0.35">
      <c r="A229" s="2">
        <v>42430</v>
      </c>
      <c r="B229">
        <v>392</v>
      </c>
    </row>
    <row r="230" spans="1:2" x14ac:dyDescent="0.35">
      <c r="A230" s="2">
        <v>42431</v>
      </c>
      <c r="B230">
        <v>407.25</v>
      </c>
    </row>
    <row r="231" spans="1:2" x14ac:dyDescent="0.35">
      <c r="A231" s="2">
        <v>42432</v>
      </c>
      <c r="B231">
        <v>417.15</v>
      </c>
    </row>
    <row r="232" spans="1:2" x14ac:dyDescent="0.35">
      <c r="A232" s="2">
        <v>42433</v>
      </c>
      <c r="B232">
        <v>416.05</v>
      </c>
    </row>
    <row r="233" spans="1:2" x14ac:dyDescent="0.35">
      <c r="A233" s="2">
        <v>42437</v>
      </c>
      <c r="B233">
        <v>411.75</v>
      </c>
    </row>
    <row r="234" spans="1:2" x14ac:dyDescent="0.35">
      <c r="A234" s="2">
        <v>42438</v>
      </c>
      <c r="B234">
        <v>416.85</v>
      </c>
    </row>
    <row r="235" spans="1:2" x14ac:dyDescent="0.35">
      <c r="A235" s="2">
        <v>42439</v>
      </c>
      <c r="B235">
        <v>413</v>
      </c>
    </row>
    <row r="236" spans="1:2" x14ac:dyDescent="0.35">
      <c r="A236" s="2">
        <v>42440</v>
      </c>
      <c r="B236">
        <v>412.8</v>
      </c>
    </row>
    <row r="237" spans="1:2" x14ac:dyDescent="0.35">
      <c r="A237" s="2">
        <v>42443</v>
      </c>
      <c r="B237">
        <v>415.45</v>
      </c>
    </row>
    <row r="238" spans="1:2" x14ac:dyDescent="0.35">
      <c r="A238" s="2">
        <v>42444</v>
      </c>
      <c r="B238">
        <v>418.85</v>
      </c>
    </row>
    <row r="239" spans="1:2" x14ac:dyDescent="0.35">
      <c r="A239" s="2">
        <v>42445</v>
      </c>
      <c r="B239">
        <v>424.6</v>
      </c>
    </row>
    <row r="240" spans="1:2" x14ac:dyDescent="0.35">
      <c r="A240" s="2">
        <v>42446</v>
      </c>
      <c r="B240">
        <v>428.15</v>
      </c>
    </row>
    <row r="241" spans="1:2" x14ac:dyDescent="0.35">
      <c r="A241" s="2">
        <v>42447</v>
      </c>
      <c r="B241">
        <v>436.1</v>
      </c>
    </row>
    <row r="242" spans="1:2" x14ac:dyDescent="0.35">
      <c r="A242" s="2">
        <v>42450</v>
      </c>
      <c r="B242">
        <v>444.5</v>
      </c>
    </row>
    <row r="243" spans="1:2" x14ac:dyDescent="0.35">
      <c r="A243" s="2">
        <v>42451</v>
      </c>
      <c r="B243">
        <v>441.25</v>
      </c>
    </row>
    <row r="244" spans="1:2" x14ac:dyDescent="0.35">
      <c r="A244" s="2">
        <v>42452</v>
      </c>
      <c r="B244">
        <v>437.5</v>
      </c>
    </row>
    <row r="245" spans="1:2" x14ac:dyDescent="0.35">
      <c r="A245" s="2">
        <v>42457</v>
      </c>
      <c r="B245">
        <v>422.9</v>
      </c>
    </row>
    <row r="246" spans="1:2" x14ac:dyDescent="0.35">
      <c r="A246" s="2">
        <v>42458</v>
      </c>
      <c r="B246">
        <v>429.45</v>
      </c>
    </row>
    <row r="247" spans="1:2" x14ac:dyDescent="0.35">
      <c r="A247" s="2">
        <v>42459</v>
      </c>
      <c r="B247">
        <v>444.25</v>
      </c>
    </row>
    <row r="248" spans="1:2" x14ac:dyDescent="0.35">
      <c r="A248" s="2">
        <v>42460</v>
      </c>
      <c r="B248">
        <v>444.15</v>
      </c>
    </row>
    <row r="249" spans="1:2" x14ac:dyDescent="0.35">
      <c r="A249" s="2">
        <v>42461</v>
      </c>
      <c r="B249">
        <v>449.9</v>
      </c>
    </row>
    <row r="250" spans="1:2" x14ac:dyDescent="0.35">
      <c r="A250" s="2">
        <v>42464</v>
      </c>
      <c r="B250">
        <v>444.75</v>
      </c>
    </row>
    <row r="251" spans="1:2" x14ac:dyDescent="0.35">
      <c r="A251" s="2">
        <v>42465</v>
      </c>
      <c r="B251">
        <v>432.6</v>
      </c>
    </row>
    <row r="252" spans="1:2" x14ac:dyDescent="0.35">
      <c r="A252" s="2">
        <v>42466</v>
      </c>
      <c r="B252">
        <v>424.65</v>
      </c>
    </row>
    <row r="253" spans="1:2" x14ac:dyDescent="0.35">
      <c r="A253" s="2">
        <v>42467</v>
      </c>
      <c r="B253">
        <v>426.65</v>
      </c>
    </row>
    <row r="254" spans="1:2" x14ac:dyDescent="0.35">
      <c r="A254" s="2">
        <v>42468</v>
      </c>
      <c r="B254">
        <v>421.6</v>
      </c>
    </row>
    <row r="255" spans="1:2" x14ac:dyDescent="0.35">
      <c r="A255" s="2">
        <v>42471</v>
      </c>
      <c r="B255">
        <v>429.8</v>
      </c>
    </row>
    <row r="256" spans="1:2" x14ac:dyDescent="0.35">
      <c r="A256" s="2">
        <v>42472</v>
      </c>
      <c r="B256">
        <v>434.05</v>
      </c>
    </row>
    <row r="257" spans="1:2" x14ac:dyDescent="0.35">
      <c r="A257" s="2">
        <v>42473</v>
      </c>
      <c r="B257">
        <v>440.5</v>
      </c>
    </row>
    <row r="258" spans="1:2" x14ac:dyDescent="0.35">
      <c r="A258" s="2">
        <v>42478</v>
      </c>
      <c r="B258">
        <v>445.25</v>
      </c>
    </row>
    <row r="259" spans="1:2" x14ac:dyDescent="0.35">
      <c r="A259" s="2">
        <v>42480</v>
      </c>
      <c r="B259">
        <v>459.1</v>
      </c>
    </row>
    <row r="260" spans="1:2" x14ac:dyDescent="0.35">
      <c r="A260" s="2">
        <v>42481</v>
      </c>
      <c r="B260">
        <v>467.95</v>
      </c>
    </row>
    <row r="261" spans="1:2" x14ac:dyDescent="0.35">
      <c r="A261" s="2">
        <v>42482</v>
      </c>
      <c r="B261">
        <v>475.85</v>
      </c>
    </row>
    <row r="262" spans="1:2" x14ac:dyDescent="0.35">
      <c r="A262" s="2">
        <v>42485</v>
      </c>
      <c r="B262">
        <v>469.9</v>
      </c>
    </row>
    <row r="263" spans="1:2" x14ac:dyDescent="0.35">
      <c r="A263" s="2">
        <v>42486</v>
      </c>
      <c r="B263">
        <v>480.2</v>
      </c>
    </row>
    <row r="264" spans="1:2" x14ac:dyDescent="0.35">
      <c r="A264" s="2">
        <v>42487</v>
      </c>
      <c r="B264">
        <v>465.5</v>
      </c>
    </row>
    <row r="265" spans="1:2" x14ac:dyDescent="0.35">
      <c r="A265" s="2">
        <v>42488</v>
      </c>
      <c r="B265">
        <v>468.05</v>
      </c>
    </row>
    <row r="266" spans="1:2" x14ac:dyDescent="0.35">
      <c r="A266" s="2">
        <v>42489</v>
      </c>
      <c r="B266">
        <v>472.4</v>
      </c>
    </row>
    <row r="267" spans="1:2" x14ac:dyDescent="0.35">
      <c r="A267" s="2">
        <v>42492</v>
      </c>
      <c r="B267">
        <v>471.8</v>
      </c>
    </row>
    <row r="268" spans="1:2" x14ac:dyDescent="0.35">
      <c r="A268" s="2">
        <v>42493</v>
      </c>
      <c r="B268">
        <v>470.55</v>
      </c>
    </row>
    <row r="269" spans="1:2" x14ac:dyDescent="0.35">
      <c r="A269" s="2">
        <v>42494</v>
      </c>
      <c r="B269">
        <v>462.45</v>
      </c>
    </row>
    <row r="270" spans="1:2" x14ac:dyDescent="0.35">
      <c r="A270" s="2">
        <v>42495</v>
      </c>
      <c r="B270">
        <v>461.05</v>
      </c>
    </row>
    <row r="271" spans="1:2" x14ac:dyDescent="0.35">
      <c r="A271" s="2">
        <v>42496</v>
      </c>
      <c r="B271">
        <v>461.45</v>
      </c>
    </row>
    <row r="272" spans="1:2" x14ac:dyDescent="0.35">
      <c r="A272" s="2">
        <v>42499</v>
      </c>
      <c r="B272">
        <v>477.1</v>
      </c>
    </row>
    <row r="273" spans="1:2" x14ac:dyDescent="0.35">
      <c r="A273" s="2">
        <v>42500</v>
      </c>
      <c r="B273">
        <v>487.95</v>
      </c>
    </row>
    <row r="274" spans="1:2" x14ac:dyDescent="0.35">
      <c r="A274" s="2">
        <v>42501</v>
      </c>
      <c r="B274">
        <v>498.2</v>
      </c>
    </row>
    <row r="275" spans="1:2" x14ac:dyDescent="0.35">
      <c r="A275" s="2">
        <v>42502</v>
      </c>
      <c r="B275">
        <v>492.55</v>
      </c>
    </row>
    <row r="276" spans="1:2" x14ac:dyDescent="0.35">
      <c r="A276" s="2">
        <v>42503</v>
      </c>
      <c r="B276">
        <v>490.65</v>
      </c>
    </row>
    <row r="277" spans="1:2" x14ac:dyDescent="0.35">
      <c r="A277" s="2">
        <v>42506</v>
      </c>
      <c r="B277">
        <v>486.45</v>
      </c>
    </row>
    <row r="278" spans="1:2" x14ac:dyDescent="0.35">
      <c r="A278" s="2">
        <v>42507</v>
      </c>
      <c r="B278">
        <v>503.35</v>
      </c>
    </row>
    <row r="279" spans="1:2" x14ac:dyDescent="0.35">
      <c r="A279" s="2">
        <v>42508</v>
      </c>
      <c r="B279">
        <v>501.1</v>
      </c>
    </row>
    <row r="280" spans="1:2" x14ac:dyDescent="0.35">
      <c r="A280" s="2">
        <v>42509</v>
      </c>
      <c r="B280">
        <v>490.5</v>
      </c>
    </row>
    <row r="281" spans="1:2" x14ac:dyDescent="0.35">
      <c r="A281" s="2">
        <v>42510</v>
      </c>
      <c r="B281">
        <v>490.6</v>
      </c>
    </row>
    <row r="282" spans="1:2" x14ac:dyDescent="0.35">
      <c r="A282" s="2">
        <v>42513</v>
      </c>
      <c r="B282">
        <v>486.5</v>
      </c>
    </row>
    <row r="283" spans="1:2" x14ac:dyDescent="0.35">
      <c r="A283" s="2">
        <v>42514</v>
      </c>
      <c r="B283">
        <v>488.95</v>
      </c>
    </row>
    <row r="284" spans="1:2" x14ac:dyDescent="0.35">
      <c r="A284" s="2">
        <v>42515</v>
      </c>
      <c r="B284">
        <v>502.15</v>
      </c>
    </row>
    <row r="285" spans="1:2" x14ac:dyDescent="0.35">
      <c r="A285" s="2">
        <v>42516</v>
      </c>
      <c r="B285">
        <v>519</v>
      </c>
    </row>
    <row r="286" spans="1:2" x14ac:dyDescent="0.35">
      <c r="A286" s="2">
        <v>42517</v>
      </c>
      <c r="B286">
        <v>512.4</v>
      </c>
    </row>
    <row r="287" spans="1:2" x14ac:dyDescent="0.35">
      <c r="A287" s="2">
        <v>42520</v>
      </c>
      <c r="B287">
        <v>513.70000000000005</v>
      </c>
    </row>
    <row r="288" spans="1:2" x14ac:dyDescent="0.35">
      <c r="A288" s="2">
        <v>42521</v>
      </c>
      <c r="B288">
        <v>515.20000000000005</v>
      </c>
    </row>
    <row r="289" spans="1:2" x14ac:dyDescent="0.35">
      <c r="A289" s="2">
        <v>42522</v>
      </c>
      <c r="B289">
        <v>511.95</v>
      </c>
    </row>
    <row r="290" spans="1:2" x14ac:dyDescent="0.35">
      <c r="A290" s="2">
        <v>42523</v>
      </c>
      <c r="B290">
        <v>524.35</v>
      </c>
    </row>
    <row r="291" spans="1:2" x14ac:dyDescent="0.35">
      <c r="A291" s="2">
        <v>42524</v>
      </c>
      <c r="B291">
        <v>542.65</v>
      </c>
    </row>
    <row r="292" spans="1:2" x14ac:dyDescent="0.35">
      <c r="A292" s="2">
        <v>42527</v>
      </c>
      <c r="B292">
        <v>532.85</v>
      </c>
    </row>
    <row r="293" spans="1:2" x14ac:dyDescent="0.35">
      <c r="A293" s="2">
        <v>42528</v>
      </c>
      <c r="B293">
        <v>534.4</v>
      </c>
    </row>
    <row r="294" spans="1:2" x14ac:dyDescent="0.35">
      <c r="A294" s="2">
        <v>42529</v>
      </c>
      <c r="B294">
        <v>539</v>
      </c>
    </row>
    <row r="295" spans="1:2" x14ac:dyDescent="0.35">
      <c r="A295" s="2">
        <v>42530</v>
      </c>
      <c r="B295">
        <v>542.6</v>
      </c>
    </row>
    <row r="296" spans="1:2" x14ac:dyDescent="0.35">
      <c r="A296" s="2">
        <v>42531</v>
      </c>
      <c r="B296">
        <v>541.04999999999995</v>
      </c>
    </row>
    <row r="297" spans="1:2" x14ac:dyDescent="0.35">
      <c r="A297" s="2">
        <v>42534</v>
      </c>
      <c r="B297">
        <v>531.15</v>
      </c>
    </row>
    <row r="298" spans="1:2" x14ac:dyDescent="0.35">
      <c r="A298" s="2">
        <v>42535</v>
      </c>
      <c r="B298">
        <v>529.65</v>
      </c>
    </row>
    <row r="299" spans="1:2" x14ac:dyDescent="0.35">
      <c r="A299" s="2">
        <v>42536</v>
      </c>
      <c r="B299">
        <v>528.79999999999995</v>
      </c>
    </row>
    <row r="300" spans="1:2" x14ac:dyDescent="0.35">
      <c r="A300" s="2">
        <v>42537</v>
      </c>
      <c r="B300">
        <v>523.45000000000005</v>
      </c>
    </row>
    <row r="301" spans="1:2" x14ac:dyDescent="0.35">
      <c r="A301" s="2">
        <v>42538</v>
      </c>
      <c r="B301">
        <v>526.9</v>
      </c>
    </row>
    <row r="302" spans="1:2" x14ac:dyDescent="0.35">
      <c r="A302" s="2">
        <v>42541</v>
      </c>
      <c r="B302">
        <v>522.45000000000005</v>
      </c>
    </row>
    <row r="303" spans="1:2" x14ac:dyDescent="0.35">
      <c r="A303" s="2">
        <v>42542</v>
      </c>
      <c r="B303">
        <v>517.4</v>
      </c>
    </row>
    <row r="304" spans="1:2" x14ac:dyDescent="0.35">
      <c r="A304" s="2">
        <v>42543</v>
      </c>
      <c r="B304">
        <v>516.20000000000005</v>
      </c>
    </row>
    <row r="305" spans="1:2" x14ac:dyDescent="0.35">
      <c r="A305" s="2">
        <v>42544</v>
      </c>
      <c r="B305">
        <v>526.4</v>
      </c>
    </row>
    <row r="306" spans="1:2" x14ac:dyDescent="0.35">
      <c r="A306" s="2">
        <v>42545</v>
      </c>
      <c r="B306">
        <v>510.5</v>
      </c>
    </row>
    <row r="307" spans="1:2" x14ac:dyDescent="0.35">
      <c r="A307" s="2">
        <v>42548</v>
      </c>
      <c r="B307">
        <v>514.45000000000005</v>
      </c>
    </row>
    <row r="308" spans="1:2" x14ac:dyDescent="0.35">
      <c r="A308" s="2">
        <v>42549</v>
      </c>
      <c r="B308">
        <v>514</v>
      </c>
    </row>
    <row r="309" spans="1:2" x14ac:dyDescent="0.35">
      <c r="A309" s="2">
        <v>42550</v>
      </c>
      <c r="B309">
        <v>517.85</v>
      </c>
    </row>
    <row r="310" spans="1:2" x14ac:dyDescent="0.35">
      <c r="A310" s="2">
        <v>42551</v>
      </c>
      <c r="B310">
        <v>533.5</v>
      </c>
    </row>
    <row r="311" spans="1:2" x14ac:dyDescent="0.35">
      <c r="A311" s="2">
        <v>42552</v>
      </c>
      <c r="B311">
        <v>542.9</v>
      </c>
    </row>
    <row r="312" spans="1:2" x14ac:dyDescent="0.35">
      <c r="A312" s="2">
        <v>42555</v>
      </c>
      <c r="B312">
        <v>543.85</v>
      </c>
    </row>
    <row r="313" spans="1:2" x14ac:dyDescent="0.35">
      <c r="A313" s="2">
        <v>42556</v>
      </c>
      <c r="B313">
        <v>539.70000000000005</v>
      </c>
    </row>
    <row r="314" spans="1:2" x14ac:dyDescent="0.35">
      <c r="A314" s="2">
        <v>42558</v>
      </c>
      <c r="B314">
        <v>542.25</v>
      </c>
    </row>
    <row r="315" spans="1:2" x14ac:dyDescent="0.35">
      <c r="A315" s="2">
        <v>42559</v>
      </c>
      <c r="B315">
        <v>546.45000000000005</v>
      </c>
    </row>
    <row r="316" spans="1:2" x14ac:dyDescent="0.35">
      <c r="A316" s="2">
        <v>42562</v>
      </c>
      <c r="B316">
        <v>544.4</v>
      </c>
    </row>
    <row r="317" spans="1:2" x14ac:dyDescent="0.35">
      <c r="A317" s="2">
        <v>42563</v>
      </c>
      <c r="B317">
        <v>561</v>
      </c>
    </row>
    <row r="318" spans="1:2" x14ac:dyDescent="0.35">
      <c r="A318" s="2">
        <v>42564</v>
      </c>
      <c r="B318">
        <v>556.85</v>
      </c>
    </row>
    <row r="319" spans="1:2" x14ac:dyDescent="0.35">
      <c r="A319" s="2">
        <v>42565</v>
      </c>
      <c r="B319">
        <v>560.25</v>
      </c>
    </row>
    <row r="320" spans="1:2" x14ac:dyDescent="0.35">
      <c r="A320" s="2">
        <v>42566</v>
      </c>
      <c r="B320">
        <v>565.04999999999995</v>
      </c>
    </row>
    <row r="321" spans="1:2" x14ac:dyDescent="0.35">
      <c r="A321" s="2">
        <v>42569</v>
      </c>
      <c r="B321">
        <v>571</v>
      </c>
    </row>
    <row r="322" spans="1:2" x14ac:dyDescent="0.35">
      <c r="A322" s="2">
        <v>42570</v>
      </c>
      <c r="B322">
        <v>565.45000000000005</v>
      </c>
    </row>
    <row r="323" spans="1:2" x14ac:dyDescent="0.35">
      <c r="A323" s="2">
        <v>42571</v>
      </c>
      <c r="B323">
        <v>558.25</v>
      </c>
    </row>
    <row r="324" spans="1:2" x14ac:dyDescent="0.35">
      <c r="A324" s="2">
        <v>42572</v>
      </c>
      <c r="B324">
        <v>538.04999999999995</v>
      </c>
    </row>
    <row r="325" spans="1:2" x14ac:dyDescent="0.35">
      <c r="A325" s="2">
        <v>42573</v>
      </c>
      <c r="B325">
        <v>537.70000000000005</v>
      </c>
    </row>
    <row r="326" spans="1:2" x14ac:dyDescent="0.35">
      <c r="A326" s="2">
        <v>42576</v>
      </c>
      <c r="B326">
        <v>538.1</v>
      </c>
    </row>
    <row r="327" spans="1:2" x14ac:dyDescent="0.35">
      <c r="A327" s="2">
        <v>42577</v>
      </c>
      <c r="B327">
        <v>553.79999999999995</v>
      </c>
    </row>
    <row r="328" spans="1:2" x14ac:dyDescent="0.35">
      <c r="A328" s="2">
        <v>42578</v>
      </c>
      <c r="B328">
        <v>548.85</v>
      </c>
    </row>
    <row r="329" spans="1:2" x14ac:dyDescent="0.35">
      <c r="A329" s="2">
        <v>42579</v>
      </c>
      <c r="B329">
        <v>543.85</v>
      </c>
    </row>
    <row r="330" spans="1:2" x14ac:dyDescent="0.35">
      <c r="A330" s="2">
        <v>42580</v>
      </c>
      <c r="B330">
        <v>546.15</v>
      </c>
    </row>
    <row r="331" spans="1:2" x14ac:dyDescent="0.35">
      <c r="A331" s="2">
        <v>42583</v>
      </c>
      <c r="B331">
        <v>550.54999999999995</v>
      </c>
    </row>
    <row r="332" spans="1:2" x14ac:dyDescent="0.35">
      <c r="A332" s="2">
        <v>42584</v>
      </c>
      <c r="B332">
        <v>549.65</v>
      </c>
    </row>
    <row r="333" spans="1:2" x14ac:dyDescent="0.35">
      <c r="A333" s="2">
        <v>42585</v>
      </c>
      <c r="B333">
        <v>549.35</v>
      </c>
    </row>
    <row r="334" spans="1:2" x14ac:dyDescent="0.35">
      <c r="A334" s="2">
        <v>42586</v>
      </c>
      <c r="B334">
        <v>547.5</v>
      </c>
    </row>
    <row r="335" spans="1:2" x14ac:dyDescent="0.35">
      <c r="A335" s="2">
        <v>42587</v>
      </c>
      <c r="B335">
        <v>567.25</v>
      </c>
    </row>
    <row r="336" spans="1:2" x14ac:dyDescent="0.35">
      <c r="A336" s="2">
        <v>42590</v>
      </c>
      <c r="B336">
        <v>571.15</v>
      </c>
    </row>
    <row r="337" spans="1:2" x14ac:dyDescent="0.35">
      <c r="A337" s="2">
        <v>42591</v>
      </c>
      <c r="B337">
        <v>574.1</v>
      </c>
    </row>
    <row r="338" spans="1:2" x14ac:dyDescent="0.35">
      <c r="A338" s="2">
        <v>42592</v>
      </c>
      <c r="B338">
        <v>567.9</v>
      </c>
    </row>
    <row r="339" spans="1:2" x14ac:dyDescent="0.35">
      <c r="A339" s="2">
        <v>42593</v>
      </c>
      <c r="B339">
        <v>569.75</v>
      </c>
    </row>
    <row r="340" spans="1:2" x14ac:dyDescent="0.35">
      <c r="A340" s="2">
        <v>42594</v>
      </c>
      <c r="B340">
        <v>591</v>
      </c>
    </row>
    <row r="341" spans="1:2" x14ac:dyDescent="0.35">
      <c r="A341" s="2">
        <v>42598</v>
      </c>
      <c r="B341">
        <v>583.29999999999995</v>
      </c>
    </row>
    <row r="342" spans="1:2" x14ac:dyDescent="0.35">
      <c r="A342" s="2">
        <v>42599</v>
      </c>
      <c r="B342">
        <v>589.5</v>
      </c>
    </row>
    <row r="343" spans="1:2" x14ac:dyDescent="0.35">
      <c r="A343" s="2">
        <v>42600</v>
      </c>
      <c r="B343">
        <v>593.15</v>
      </c>
    </row>
    <row r="344" spans="1:2" x14ac:dyDescent="0.35">
      <c r="A344" s="2">
        <v>42601</v>
      </c>
      <c r="B344">
        <v>588.54999999999995</v>
      </c>
    </row>
    <row r="345" spans="1:2" x14ac:dyDescent="0.35">
      <c r="A345" s="2">
        <v>42604</v>
      </c>
      <c r="B345">
        <v>580.25</v>
      </c>
    </row>
    <row r="346" spans="1:2" x14ac:dyDescent="0.35">
      <c r="A346" s="2">
        <v>42605</v>
      </c>
      <c r="B346">
        <v>582.5</v>
      </c>
    </row>
    <row r="347" spans="1:2" x14ac:dyDescent="0.35">
      <c r="A347" s="2">
        <v>42606</v>
      </c>
      <c r="B347">
        <v>583.4</v>
      </c>
    </row>
    <row r="348" spans="1:2" x14ac:dyDescent="0.35">
      <c r="A348" s="2">
        <v>42607</v>
      </c>
      <c r="B348">
        <v>586.54999999999995</v>
      </c>
    </row>
    <row r="349" spans="1:2" x14ac:dyDescent="0.35">
      <c r="A349" s="2">
        <v>42608</v>
      </c>
      <c r="B349">
        <v>586.4</v>
      </c>
    </row>
    <row r="350" spans="1:2" x14ac:dyDescent="0.35">
      <c r="A350" s="2">
        <v>42611</v>
      </c>
      <c r="B350">
        <v>589.15</v>
      </c>
    </row>
    <row r="351" spans="1:2" x14ac:dyDescent="0.35">
      <c r="A351" s="2">
        <v>42612</v>
      </c>
      <c r="B351">
        <v>591.15</v>
      </c>
    </row>
    <row r="352" spans="1:2" x14ac:dyDescent="0.35">
      <c r="A352" s="2">
        <v>42613</v>
      </c>
      <c r="B352">
        <v>596.85</v>
      </c>
    </row>
    <row r="353" spans="1:2" x14ac:dyDescent="0.35">
      <c r="A353" s="2">
        <v>42614</v>
      </c>
      <c r="B353">
        <v>596.65</v>
      </c>
    </row>
    <row r="354" spans="1:2" x14ac:dyDescent="0.35">
      <c r="A354" s="2">
        <v>42615</v>
      </c>
      <c r="B354">
        <v>599.20000000000005</v>
      </c>
    </row>
    <row r="355" spans="1:2" x14ac:dyDescent="0.35">
      <c r="A355" s="2">
        <v>42619</v>
      </c>
      <c r="B355">
        <v>635.9</v>
      </c>
    </row>
    <row r="356" spans="1:2" x14ac:dyDescent="0.35">
      <c r="A356" s="2">
        <v>42620</v>
      </c>
      <c r="B356">
        <v>625.1</v>
      </c>
    </row>
    <row r="357" spans="1:2" x14ac:dyDescent="0.35">
      <c r="A357" s="2">
        <v>42621</v>
      </c>
      <c r="B357">
        <v>629.35</v>
      </c>
    </row>
    <row r="358" spans="1:2" x14ac:dyDescent="0.35">
      <c r="A358" s="2">
        <v>42622</v>
      </c>
      <c r="B358">
        <v>613.1</v>
      </c>
    </row>
    <row r="359" spans="1:2" x14ac:dyDescent="0.35">
      <c r="A359" s="2">
        <v>42625</v>
      </c>
      <c r="B359">
        <v>592.1</v>
      </c>
    </row>
    <row r="360" spans="1:2" x14ac:dyDescent="0.35">
      <c r="A360" s="2">
        <v>42627</v>
      </c>
      <c r="B360">
        <v>601.79999999999995</v>
      </c>
    </row>
    <row r="361" spans="1:2" x14ac:dyDescent="0.35">
      <c r="A361" s="2">
        <v>42628</v>
      </c>
      <c r="B361">
        <v>588.75</v>
      </c>
    </row>
    <row r="362" spans="1:2" x14ac:dyDescent="0.35">
      <c r="A362" s="2">
        <v>42629</v>
      </c>
      <c r="B362">
        <v>602.20000000000005</v>
      </c>
    </row>
    <row r="363" spans="1:2" x14ac:dyDescent="0.35">
      <c r="A363" s="2">
        <v>42632</v>
      </c>
      <c r="B363">
        <v>594.35</v>
      </c>
    </row>
    <row r="364" spans="1:2" x14ac:dyDescent="0.35">
      <c r="A364" s="2">
        <v>42633</v>
      </c>
      <c r="B364">
        <v>592.95000000000005</v>
      </c>
    </row>
    <row r="365" spans="1:2" x14ac:dyDescent="0.35">
      <c r="A365" s="2">
        <v>42634</v>
      </c>
      <c r="B365">
        <v>598.9</v>
      </c>
    </row>
    <row r="366" spans="1:2" x14ac:dyDescent="0.35">
      <c r="A366" s="2">
        <v>42635</v>
      </c>
      <c r="B366">
        <v>591.79999999999995</v>
      </c>
    </row>
    <row r="367" spans="1:2" x14ac:dyDescent="0.35">
      <c r="A367" s="2">
        <v>42636</v>
      </c>
      <c r="B367">
        <v>557.45000000000005</v>
      </c>
    </row>
    <row r="368" spans="1:2" x14ac:dyDescent="0.35">
      <c r="A368" s="2">
        <v>42639</v>
      </c>
      <c r="B368">
        <v>547.4</v>
      </c>
    </row>
    <row r="369" spans="1:2" x14ac:dyDescent="0.35">
      <c r="A369" s="2">
        <v>42640</v>
      </c>
      <c r="B369">
        <v>541</v>
      </c>
    </row>
    <row r="370" spans="1:2" x14ac:dyDescent="0.35">
      <c r="A370" s="2">
        <v>42641</v>
      </c>
      <c r="B370">
        <v>549.1</v>
      </c>
    </row>
    <row r="371" spans="1:2" x14ac:dyDescent="0.35">
      <c r="A371" s="2">
        <v>42642</v>
      </c>
      <c r="B371">
        <v>539.29999999999995</v>
      </c>
    </row>
    <row r="372" spans="1:2" x14ac:dyDescent="0.35">
      <c r="A372" s="2">
        <v>42643</v>
      </c>
      <c r="B372">
        <v>541.35</v>
      </c>
    </row>
    <row r="373" spans="1:2" x14ac:dyDescent="0.35">
      <c r="A373" s="2">
        <v>42646</v>
      </c>
      <c r="B373">
        <v>550.9</v>
      </c>
    </row>
    <row r="374" spans="1:2" x14ac:dyDescent="0.35">
      <c r="A374" s="2">
        <v>42647</v>
      </c>
      <c r="B374">
        <v>546.6</v>
      </c>
    </row>
    <row r="375" spans="1:2" x14ac:dyDescent="0.35">
      <c r="A375" s="2">
        <v>42648</v>
      </c>
      <c r="B375">
        <v>535.70000000000005</v>
      </c>
    </row>
    <row r="376" spans="1:2" x14ac:dyDescent="0.35">
      <c r="A376" s="2">
        <v>42649</v>
      </c>
      <c r="B376">
        <v>530.79999999999995</v>
      </c>
    </row>
    <row r="377" spans="1:2" x14ac:dyDescent="0.35">
      <c r="A377" s="2">
        <v>42650</v>
      </c>
      <c r="B377">
        <v>533.85</v>
      </c>
    </row>
    <row r="378" spans="1:2" x14ac:dyDescent="0.35">
      <c r="A378" s="2">
        <v>42653</v>
      </c>
      <c r="B378">
        <v>531.54999999999995</v>
      </c>
    </row>
    <row r="379" spans="1:2" x14ac:dyDescent="0.35">
      <c r="A379" s="2">
        <v>42656</v>
      </c>
      <c r="B379">
        <v>518.79999999999995</v>
      </c>
    </row>
    <row r="380" spans="1:2" x14ac:dyDescent="0.35">
      <c r="A380" s="2">
        <v>42657</v>
      </c>
      <c r="B380">
        <v>520.65</v>
      </c>
    </row>
    <row r="381" spans="1:2" x14ac:dyDescent="0.35">
      <c r="A381" s="2">
        <v>42660</v>
      </c>
      <c r="B381">
        <v>519</v>
      </c>
    </row>
    <row r="382" spans="1:2" x14ac:dyDescent="0.35">
      <c r="A382" s="2">
        <v>42661</v>
      </c>
      <c r="B382">
        <v>532.45000000000005</v>
      </c>
    </row>
    <row r="383" spans="1:2" x14ac:dyDescent="0.35">
      <c r="A383" s="2">
        <v>42662</v>
      </c>
      <c r="B383">
        <v>535.54999999999995</v>
      </c>
    </row>
    <row r="384" spans="1:2" x14ac:dyDescent="0.35">
      <c r="A384" s="2">
        <v>42663</v>
      </c>
      <c r="B384">
        <v>540.04999999999995</v>
      </c>
    </row>
    <row r="385" spans="1:2" x14ac:dyDescent="0.35">
      <c r="A385" s="2">
        <v>42664</v>
      </c>
      <c r="B385">
        <v>526.1</v>
      </c>
    </row>
    <row r="386" spans="1:2" x14ac:dyDescent="0.35">
      <c r="A386" s="2">
        <v>42667</v>
      </c>
      <c r="B386">
        <v>521.54999999999995</v>
      </c>
    </row>
    <row r="387" spans="1:2" x14ac:dyDescent="0.35">
      <c r="A387" s="2">
        <v>42668</v>
      </c>
      <c r="B387">
        <v>529.1</v>
      </c>
    </row>
    <row r="388" spans="1:2" x14ac:dyDescent="0.35">
      <c r="A388" s="2">
        <v>42669</v>
      </c>
      <c r="B388">
        <v>487.55</v>
      </c>
    </row>
    <row r="389" spans="1:2" x14ac:dyDescent="0.35">
      <c r="A389" s="2">
        <v>42670</v>
      </c>
      <c r="B389">
        <v>485.65</v>
      </c>
    </row>
    <row r="390" spans="1:2" x14ac:dyDescent="0.35">
      <c r="A390" s="2">
        <v>42671</v>
      </c>
      <c r="B390">
        <v>486.9</v>
      </c>
    </row>
    <row r="391" spans="1:2" x14ac:dyDescent="0.35">
      <c r="A391" s="2">
        <v>42673</v>
      </c>
      <c r="B391">
        <v>487.7</v>
      </c>
    </row>
    <row r="392" spans="1:2" x14ac:dyDescent="0.35">
      <c r="A392" s="2">
        <v>42675</v>
      </c>
      <c r="B392">
        <v>475.8</v>
      </c>
    </row>
    <row r="393" spans="1:2" x14ac:dyDescent="0.35">
      <c r="A393" s="2">
        <v>42676</v>
      </c>
      <c r="B393">
        <v>476.8</v>
      </c>
    </row>
    <row r="394" spans="1:2" x14ac:dyDescent="0.35">
      <c r="A394" s="2">
        <v>42677</v>
      </c>
      <c r="B394">
        <v>475.85</v>
      </c>
    </row>
    <row r="395" spans="1:2" x14ac:dyDescent="0.35">
      <c r="A395" s="2">
        <v>42678</v>
      </c>
      <c r="B395">
        <v>478.7</v>
      </c>
    </row>
    <row r="396" spans="1:2" x14ac:dyDescent="0.35">
      <c r="A396" s="2">
        <v>42681</v>
      </c>
      <c r="B396">
        <v>485.4</v>
      </c>
    </row>
    <row r="397" spans="1:2" x14ac:dyDescent="0.35">
      <c r="A397" s="2">
        <v>42682</v>
      </c>
      <c r="B397">
        <v>490.85</v>
      </c>
    </row>
    <row r="398" spans="1:2" x14ac:dyDescent="0.35">
      <c r="A398" s="2">
        <v>42683</v>
      </c>
      <c r="B398">
        <v>487.55</v>
      </c>
    </row>
    <row r="399" spans="1:2" x14ac:dyDescent="0.35">
      <c r="A399" s="2">
        <v>42684</v>
      </c>
      <c r="B399">
        <v>506.95</v>
      </c>
    </row>
    <row r="400" spans="1:2" x14ac:dyDescent="0.35">
      <c r="A400" s="2">
        <v>42685</v>
      </c>
      <c r="B400">
        <v>498.75</v>
      </c>
    </row>
    <row r="401" spans="1:2" x14ac:dyDescent="0.35">
      <c r="A401" s="2">
        <v>42689</v>
      </c>
      <c r="B401">
        <v>479.3</v>
      </c>
    </row>
    <row r="402" spans="1:2" x14ac:dyDescent="0.35">
      <c r="A402" s="2">
        <v>42690</v>
      </c>
      <c r="B402">
        <v>472.7</v>
      </c>
    </row>
    <row r="403" spans="1:2" x14ac:dyDescent="0.35">
      <c r="A403" s="2">
        <v>42691</v>
      </c>
      <c r="B403">
        <v>474.1</v>
      </c>
    </row>
    <row r="404" spans="1:2" x14ac:dyDescent="0.35">
      <c r="A404" s="2">
        <v>42692</v>
      </c>
      <c r="B404">
        <v>473.45</v>
      </c>
    </row>
    <row r="405" spans="1:2" x14ac:dyDescent="0.35">
      <c r="A405" s="2">
        <v>42695</v>
      </c>
      <c r="B405">
        <v>465.7</v>
      </c>
    </row>
    <row r="406" spans="1:2" x14ac:dyDescent="0.35">
      <c r="A406" s="2">
        <v>42696</v>
      </c>
      <c r="B406">
        <v>470.75</v>
      </c>
    </row>
    <row r="407" spans="1:2" x14ac:dyDescent="0.35">
      <c r="A407" s="2">
        <v>42697</v>
      </c>
      <c r="B407">
        <v>480.5</v>
      </c>
    </row>
    <row r="408" spans="1:2" x14ac:dyDescent="0.35">
      <c r="A408" s="2">
        <v>42698</v>
      </c>
      <c r="B408">
        <v>468.2</v>
      </c>
    </row>
    <row r="409" spans="1:2" x14ac:dyDescent="0.35">
      <c r="A409" s="2">
        <v>42699</v>
      </c>
      <c r="B409">
        <v>471.2</v>
      </c>
    </row>
    <row r="410" spans="1:2" x14ac:dyDescent="0.35">
      <c r="A410" s="2">
        <v>42702</v>
      </c>
      <c r="B410">
        <v>472.9</v>
      </c>
    </row>
    <row r="411" spans="1:2" x14ac:dyDescent="0.35">
      <c r="A411" s="2">
        <v>42703</v>
      </c>
      <c r="B411">
        <v>464.65</v>
      </c>
    </row>
    <row r="412" spans="1:2" x14ac:dyDescent="0.35">
      <c r="A412" s="2">
        <v>42704</v>
      </c>
      <c r="B412">
        <v>469.85</v>
      </c>
    </row>
    <row r="413" spans="1:2" x14ac:dyDescent="0.35">
      <c r="A413" s="2">
        <v>42705</v>
      </c>
      <c r="B413">
        <v>466.05</v>
      </c>
    </row>
    <row r="414" spans="1:2" x14ac:dyDescent="0.35">
      <c r="A414" s="2">
        <v>42706</v>
      </c>
      <c r="B414">
        <v>459.95</v>
      </c>
    </row>
    <row r="415" spans="1:2" x14ac:dyDescent="0.35">
      <c r="A415" s="2">
        <v>42709</v>
      </c>
      <c r="B415">
        <v>460.75</v>
      </c>
    </row>
    <row r="416" spans="1:2" x14ac:dyDescent="0.35">
      <c r="A416" s="2">
        <v>42710</v>
      </c>
      <c r="B416">
        <v>455.95</v>
      </c>
    </row>
    <row r="417" spans="1:2" x14ac:dyDescent="0.35">
      <c r="A417" s="2">
        <v>42711</v>
      </c>
      <c r="B417">
        <v>447.1</v>
      </c>
    </row>
    <row r="418" spans="1:2" x14ac:dyDescent="0.35">
      <c r="A418" s="2">
        <v>42712</v>
      </c>
      <c r="B418">
        <v>449.35</v>
      </c>
    </row>
    <row r="419" spans="1:2" x14ac:dyDescent="0.35">
      <c r="A419" s="2">
        <v>42713</v>
      </c>
      <c r="B419">
        <v>456.4</v>
      </c>
    </row>
    <row r="420" spans="1:2" x14ac:dyDescent="0.35">
      <c r="A420" s="2">
        <v>42716</v>
      </c>
      <c r="B420">
        <v>445.1</v>
      </c>
    </row>
    <row r="421" spans="1:2" x14ac:dyDescent="0.35">
      <c r="A421" s="2">
        <v>42717</v>
      </c>
      <c r="B421">
        <v>452.95</v>
      </c>
    </row>
    <row r="422" spans="1:2" x14ac:dyDescent="0.35">
      <c r="A422" s="2">
        <v>42718</v>
      </c>
      <c r="B422">
        <v>467.2</v>
      </c>
    </row>
    <row r="423" spans="1:2" x14ac:dyDescent="0.35">
      <c r="A423" s="2">
        <v>42719</v>
      </c>
      <c r="B423">
        <v>478.1</v>
      </c>
    </row>
    <row r="424" spans="1:2" x14ac:dyDescent="0.35">
      <c r="A424" s="2">
        <v>42720</v>
      </c>
      <c r="B424">
        <v>472.8</v>
      </c>
    </row>
    <row r="425" spans="1:2" x14ac:dyDescent="0.35">
      <c r="A425" s="2">
        <v>42723</v>
      </c>
      <c r="B425">
        <v>467.6</v>
      </c>
    </row>
    <row r="426" spans="1:2" x14ac:dyDescent="0.35">
      <c r="A426" s="2">
        <v>42724</v>
      </c>
      <c r="B426">
        <v>461.65</v>
      </c>
    </row>
    <row r="427" spans="1:2" x14ac:dyDescent="0.35">
      <c r="A427" s="2">
        <v>42725</v>
      </c>
      <c r="B427">
        <v>457.7</v>
      </c>
    </row>
    <row r="428" spans="1:2" x14ac:dyDescent="0.35">
      <c r="A428" s="2">
        <v>42726</v>
      </c>
      <c r="B428">
        <v>447.55</v>
      </c>
    </row>
    <row r="429" spans="1:2" x14ac:dyDescent="0.35">
      <c r="A429" s="2">
        <v>42727</v>
      </c>
      <c r="B429">
        <v>438.1</v>
      </c>
    </row>
    <row r="430" spans="1:2" x14ac:dyDescent="0.35">
      <c r="A430" s="2">
        <v>42730</v>
      </c>
      <c r="B430">
        <v>432</v>
      </c>
    </row>
    <row r="431" spans="1:2" x14ac:dyDescent="0.35">
      <c r="A431" s="2">
        <v>42731</v>
      </c>
      <c r="B431">
        <v>437.65</v>
      </c>
    </row>
    <row r="432" spans="1:2" x14ac:dyDescent="0.35">
      <c r="A432" s="2">
        <v>42732</v>
      </c>
      <c r="B432">
        <v>440.05</v>
      </c>
    </row>
    <row r="433" spans="1:2" x14ac:dyDescent="0.35">
      <c r="A433" s="2">
        <v>42733</v>
      </c>
      <c r="B433">
        <v>444.25</v>
      </c>
    </row>
    <row r="434" spans="1:2" x14ac:dyDescent="0.35">
      <c r="A434" s="2">
        <v>42734</v>
      </c>
      <c r="B434">
        <v>449.95</v>
      </c>
    </row>
    <row r="435" spans="1:2" x14ac:dyDescent="0.35">
      <c r="A435" s="2">
        <v>42737</v>
      </c>
      <c r="B435">
        <v>447.75</v>
      </c>
    </row>
    <row r="436" spans="1:2" x14ac:dyDescent="0.35">
      <c r="A436" s="2">
        <v>42738</v>
      </c>
      <c r="B436">
        <v>455.25</v>
      </c>
    </row>
    <row r="437" spans="1:2" x14ac:dyDescent="0.35">
      <c r="A437" s="2">
        <v>42739</v>
      </c>
      <c r="B437">
        <v>453.1</v>
      </c>
    </row>
    <row r="438" spans="1:2" x14ac:dyDescent="0.35">
      <c r="A438" s="2">
        <v>42740</v>
      </c>
      <c r="B438">
        <v>458.05</v>
      </c>
    </row>
    <row r="439" spans="1:2" x14ac:dyDescent="0.35">
      <c r="A439" s="2">
        <v>42741</v>
      </c>
      <c r="B439">
        <v>455.2</v>
      </c>
    </row>
    <row r="440" spans="1:2" x14ac:dyDescent="0.35">
      <c r="A440" s="2">
        <v>42744</v>
      </c>
      <c r="B440">
        <v>452.75</v>
      </c>
    </row>
    <row r="441" spans="1:2" x14ac:dyDescent="0.35">
      <c r="A441" s="2">
        <v>42745</v>
      </c>
      <c r="B441">
        <v>447.35</v>
      </c>
    </row>
    <row r="442" spans="1:2" x14ac:dyDescent="0.35">
      <c r="A442" s="2">
        <v>42746</v>
      </c>
      <c r="B442">
        <v>453.6</v>
      </c>
    </row>
    <row r="443" spans="1:2" x14ac:dyDescent="0.35">
      <c r="A443" s="2">
        <v>42747</v>
      </c>
      <c r="B443">
        <v>455.2</v>
      </c>
    </row>
    <row r="444" spans="1:2" x14ac:dyDescent="0.35">
      <c r="A444" s="2">
        <v>42748</v>
      </c>
      <c r="B444">
        <v>472.8</v>
      </c>
    </row>
    <row r="445" spans="1:2" x14ac:dyDescent="0.35">
      <c r="A445" s="2">
        <v>42751</v>
      </c>
      <c r="B445">
        <v>477.25</v>
      </c>
    </row>
    <row r="446" spans="1:2" x14ac:dyDescent="0.35">
      <c r="A446" s="2">
        <v>42752</v>
      </c>
      <c r="B446">
        <v>487.2</v>
      </c>
    </row>
    <row r="447" spans="1:2" x14ac:dyDescent="0.35">
      <c r="A447" s="2">
        <v>42753</v>
      </c>
      <c r="B447">
        <v>488.5</v>
      </c>
    </row>
    <row r="448" spans="1:2" x14ac:dyDescent="0.35">
      <c r="A448" s="2">
        <v>42754</v>
      </c>
      <c r="B448">
        <v>483.8</v>
      </c>
    </row>
    <row r="449" spans="1:2" x14ac:dyDescent="0.35">
      <c r="A449" s="2">
        <v>42755</v>
      </c>
      <c r="B449">
        <v>450.75</v>
      </c>
    </row>
    <row r="450" spans="1:2" x14ac:dyDescent="0.35">
      <c r="A450" s="2">
        <v>42758</v>
      </c>
      <c r="B450">
        <v>445</v>
      </c>
    </row>
    <row r="451" spans="1:2" x14ac:dyDescent="0.35">
      <c r="A451" s="2">
        <v>42759</v>
      </c>
      <c r="B451">
        <v>451.25</v>
      </c>
    </row>
    <row r="452" spans="1:2" x14ac:dyDescent="0.35">
      <c r="A452" s="2">
        <v>42760</v>
      </c>
      <c r="B452">
        <v>463.55</v>
      </c>
    </row>
    <row r="453" spans="1:2" x14ac:dyDescent="0.35">
      <c r="A453" s="2">
        <v>42762</v>
      </c>
      <c r="B453">
        <v>472.85</v>
      </c>
    </row>
    <row r="454" spans="1:2" x14ac:dyDescent="0.35">
      <c r="A454" s="2">
        <v>42765</v>
      </c>
      <c r="B454">
        <v>471.9</v>
      </c>
    </row>
    <row r="455" spans="1:2" x14ac:dyDescent="0.35">
      <c r="A455" s="2">
        <v>42766</v>
      </c>
      <c r="B455">
        <v>466</v>
      </c>
    </row>
    <row r="456" spans="1:2" x14ac:dyDescent="0.35">
      <c r="A456" s="2">
        <v>42767</v>
      </c>
      <c r="B456">
        <v>475.65</v>
      </c>
    </row>
    <row r="457" spans="1:2" x14ac:dyDescent="0.35">
      <c r="A457" s="2">
        <v>42768</v>
      </c>
      <c r="B457">
        <v>482.55</v>
      </c>
    </row>
    <row r="458" spans="1:2" x14ac:dyDescent="0.35">
      <c r="A458" s="2">
        <v>42769</v>
      </c>
      <c r="B458">
        <v>490.7</v>
      </c>
    </row>
    <row r="459" spans="1:2" x14ac:dyDescent="0.35">
      <c r="A459" s="2">
        <v>42772</v>
      </c>
      <c r="B459">
        <v>498.3</v>
      </c>
    </row>
    <row r="460" spans="1:2" x14ac:dyDescent="0.35">
      <c r="A460" s="2">
        <v>42773</v>
      </c>
      <c r="B460">
        <v>493.4</v>
      </c>
    </row>
    <row r="461" spans="1:2" x14ac:dyDescent="0.35">
      <c r="A461" s="2">
        <v>42774</v>
      </c>
      <c r="B461">
        <v>487.6</v>
      </c>
    </row>
    <row r="462" spans="1:2" x14ac:dyDescent="0.35">
      <c r="A462" s="2">
        <v>42775</v>
      </c>
      <c r="B462">
        <v>485.25</v>
      </c>
    </row>
    <row r="463" spans="1:2" x14ac:dyDescent="0.35">
      <c r="A463" s="2">
        <v>42776</v>
      </c>
      <c r="B463">
        <v>488.9</v>
      </c>
    </row>
    <row r="464" spans="1:2" x14ac:dyDescent="0.35">
      <c r="A464" s="2">
        <v>42779</v>
      </c>
      <c r="B464">
        <v>490.3</v>
      </c>
    </row>
    <row r="465" spans="1:2" x14ac:dyDescent="0.35">
      <c r="A465" s="2">
        <v>42780</v>
      </c>
      <c r="B465">
        <v>486.9</v>
      </c>
    </row>
    <row r="466" spans="1:2" x14ac:dyDescent="0.35">
      <c r="A466" s="2">
        <v>42781</v>
      </c>
      <c r="B466">
        <v>488.2</v>
      </c>
    </row>
    <row r="467" spans="1:2" x14ac:dyDescent="0.35">
      <c r="A467" s="2">
        <v>42782</v>
      </c>
      <c r="B467">
        <v>493.15</v>
      </c>
    </row>
    <row r="468" spans="1:2" x14ac:dyDescent="0.35">
      <c r="A468" s="2">
        <v>42783</v>
      </c>
      <c r="B468">
        <v>489.1</v>
      </c>
    </row>
    <row r="469" spans="1:2" x14ac:dyDescent="0.35">
      <c r="A469" s="2">
        <v>42786</v>
      </c>
      <c r="B469">
        <v>481.05</v>
      </c>
    </row>
    <row r="470" spans="1:2" x14ac:dyDescent="0.35">
      <c r="A470" s="2">
        <v>42787</v>
      </c>
      <c r="B470">
        <v>504.35</v>
      </c>
    </row>
    <row r="471" spans="1:2" x14ac:dyDescent="0.35">
      <c r="A471" s="2">
        <v>42788</v>
      </c>
      <c r="B471">
        <v>525.29999999999995</v>
      </c>
    </row>
    <row r="472" spans="1:2" x14ac:dyDescent="0.35">
      <c r="A472" s="2">
        <v>42789</v>
      </c>
      <c r="B472">
        <v>528.15</v>
      </c>
    </row>
    <row r="473" spans="1:2" x14ac:dyDescent="0.35">
      <c r="A473" s="2">
        <v>42793</v>
      </c>
      <c r="B473">
        <v>508.95</v>
      </c>
    </row>
    <row r="474" spans="1:2" x14ac:dyDescent="0.35">
      <c r="A474" s="2">
        <v>42794</v>
      </c>
      <c r="B474">
        <v>506.65</v>
      </c>
    </row>
    <row r="475" spans="1:2" x14ac:dyDescent="0.35">
      <c r="A475" s="2">
        <v>42795</v>
      </c>
      <c r="B475">
        <v>513.4</v>
      </c>
    </row>
    <row r="476" spans="1:2" x14ac:dyDescent="0.35">
      <c r="A476" s="2">
        <v>42796</v>
      </c>
      <c r="B476">
        <v>506.3</v>
      </c>
    </row>
    <row r="477" spans="1:2" x14ac:dyDescent="0.35">
      <c r="A477" s="2">
        <v>42797</v>
      </c>
      <c r="B477">
        <v>512.9</v>
      </c>
    </row>
    <row r="478" spans="1:2" x14ac:dyDescent="0.35">
      <c r="A478" s="2">
        <v>42800</v>
      </c>
      <c r="B478">
        <v>518.65</v>
      </c>
    </row>
    <row r="479" spans="1:2" x14ac:dyDescent="0.35">
      <c r="A479" s="2">
        <v>42801</v>
      </c>
      <c r="B479">
        <v>511.8</v>
      </c>
    </row>
    <row r="480" spans="1:2" x14ac:dyDescent="0.35">
      <c r="A480" s="2">
        <v>42802</v>
      </c>
      <c r="B480">
        <v>510.15</v>
      </c>
    </row>
    <row r="481" spans="1:2" x14ac:dyDescent="0.35">
      <c r="A481" s="2">
        <v>42803</v>
      </c>
      <c r="B481">
        <v>516.4</v>
      </c>
    </row>
    <row r="482" spans="1:2" x14ac:dyDescent="0.35">
      <c r="A482" s="2">
        <v>42804</v>
      </c>
      <c r="B482">
        <v>515.9</v>
      </c>
    </row>
    <row r="483" spans="1:2" x14ac:dyDescent="0.35">
      <c r="A483" s="2">
        <v>42808</v>
      </c>
      <c r="B483">
        <v>510.9</v>
      </c>
    </row>
    <row r="484" spans="1:2" x14ac:dyDescent="0.35">
      <c r="A484" s="2">
        <v>42809</v>
      </c>
      <c r="B484">
        <v>511.7</v>
      </c>
    </row>
    <row r="485" spans="1:2" x14ac:dyDescent="0.35">
      <c r="A485" s="2">
        <v>42810</v>
      </c>
      <c r="B485">
        <v>513.65</v>
      </c>
    </row>
    <row r="486" spans="1:2" x14ac:dyDescent="0.35">
      <c r="A486" s="2">
        <v>42811</v>
      </c>
      <c r="B486">
        <v>517.15</v>
      </c>
    </row>
    <row r="487" spans="1:2" x14ac:dyDescent="0.35">
      <c r="A487" s="2">
        <v>42814</v>
      </c>
      <c r="B487">
        <v>502.85</v>
      </c>
    </row>
    <row r="488" spans="1:2" x14ac:dyDescent="0.35">
      <c r="A488" s="2">
        <v>42815</v>
      </c>
      <c r="B488">
        <v>488.3</v>
      </c>
    </row>
    <row r="489" spans="1:2" x14ac:dyDescent="0.35">
      <c r="A489" s="2">
        <v>42816</v>
      </c>
      <c r="B489">
        <v>485.45</v>
      </c>
    </row>
    <row r="490" spans="1:2" x14ac:dyDescent="0.35">
      <c r="A490" s="2">
        <v>42817</v>
      </c>
      <c r="B490">
        <v>488.25</v>
      </c>
    </row>
    <row r="491" spans="1:2" x14ac:dyDescent="0.35">
      <c r="A491" s="2">
        <v>42818</v>
      </c>
      <c r="B491">
        <v>489.35</v>
      </c>
    </row>
    <row r="492" spans="1:2" x14ac:dyDescent="0.35">
      <c r="A492" s="2">
        <v>42821</v>
      </c>
      <c r="B492">
        <v>487.15</v>
      </c>
    </row>
    <row r="493" spans="1:2" x14ac:dyDescent="0.35">
      <c r="A493" s="2">
        <v>42822</v>
      </c>
      <c r="B493">
        <v>502.8</v>
      </c>
    </row>
    <row r="494" spans="1:2" x14ac:dyDescent="0.35">
      <c r="A494" s="2">
        <v>42823</v>
      </c>
      <c r="B494">
        <v>504.2</v>
      </c>
    </row>
    <row r="495" spans="1:2" x14ac:dyDescent="0.35">
      <c r="A495" s="2">
        <v>42824</v>
      </c>
      <c r="B495">
        <v>499.25</v>
      </c>
    </row>
    <row r="496" spans="1:2" x14ac:dyDescent="0.35">
      <c r="A496" s="2">
        <v>42825</v>
      </c>
      <c r="B496">
        <v>490.8</v>
      </c>
    </row>
    <row r="497" spans="1:2" x14ac:dyDescent="0.35">
      <c r="A497" s="2">
        <v>42828</v>
      </c>
      <c r="B497">
        <v>500.6</v>
      </c>
    </row>
    <row r="498" spans="1:2" x14ac:dyDescent="0.35">
      <c r="A498" s="2">
        <v>42830</v>
      </c>
      <c r="B498">
        <v>508.3</v>
      </c>
    </row>
    <row r="499" spans="1:2" x14ac:dyDescent="0.35">
      <c r="A499" s="2">
        <v>42831</v>
      </c>
      <c r="B499">
        <v>508.7</v>
      </c>
    </row>
    <row r="500" spans="1:2" x14ac:dyDescent="0.35">
      <c r="A500" s="2">
        <v>42832</v>
      </c>
      <c r="B500">
        <v>504.2</v>
      </c>
    </row>
    <row r="501" spans="1:2" x14ac:dyDescent="0.35">
      <c r="A501" s="2">
        <v>42835</v>
      </c>
      <c r="B501">
        <v>510.75</v>
      </c>
    </row>
    <row r="502" spans="1:2" x14ac:dyDescent="0.35">
      <c r="A502" s="2">
        <v>42836</v>
      </c>
      <c r="B502">
        <v>515.04999999999995</v>
      </c>
    </row>
    <row r="503" spans="1:2" x14ac:dyDescent="0.35">
      <c r="A503" s="2">
        <v>42837</v>
      </c>
      <c r="B503">
        <v>506</v>
      </c>
    </row>
    <row r="504" spans="1:2" x14ac:dyDescent="0.35">
      <c r="A504" s="2">
        <v>42838</v>
      </c>
      <c r="B504">
        <v>507.55</v>
      </c>
    </row>
    <row r="505" spans="1:2" x14ac:dyDescent="0.35">
      <c r="A505" s="2">
        <v>42842</v>
      </c>
      <c r="B505">
        <v>502.35</v>
      </c>
    </row>
    <row r="506" spans="1:2" x14ac:dyDescent="0.35">
      <c r="A506" s="2">
        <v>42843</v>
      </c>
      <c r="B506">
        <v>499.65</v>
      </c>
    </row>
    <row r="507" spans="1:2" x14ac:dyDescent="0.35">
      <c r="A507" s="2">
        <v>42844</v>
      </c>
      <c r="B507">
        <v>499.5</v>
      </c>
    </row>
    <row r="508" spans="1:2" x14ac:dyDescent="0.35">
      <c r="A508" s="2">
        <v>42845</v>
      </c>
      <c r="B508">
        <v>488</v>
      </c>
    </row>
    <row r="509" spans="1:2" x14ac:dyDescent="0.35">
      <c r="A509" s="2">
        <v>42846</v>
      </c>
      <c r="B509">
        <v>486.25</v>
      </c>
    </row>
    <row r="510" spans="1:2" x14ac:dyDescent="0.35">
      <c r="A510" s="2">
        <v>42849</v>
      </c>
      <c r="B510">
        <v>498.65</v>
      </c>
    </row>
    <row r="511" spans="1:2" x14ac:dyDescent="0.35">
      <c r="A511" s="2">
        <v>42850</v>
      </c>
      <c r="B511">
        <v>516.4</v>
      </c>
    </row>
    <row r="512" spans="1:2" x14ac:dyDescent="0.35">
      <c r="A512" s="2">
        <v>42851</v>
      </c>
      <c r="B512">
        <v>517.15</v>
      </c>
    </row>
    <row r="513" spans="1:2" x14ac:dyDescent="0.35">
      <c r="A513" s="2">
        <v>42852</v>
      </c>
      <c r="B513">
        <v>506.6</v>
      </c>
    </row>
    <row r="514" spans="1:2" x14ac:dyDescent="0.35">
      <c r="A514" s="2">
        <v>42853</v>
      </c>
      <c r="B514">
        <v>509.65</v>
      </c>
    </row>
    <row r="515" spans="1:2" x14ac:dyDescent="0.35">
      <c r="A515" s="2">
        <v>42857</v>
      </c>
      <c r="B515">
        <v>505.55</v>
      </c>
    </row>
    <row r="516" spans="1:2" x14ac:dyDescent="0.35">
      <c r="A516" s="2">
        <v>42858</v>
      </c>
      <c r="B516">
        <v>500.85</v>
      </c>
    </row>
    <row r="517" spans="1:2" x14ac:dyDescent="0.35">
      <c r="A517" s="2">
        <v>42859</v>
      </c>
      <c r="B517">
        <v>518.85</v>
      </c>
    </row>
    <row r="518" spans="1:2" x14ac:dyDescent="0.35">
      <c r="A518" s="2">
        <v>42860</v>
      </c>
      <c r="B518">
        <v>504.5</v>
      </c>
    </row>
    <row r="519" spans="1:2" x14ac:dyDescent="0.35">
      <c r="A519" s="2">
        <v>42863</v>
      </c>
      <c r="B519">
        <v>511.2</v>
      </c>
    </row>
    <row r="520" spans="1:2" x14ac:dyDescent="0.35">
      <c r="A520" s="2">
        <v>42864</v>
      </c>
      <c r="B520">
        <v>518.20000000000005</v>
      </c>
    </row>
    <row r="521" spans="1:2" x14ac:dyDescent="0.35">
      <c r="A521" s="2">
        <v>42865</v>
      </c>
      <c r="B521">
        <v>526.35</v>
      </c>
    </row>
    <row r="522" spans="1:2" x14ac:dyDescent="0.35">
      <c r="A522" s="2">
        <v>42866</v>
      </c>
      <c r="B522">
        <v>516.9</v>
      </c>
    </row>
    <row r="523" spans="1:2" x14ac:dyDescent="0.35">
      <c r="A523" s="2">
        <v>42867</v>
      </c>
      <c r="B523">
        <v>503</v>
      </c>
    </row>
    <row r="524" spans="1:2" x14ac:dyDescent="0.35">
      <c r="A524" s="2">
        <v>42870</v>
      </c>
      <c r="B524">
        <v>500.1</v>
      </c>
    </row>
    <row r="525" spans="1:2" x14ac:dyDescent="0.35">
      <c r="A525" s="2">
        <v>42871</v>
      </c>
      <c r="B525">
        <v>501.5</v>
      </c>
    </row>
    <row r="526" spans="1:2" x14ac:dyDescent="0.35">
      <c r="A526" s="2">
        <v>42872</v>
      </c>
      <c r="B526">
        <v>502.8</v>
      </c>
    </row>
    <row r="527" spans="1:2" x14ac:dyDescent="0.35">
      <c r="A527" s="2">
        <v>42873</v>
      </c>
      <c r="B527">
        <v>492</v>
      </c>
    </row>
    <row r="528" spans="1:2" x14ac:dyDescent="0.35">
      <c r="A528" s="2">
        <v>42874</v>
      </c>
      <c r="B528">
        <v>501.7</v>
      </c>
    </row>
    <row r="529" spans="1:2" x14ac:dyDescent="0.35">
      <c r="A529" s="2">
        <v>42877</v>
      </c>
      <c r="B529">
        <v>502.3</v>
      </c>
    </row>
    <row r="530" spans="1:2" x14ac:dyDescent="0.35">
      <c r="A530" s="2">
        <v>42878</v>
      </c>
      <c r="B530">
        <v>500.6</v>
      </c>
    </row>
    <row r="531" spans="1:2" x14ac:dyDescent="0.35">
      <c r="A531" s="2">
        <v>42879</v>
      </c>
      <c r="B531">
        <v>499.3</v>
      </c>
    </row>
    <row r="532" spans="1:2" x14ac:dyDescent="0.35">
      <c r="A532" s="2">
        <v>42880</v>
      </c>
      <c r="B532">
        <v>507.45</v>
      </c>
    </row>
    <row r="533" spans="1:2" x14ac:dyDescent="0.35">
      <c r="A533" s="2">
        <v>42881</v>
      </c>
      <c r="B533">
        <v>511.45</v>
      </c>
    </row>
    <row r="534" spans="1:2" x14ac:dyDescent="0.35">
      <c r="A534" s="2">
        <v>42884</v>
      </c>
      <c r="B534">
        <v>507.25</v>
      </c>
    </row>
    <row r="535" spans="1:2" x14ac:dyDescent="0.35">
      <c r="A535" s="2">
        <v>42885</v>
      </c>
      <c r="B535">
        <v>514.4</v>
      </c>
    </row>
    <row r="536" spans="1:2" x14ac:dyDescent="0.35">
      <c r="A536" s="2">
        <v>42886</v>
      </c>
      <c r="B536">
        <v>514.04999999999995</v>
      </c>
    </row>
    <row r="537" spans="1:2" x14ac:dyDescent="0.35">
      <c r="A537" s="2">
        <v>42887</v>
      </c>
      <c r="B537">
        <v>509.3</v>
      </c>
    </row>
    <row r="538" spans="1:2" x14ac:dyDescent="0.35">
      <c r="A538" s="2">
        <v>42888</v>
      </c>
      <c r="B538">
        <v>508.05</v>
      </c>
    </row>
    <row r="539" spans="1:2" x14ac:dyDescent="0.35">
      <c r="A539" s="2">
        <v>42891</v>
      </c>
      <c r="B539">
        <v>513.65</v>
      </c>
    </row>
    <row r="540" spans="1:2" x14ac:dyDescent="0.35">
      <c r="A540" s="2">
        <v>42892</v>
      </c>
      <c r="B540">
        <v>510.2</v>
      </c>
    </row>
    <row r="541" spans="1:2" x14ac:dyDescent="0.35">
      <c r="A541" s="2">
        <v>42893</v>
      </c>
      <c r="B541">
        <v>514.20000000000005</v>
      </c>
    </row>
    <row r="542" spans="1:2" x14ac:dyDescent="0.35">
      <c r="A542" s="2">
        <v>42894</v>
      </c>
      <c r="B542">
        <v>515.75</v>
      </c>
    </row>
    <row r="543" spans="1:2" x14ac:dyDescent="0.35">
      <c r="A543" s="2">
        <v>42895</v>
      </c>
      <c r="B543">
        <v>513.65</v>
      </c>
    </row>
    <row r="544" spans="1:2" x14ac:dyDescent="0.35">
      <c r="A544" s="2">
        <v>42898</v>
      </c>
      <c r="B544">
        <v>507.5</v>
      </c>
    </row>
    <row r="545" spans="1:2" x14ac:dyDescent="0.35">
      <c r="A545" s="2">
        <v>42899</v>
      </c>
      <c r="B545">
        <v>506.45</v>
      </c>
    </row>
    <row r="546" spans="1:2" x14ac:dyDescent="0.35">
      <c r="A546" s="2">
        <v>42900</v>
      </c>
      <c r="B546">
        <v>509.5</v>
      </c>
    </row>
    <row r="547" spans="1:2" x14ac:dyDescent="0.35">
      <c r="A547" s="2">
        <v>42901</v>
      </c>
      <c r="B547">
        <v>507.6</v>
      </c>
    </row>
    <row r="548" spans="1:2" x14ac:dyDescent="0.35">
      <c r="A548" s="2">
        <v>42902</v>
      </c>
      <c r="B548">
        <v>510.45</v>
      </c>
    </row>
    <row r="549" spans="1:2" x14ac:dyDescent="0.35">
      <c r="A549" s="2">
        <v>42905</v>
      </c>
      <c r="B549">
        <v>520.15</v>
      </c>
    </row>
    <row r="550" spans="1:2" x14ac:dyDescent="0.35">
      <c r="A550" s="2">
        <v>42906</v>
      </c>
      <c r="B550">
        <v>511.85</v>
      </c>
    </row>
    <row r="551" spans="1:2" x14ac:dyDescent="0.35">
      <c r="A551" s="2">
        <v>42907</v>
      </c>
      <c r="B551">
        <v>507.75</v>
      </c>
    </row>
    <row r="552" spans="1:2" x14ac:dyDescent="0.35">
      <c r="A552" s="2">
        <v>42908</v>
      </c>
      <c r="B552">
        <v>508</v>
      </c>
    </row>
    <row r="553" spans="1:2" x14ac:dyDescent="0.35">
      <c r="A553" s="2">
        <v>42909</v>
      </c>
      <c r="B553">
        <v>504.65</v>
      </c>
    </row>
    <row r="554" spans="1:2" x14ac:dyDescent="0.35">
      <c r="A554" s="2">
        <v>42913</v>
      </c>
      <c r="B554">
        <v>492.85</v>
      </c>
    </row>
    <row r="555" spans="1:2" x14ac:dyDescent="0.35">
      <c r="A555" s="2">
        <v>42914</v>
      </c>
      <c r="B555">
        <v>492</v>
      </c>
    </row>
    <row r="556" spans="1:2" x14ac:dyDescent="0.35">
      <c r="A556" s="2">
        <v>42915</v>
      </c>
      <c r="B556">
        <v>512.1</v>
      </c>
    </row>
    <row r="557" spans="1:2" x14ac:dyDescent="0.35">
      <c r="A557" s="2">
        <v>42916</v>
      </c>
      <c r="B557">
        <v>517.35</v>
      </c>
    </row>
    <row r="558" spans="1:2" x14ac:dyDescent="0.35">
      <c r="A558" s="2">
        <v>42919</v>
      </c>
      <c r="B558">
        <v>517.25</v>
      </c>
    </row>
    <row r="559" spans="1:2" x14ac:dyDescent="0.35">
      <c r="A559" s="2">
        <v>42920</v>
      </c>
      <c r="B559">
        <v>508.4</v>
      </c>
    </row>
    <row r="560" spans="1:2" x14ac:dyDescent="0.35">
      <c r="A560" s="2">
        <v>42921</v>
      </c>
      <c r="B560">
        <v>513.9</v>
      </c>
    </row>
    <row r="561" spans="1:2" x14ac:dyDescent="0.35">
      <c r="A561" s="2">
        <v>42922</v>
      </c>
      <c r="B561">
        <v>509.5</v>
      </c>
    </row>
    <row r="562" spans="1:2" x14ac:dyDescent="0.35">
      <c r="A562" s="2">
        <v>42923</v>
      </c>
      <c r="B562">
        <v>503.15</v>
      </c>
    </row>
    <row r="563" spans="1:2" x14ac:dyDescent="0.35">
      <c r="A563" s="2">
        <v>42926</v>
      </c>
      <c r="B563">
        <v>509.95</v>
      </c>
    </row>
    <row r="564" spans="1:2" x14ac:dyDescent="0.35">
      <c r="A564" s="2">
        <v>42927</v>
      </c>
      <c r="B564">
        <v>506.8</v>
      </c>
    </row>
    <row r="565" spans="1:2" x14ac:dyDescent="0.35">
      <c r="A565" s="2">
        <v>42928</v>
      </c>
      <c r="B565">
        <v>506.75</v>
      </c>
    </row>
    <row r="566" spans="1:2" x14ac:dyDescent="0.35">
      <c r="A566" s="2">
        <v>42929</v>
      </c>
      <c r="B566">
        <v>511.9</v>
      </c>
    </row>
    <row r="567" spans="1:2" x14ac:dyDescent="0.35">
      <c r="A567" s="2">
        <v>42930</v>
      </c>
      <c r="B567">
        <v>512.95000000000005</v>
      </c>
    </row>
    <row r="568" spans="1:2" x14ac:dyDescent="0.35">
      <c r="A568" s="2">
        <v>42933</v>
      </c>
      <c r="B568">
        <v>510.5</v>
      </c>
    </row>
    <row r="569" spans="1:2" x14ac:dyDescent="0.35">
      <c r="A569" s="2">
        <v>42934</v>
      </c>
      <c r="B569">
        <v>516.54999999999995</v>
      </c>
    </row>
    <row r="570" spans="1:2" x14ac:dyDescent="0.35">
      <c r="A570" s="2">
        <v>42935</v>
      </c>
      <c r="B570">
        <v>520.20000000000005</v>
      </c>
    </row>
    <row r="571" spans="1:2" x14ac:dyDescent="0.35">
      <c r="A571" s="2">
        <v>42936</v>
      </c>
      <c r="B571">
        <v>540</v>
      </c>
    </row>
    <row r="572" spans="1:2" x14ac:dyDescent="0.35">
      <c r="A572" s="2">
        <v>42937</v>
      </c>
      <c r="B572">
        <v>540.79999999999995</v>
      </c>
    </row>
    <row r="573" spans="1:2" x14ac:dyDescent="0.35">
      <c r="A573" s="2">
        <v>42940</v>
      </c>
      <c r="B573">
        <v>534.79999999999995</v>
      </c>
    </row>
    <row r="574" spans="1:2" x14ac:dyDescent="0.35">
      <c r="A574" s="2">
        <v>42941</v>
      </c>
      <c r="B574">
        <v>544.95000000000005</v>
      </c>
    </row>
    <row r="575" spans="1:2" x14ac:dyDescent="0.35">
      <c r="A575" s="2">
        <v>42942</v>
      </c>
      <c r="B575">
        <v>528.85</v>
      </c>
    </row>
    <row r="576" spans="1:2" x14ac:dyDescent="0.35">
      <c r="A576" s="2">
        <v>42943</v>
      </c>
      <c r="B576">
        <v>524.65</v>
      </c>
    </row>
    <row r="577" spans="1:2" x14ac:dyDescent="0.35">
      <c r="A577" s="2">
        <v>42944</v>
      </c>
      <c r="B577">
        <v>515.1</v>
      </c>
    </row>
    <row r="578" spans="1:2" x14ac:dyDescent="0.35">
      <c r="A578" s="2">
        <v>42947</v>
      </c>
      <c r="B578">
        <v>519.79999999999995</v>
      </c>
    </row>
    <row r="579" spans="1:2" x14ac:dyDescent="0.35">
      <c r="A579" s="2">
        <v>42948</v>
      </c>
      <c r="B579">
        <v>516.54999999999995</v>
      </c>
    </row>
    <row r="580" spans="1:2" x14ac:dyDescent="0.35">
      <c r="A580" s="2">
        <v>42949</v>
      </c>
      <c r="B580">
        <v>516.9</v>
      </c>
    </row>
    <row r="581" spans="1:2" x14ac:dyDescent="0.35">
      <c r="A581" s="2">
        <v>42950</v>
      </c>
      <c r="B581">
        <v>506</v>
      </c>
    </row>
    <row r="582" spans="1:2" x14ac:dyDescent="0.35">
      <c r="A582" s="2">
        <v>42951</v>
      </c>
      <c r="B582">
        <v>508.1</v>
      </c>
    </row>
    <row r="583" spans="1:2" x14ac:dyDescent="0.35">
      <c r="A583" s="2">
        <v>42954</v>
      </c>
      <c r="B583">
        <v>505.8</v>
      </c>
    </row>
    <row r="584" spans="1:2" x14ac:dyDescent="0.35">
      <c r="A584" s="2">
        <v>42955</v>
      </c>
      <c r="B584">
        <v>499.45</v>
      </c>
    </row>
    <row r="585" spans="1:2" x14ac:dyDescent="0.35">
      <c r="A585" s="2">
        <v>42956</v>
      </c>
      <c r="B585">
        <v>486.95</v>
      </c>
    </row>
    <row r="586" spans="1:2" x14ac:dyDescent="0.35">
      <c r="A586" s="2">
        <v>42957</v>
      </c>
      <c r="B586">
        <v>485.5</v>
      </c>
    </row>
    <row r="587" spans="1:2" x14ac:dyDescent="0.35">
      <c r="A587" s="2">
        <v>42958</v>
      </c>
      <c r="B587">
        <v>489.7</v>
      </c>
    </row>
    <row r="588" spans="1:2" x14ac:dyDescent="0.35">
      <c r="A588" s="2">
        <v>42961</v>
      </c>
      <c r="B588">
        <v>491.75</v>
      </c>
    </row>
    <row r="589" spans="1:2" x14ac:dyDescent="0.35">
      <c r="A589" s="2">
        <v>42963</v>
      </c>
      <c r="B589">
        <v>499.5</v>
      </c>
    </row>
    <row r="590" spans="1:2" x14ac:dyDescent="0.35">
      <c r="A590" s="2">
        <v>42964</v>
      </c>
      <c r="B590">
        <v>497.15</v>
      </c>
    </row>
    <row r="591" spans="1:2" x14ac:dyDescent="0.35">
      <c r="A591" s="2">
        <v>42965</v>
      </c>
      <c r="B591">
        <v>490.4</v>
      </c>
    </row>
    <row r="592" spans="1:2" x14ac:dyDescent="0.35">
      <c r="A592" s="2">
        <v>42968</v>
      </c>
      <c r="B592">
        <v>494.8</v>
      </c>
    </row>
    <row r="593" spans="1:2" x14ac:dyDescent="0.35">
      <c r="A593" s="2">
        <v>42969</v>
      </c>
      <c r="B593">
        <v>499.2</v>
      </c>
    </row>
    <row r="594" spans="1:2" x14ac:dyDescent="0.35">
      <c r="A594" s="2">
        <v>42970</v>
      </c>
      <c r="B594">
        <v>502.65</v>
      </c>
    </row>
    <row r="595" spans="1:2" x14ac:dyDescent="0.35">
      <c r="A595" s="2">
        <v>42971</v>
      </c>
      <c r="B595">
        <v>506.85</v>
      </c>
    </row>
    <row r="596" spans="1:2" x14ac:dyDescent="0.35">
      <c r="A596" s="2">
        <v>42975</v>
      </c>
      <c r="B596">
        <v>510.6</v>
      </c>
    </row>
    <row r="597" spans="1:2" x14ac:dyDescent="0.35">
      <c r="A597" s="2">
        <v>42976</v>
      </c>
      <c r="B597">
        <v>503.6</v>
      </c>
    </row>
    <row r="598" spans="1:2" x14ac:dyDescent="0.35">
      <c r="A598" s="2">
        <v>42977</v>
      </c>
      <c r="B598">
        <v>503.9</v>
      </c>
    </row>
    <row r="599" spans="1:2" x14ac:dyDescent="0.35">
      <c r="A599" s="2">
        <v>42978</v>
      </c>
      <c r="B599">
        <v>500.35</v>
      </c>
    </row>
    <row r="600" spans="1:2" x14ac:dyDescent="0.35">
      <c r="A600" s="2">
        <v>42979</v>
      </c>
      <c r="B600">
        <v>507.55</v>
      </c>
    </row>
    <row r="601" spans="1:2" x14ac:dyDescent="0.35">
      <c r="A601" s="2">
        <v>42982</v>
      </c>
      <c r="B601">
        <v>501.75</v>
      </c>
    </row>
    <row r="602" spans="1:2" x14ac:dyDescent="0.35">
      <c r="A602" s="2">
        <v>42983</v>
      </c>
      <c r="B602">
        <v>503.4</v>
      </c>
    </row>
    <row r="603" spans="1:2" x14ac:dyDescent="0.35">
      <c r="A603" s="2">
        <v>42984</v>
      </c>
      <c r="B603">
        <v>492.85</v>
      </c>
    </row>
    <row r="604" spans="1:2" x14ac:dyDescent="0.35">
      <c r="A604" s="2">
        <v>42985</v>
      </c>
      <c r="B604">
        <v>496.6</v>
      </c>
    </row>
    <row r="605" spans="1:2" x14ac:dyDescent="0.35">
      <c r="A605" s="2">
        <v>42986</v>
      </c>
      <c r="B605">
        <v>494</v>
      </c>
    </row>
    <row r="606" spans="1:2" x14ac:dyDescent="0.35">
      <c r="A606" s="2">
        <v>42989</v>
      </c>
      <c r="B606">
        <v>493.9</v>
      </c>
    </row>
    <row r="607" spans="1:2" x14ac:dyDescent="0.35">
      <c r="A607" s="2">
        <v>42990</v>
      </c>
      <c r="B607">
        <v>496.5</v>
      </c>
    </row>
    <row r="608" spans="1:2" x14ac:dyDescent="0.35">
      <c r="A608" s="2">
        <v>42991</v>
      </c>
      <c r="B608">
        <v>499.3</v>
      </c>
    </row>
    <row r="609" spans="1:2" x14ac:dyDescent="0.35">
      <c r="A609" s="2">
        <v>42992</v>
      </c>
      <c r="B609">
        <v>519.75</v>
      </c>
    </row>
    <row r="610" spans="1:2" x14ac:dyDescent="0.35">
      <c r="A610" s="2">
        <v>42993</v>
      </c>
      <c r="B610">
        <v>516.15</v>
      </c>
    </row>
    <row r="611" spans="1:2" x14ac:dyDescent="0.35">
      <c r="A611" s="2">
        <v>42996</v>
      </c>
      <c r="B611">
        <v>524.54999999999995</v>
      </c>
    </row>
    <row r="612" spans="1:2" x14ac:dyDescent="0.35">
      <c r="A612" s="2">
        <v>42997</v>
      </c>
      <c r="B612">
        <v>520.75</v>
      </c>
    </row>
    <row r="613" spans="1:2" x14ac:dyDescent="0.35">
      <c r="A613" s="2">
        <v>42998</v>
      </c>
      <c r="B613">
        <v>519.45000000000005</v>
      </c>
    </row>
    <row r="614" spans="1:2" x14ac:dyDescent="0.35">
      <c r="A614" s="2">
        <v>42999</v>
      </c>
      <c r="B614">
        <v>512.54999999999995</v>
      </c>
    </row>
    <row r="615" spans="1:2" x14ac:dyDescent="0.35">
      <c r="A615" s="2">
        <v>43000</v>
      </c>
      <c r="B615">
        <v>505.3</v>
      </c>
    </row>
    <row r="616" spans="1:2" x14ac:dyDescent="0.35">
      <c r="A616" s="2">
        <v>43003</v>
      </c>
      <c r="B616">
        <v>501.7</v>
      </c>
    </row>
    <row r="617" spans="1:2" x14ac:dyDescent="0.35">
      <c r="A617" s="2">
        <v>43004</v>
      </c>
      <c r="B617">
        <v>511.95</v>
      </c>
    </row>
    <row r="618" spans="1:2" x14ac:dyDescent="0.35">
      <c r="A618" s="2">
        <v>43005</v>
      </c>
      <c r="B618">
        <v>506.3</v>
      </c>
    </row>
    <row r="619" spans="1:2" x14ac:dyDescent="0.35">
      <c r="A619" s="2">
        <v>43006</v>
      </c>
      <c r="B619">
        <v>511.8</v>
      </c>
    </row>
    <row r="620" spans="1:2" x14ac:dyDescent="0.35">
      <c r="A620" s="2">
        <v>43007</v>
      </c>
      <c r="B620">
        <v>509.15</v>
      </c>
    </row>
    <row r="621" spans="1:2" x14ac:dyDescent="0.35">
      <c r="A621" s="2">
        <v>43011</v>
      </c>
      <c r="B621">
        <v>509.65</v>
      </c>
    </row>
    <row r="622" spans="1:2" x14ac:dyDescent="0.35">
      <c r="A622" s="2">
        <v>43012</v>
      </c>
      <c r="B622">
        <v>505.95</v>
      </c>
    </row>
    <row r="623" spans="1:2" x14ac:dyDescent="0.35">
      <c r="A623" s="2">
        <v>43013</v>
      </c>
      <c r="B623">
        <v>501.2</v>
      </c>
    </row>
    <row r="624" spans="1:2" x14ac:dyDescent="0.35">
      <c r="A624" s="2">
        <v>43014</v>
      </c>
      <c r="B624">
        <v>503.35</v>
      </c>
    </row>
    <row r="625" spans="1:2" x14ac:dyDescent="0.35">
      <c r="A625" s="2">
        <v>43017</v>
      </c>
      <c r="B625">
        <v>505.95</v>
      </c>
    </row>
    <row r="626" spans="1:2" x14ac:dyDescent="0.35">
      <c r="A626" s="2">
        <v>43018</v>
      </c>
      <c r="B626">
        <v>514.54999999999995</v>
      </c>
    </row>
    <row r="627" spans="1:2" x14ac:dyDescent="0.35">
      <c r="A627" s="2">
        <v>43019</v>
      </c>
      <c r="B627">
        <v>515.75</v>
      </c>
    </row>
    <row r="628" spans="1:2" x14ac:dyDescent="0.35">
      <c r="A628" s="2">
        <v>43020</v>
      </c>
      <c r="B628">
        <v>525.1</v>
      </c>
    </row>
    <row r="629" spans="1:2" x14ac:dyDescent="0.35">
      <c r="A629" s="2">
        <v>43021</v>
      </c>
      <c r="B629">
        <v>529.45000000000005</v>
      </c>
    </row>
    <row r="630" spans="1:2" x14ac:dyDescent="0.35">
      <c r="A630" s="2">
        <v>43024</v>
      </c>
      <c r="B630">
        <v>520.35</v>
      </c>
    </row>
    <row r="631" spans="1:2" x14ac:dyDescent="0.35">
      <c r="A631" s="2">
        <v>43025</v>
      </c>
      <c r="B631">
        <v>513.15</v>
      </c>
    </row>
    <row r="632" spans="1:2" x14ac:dyDescent="0.35">
      <c r="A632" s="2">
        <v>43026</v>
      </c>
      <c r="B632">
        <v>464.5</v>
      </c>
    </row>
    <row r="633" spans="1:2" x14ac:dyDescent="0.35">
      <c r="A633" s="2">
        <v>43027</v>
      </c>
      <c r="B633">
        <v>460.3</v>
      </c>
    </row>
    <row r="634" spans="1:2" x14ac:dyDescent="0.35">
      <c r="A634" s="2">
        <v>43031</v>
      </c>
      <c r="B634">
        <v>449.95</v>
      </c>
    </row>
    <row r="635" spans="1:2" x14ac:dyDescent="0.35">
      <c r="A635" s="2">
        <v>43032</v>
      </c>
      <c r="B635">
        <v>451.95</v>
      </c>
    </row>
    <row r="636" spans="1:2" x14ac:dyDescent="0.35">
      <c r="A636" s="2">
        <v>43033</v>
      </c>
      <c r="B636">
        <v>473</v>
      </c>
    </row>
    <row r="637" spans="1:2" x14ac:dyDescent="0.35">
      <c r="A637" s="2">
        <v>43034</v>
      </c>
      <c r="B637">
        <v>484.3</v>
      </c>
    </row>
    <row r="638" spans="1:2" x14ac:dyDescent="0.35">
      <c r="A638" s="2">
        <v>43035</v>
      </c>
      <c r="B638">
        <v>485.95</v>
      </c>
    </row>
    <row r="639" spans="1:2" x14ac:dyDescent="0.35">
      <c r="A639" s="2">
        <v>43038</v>
      </c>
      <c r="B639">
        <v>484</v>
      </c>
    </row>
    <row r="640" spans="1:2" x14ac:dyDescent="0.35">
      <c r="A640" s="2">
        <v>43039</v>
      </c>
      <c r="B640">
        <v>523.15</v>
      </c>
    </row>
    <row r="641" spans="1:2" x14ac:dyDescent="0.35">
      <c r="A641" s="2">
        <v>43040</v>
      </c>
      <c r="B641">
        <v>535.1</v>
      </c>
    </row>
    <row r="642" spans="1:2" x14ac:dyDescent="0.35">
      <c r="A642" s="2">
        <v>43041</v>
      </c>
      <c r="B642">
        <v>532.15</v>
      </c>
    </row>
    <row r="643" spans="1:2" x14ac:dyDescent="0.35">
      <c r="A643" s="2">
        <v>43042</v>
      </c>
      <c r="B643">
        <v>540.1</v>
      </c>
    </row>
    <row r="644" spans="1:2" x14ac:dyDescent="0.35">
      <c r="A644" s="2">
        <v>43045</v>
      </c>
      <c r="B644">
        <v>534.5</v>
      </c>
    </row>
    <row r="645" spans="1:2" x14ac:dyDescent="0.35">
      <c r="A645" s="2">
        <v>43046</v>
      </c>
      <c r="B645">
        <v>527.15</v>
      </c>
    </row>
    <row r="646" spans="1:2" x14ac:dyDescent="0.35">
      <c r="A646" s="2">
        <v>43047</v>
      </c>
      <c r="B646">
        <v>544.85</v>
      </c>
    </row>
    <row r="647" spans="1:2" x14ac:dyDescent="0.35">
      <c r="A647" s="2">
        <v>43048</v>
      </c>
      <c r="B647">
        <v>540.4</v>
      </c>
    </row>
    <row r="648" spans="1:2" x14ac:dyDescent="0.35">
      <c r="A648" s="2">
        <v>43049</v>
      </c>
      <c r="B648">
        <v>544.79999999999995</v>
      </c>
    </row>
    <row r="649" spans="1:2" x14ac:dyDescent="0.35">
      <c r="A649" s="2">
        <v>43052</v>
      </c>
      <c r="B649">
        <v>537.35</v>
      </c>
    </row>
    <row r="650" spans="1:2" x14ac:dyDescent="0.35">
      <c r="A650" s="2">
        <v>43053</v>
      </c>
      <c r="B650">
        <v>545.65</v>
      </c>
    </row>
    <row r="651" spans="1:2" x14ac:dyDescent="0.35">
      <c r="A651" s="2">
        <v>43054</v>
      </c>
      <c r="B651">
        <v>542</v>
      </c>
    </row>
    <row r="652" spans="1:2" x14ac:dyDescent="0.35">
      <c r="A652" s="2">
        <v>43055</v>
      </c>
      <c r="B652">
        <v>542.6</v>
      </c>
    </row>
    <row r="653" spans="1:2" x14ac:dyDescent="0.35">
      <c r="A653" s="2">
        <v>43056</v>
      </c>
      <c r="B653">
        <v>542.4</v>
      </c>
    </row>
    <row r="654" spans="1:2" x14ac:dyDescent="0.35">
      <c r="A654" s="2">
        <v>43059</v>
      </c>
      <c r="B654">
        <v>545.15</v>
      </c>
    </row>
    <row r="655" spans="1:2" x14ac:dyDescent="0.35">
      <c r="A655" s="2">
        <v>43060</v>
      </c>
      <c r="B655">
        <v>546.79999999999995</v>
      </c>
    </row>
    <row r="656" spans="1:2" x14ac:dyDescent="0.35">
      <c r="A656" s="2">
        <v>43061</v>
      </c>
      <c r="B656">
        <v>540.5</v>
      </c>
    </row>
    <row r="657" spans="1:2" x14ac:dyDescent="0.35">
      <c r="A657" s="2">
        <v>43062</v>
      </c>
      <c r="B657">
        <v>544.15</v>
      </c>
    </row>
    <row r="658" spans="1:2" x14ac:dyDescent="0.35">
      <c r="A658" s="2">
        <v>43063</v>
      </c>
      <c r="B658">
        <v>545.5</v>
      </c>
    </row>
    <row r="659" spans="1:2" x14ac:dyDescent="0.35">
      <c r="A659" s="2">
        <v>43066</v>
      </c>
      <c r="B659">
        <v>559.4</v>
      </c>
    </row>
    <row r="660" spans="1:2" x14ac:dyDescent="0.35">
      <c r="A660" s="2">
        <v>43067</v>
      </c>
      <c r="B660">
        <v>562.54999999999995</v>
      </c>
    </row>
    <row r="661" spans="1:2" x14ac:dyDescent="0.35">
      <c r="A661" s="2">
        <v>43068</v>
      </c>
      <c r="B661">
        <v>549.5</v>
      </c>
    </row>
    <row r="662" spans="1:2" x14ac:dyDescent="0.35">
      <c r="A662" s="2">
        <v>43069</v>
      </c>
      <c r="B662">
        <v>535.4</v>
      </c>
    </row>
    <row r="663" spans="1:2" x14ac:dyDescent="0.35">
      <c r="A663" s="2">
        <v>43070</v>
      </c>
      <c r="B663">
        <v>533.85</v>
      </c>
    </row>
    <row r="664" spans="1:2" x14ac:dyDescent="0.35">
      <c r="A664" s="2">
        <v>43073</v>
      </c>
      <c r="B664">
        <v>534.95000000000005</v>
      </c>
    </row>
    <row r="665" spans="1:2" x14ac:dyDescent="0.35">
      <c r="A665" s="2">
        <v>43074</v>
      </c>
      <c r="B665">
        <v>533.15</v>
      </c>
    </row>
    <row r="666" spans="1:2" x14ac:dyDescent="0.35">
      <c r="A666" s="2">
        <v>43075</v>
      </c>
      <c r="B666">
        <v>530.5</v>
      </c>
    </row>
    <row r="667" spans="1:2" x14ac:dyDescent="0.35">
      <c r="A667" s="2">
        <v>43076</v>
      </c>
      <c r="B667">
        <v>534.04999999999995</v>
      </c>
    </row>
    <row r="668" spans="1:2" x14ac:dyDescent="0.35">
      <c r="A668" s="2">
        <v>43077</v>
      </c>
      <c r="B668">
        <v>542.5</v>
      </c>
    </row>
    <row r="669" spans="1:2" x14ac:dyDescent="0.35">
      <c r="A669" s="2">
        <v>43080</v>
      </c>
      <c r="B669">
        <v>545.1</v>
      </c>
    </row>
    <row r="670" spans="1:2" x14ac:dyDescent="0.35">
      <c r="A670" s="2">
        <v>43081</v>
      </c>
      <c r="B670">
        <v>538.6</v>
      </c>
    </row>
    <row r="671" spans="1:2" x14ac:dyDescent="0.35">
      <c r="A671" s="2">
        <v>43082</v>
      </c>
      <c r="B671">
        <v>535.75</v>
      </c>
    </row>
    <row r="672" spans="1:2" x14ac:dyDescent="0.35">
      <c r="A672" s="2">
        <v>43083</v>
      </c>
      <c r="B672">
        <v>541.45000000000005</v>
      </c>
    </row>
    <row r="673" spans="1:2" x14ac:dyDescent="0.35">
      <c r="A673" s="2">
        <v>43084</v>
      </c>
      <c r="B673">
        <v>547.95000000000005</v>
      </c>
    </row>
    <row r="674" spans="1:2" x14ac:dyDescent="0.35">
      <c r="A674" s="2">
        <v>43087</v>
      </c>
      <c r="B674">
        <v>548.65</v>
      </c>
    </row>
    <row r="675" spans="1:2" x14ac:dyDescent="0.35">
      <c r="A675" s="2">
        <v>43088</v>
      </c>
      <c r="B675">
        <v>553.65</v>
      </c>
    </row>
    <row r="676" spans="1:2" x14ac:dyDescent="0.35">
      <c r="A676" s="2">
        <v>43089</v>
      </c>
      <c r="B676">
        <v>554.5</v>
      </c>
    </row>
    <row r="677" spans="1:2" x14ac:dyDescent="0.35">
      <c r="A677" s="2">
        <v>43090</v>
      </c>
      <c r="B677">
        <v>548.95000000000005</v>
      </c>
    </row>
    <row r="678" spans="1:2" x14ac:dyDescent="0.35">
      <c r="A678" s="2">
        <v>43091</v>
      </c>
      <c r="B678">
        <v>553.6</v>
      </c>
    </row>
    <row r="679" spans="1:2" x14ac:dyDescent="0.35">
      <c r="A679" s="2">
        <v>43095</v>
      </c>
      <c r="B679">
        <v>555</v>
      </c>
    </row>
    <row r="680" spans="1:2" x14ac:dyDescent="0.35">
      <c r="A680" s="2">
        <v>43096</v>
      </c>
      <c r="B680">
        <v>554.6</v>
      </c>
    </row>
    <row r="681" spans="1:2" x14ac:dyDescent="0.35">
      <c r="A681" s="2">
        <v>43097</v>
      </c>
      <c r="B681">
        <v>546.85</v>
      </c>
    </row>
    <row r="682" spans="1:2" x14ac:dyDescent="0.35">
      <c r="A682" s="2">
        <v>43098</v>
      </c>
      <c r="B682">
        <v>563.95000000000005</v>
      </c>
    </row>
    <row r="683" spans="1:2" x14ac:dyDescent="0.35">
      <c r="A683" s="2">
        <v>43101</v>
      </c>
      <c r="B683">
        <v>565.5</v>
      </c>
    </row>
    <row r="684" spans="1:2" x14ac:dyDescent="0.35">
      <c r="A684" s="2">
        <v>43102</v>
      </c>
      <c r="B684">
        <v>559.5</v>
      </c>
    </row>
    <row r="685" spans="1:2" x14ac:dyDescent="0.35">
      <c r="A685" s="2">
        <v>43103</v>
      </c>
      <c r="B685">
        <v>560.45000000000005</v>
      </c>
    </row>
    <row r="686" spans="1:2" x14ac:dyDescent="0.35">
      <c r="A686" s="2">
        <v>43104</v>
      </c>
      <c r="B686">
        <v>559.9</v>
      </c>
    </row>
    <row r="687" spans="1:2" x14ac:dyDescent="0.35">
      <c r="A687" s="2">
        <v>43105</v>
      </c>
      <c r="B687">
        <v>563.25</v>
      </c>
    </row>
    <row r="688" spans="1:2" x14ac:dyDescent="0.35">
      <c r="A688" s="2">
        <v>43108</v>
      </c>
      <c r="B688">
        <v>565.45000000000005</v>
      </c>
    </row>
    <row r="689" spans="1:2" x14ac:dyDescent="0.35">
      <c r="A689" s="2">
        <v>43109</v>
      </c>
      <c r="B689">
        <v>565.29999999999995</v>
      </c>
    </row>
    <row r="690" spans="1:2" x14ac:dyDescent="0.35">
      <c r="A690" s="2">
        <v>43110</v>
      </c>
      <c r="B690">
        <v>562.79999999999995</v>
      </c>
    </row>
    <row r="691" spans="1:2" x14ac:dyDescent="0.35">
      <c r="A691" s="2">
        <v>43111</v>
      </c>
      <c r="B691">
        <v>558.75</v>
      </c>
    </row>
    <row r="692" spans="1:2" x14ac:dyDescent="0.35">
      <c r="A692" s="2">
        <v>43112</v>
      </c>
      <c r="B692">
        <v>555.1</v>
      </c>
    </row>
    <row r="693" spans="1:2" x14ac:dyDescent="0.35">
      <c r="A693" s="2">
        <v>43115</v>
      </c>
      <c r="B693">
        <v>560.54999999999995</v>
      </c>
    </row>
    <row r="694" spans="1:2" x14ac:dyDescent="0.35">
      <c r="A694" s="2">
        <v>43116</v>
      </c>
      <c r="B694">
        <v>563.20000000000005</v>
      </c>
    </row>
    <row r="695" spans="1:2" x14ac:dyDescent="0.35">
      <c r="A695" s="2">
        <v>43117</v>
      </c>
      <c r="B695">
        <v>585.20000000000005</v>
      </c>
    </row>
    <row r="696" spans="1:2" x14ac:dyDescent="0.35">
      <c r="A696" s="2">
        <v>43118</v>
      </c>
      <c r="B696">
        <v>584.79999999999995</v>
      </c>
    </row>
    <row r="697" spans="1:2" x14ac:dyDescent="0.35">
      <c r="A697" s="2">
        <v>43119</v>
      </c>
      <c r="B697">
        <v>590.25</v>
      </c>
    </row>
    <row r="698" spans="1:2" x14ac:dyDescent="0.35">
      <c r="A698" s="2">
        <v>43122</v>
      </c>
      <c r="B698">
        <v>611.54999999999995</v>
      </c>
    </row>
    <row r="699" spans="1:2" x14ac:dyDescent="0.35">
      <c r="A699" s="2">
        <v>43123</v>
      </c>
      <c r="B699">
        <v>620.1</v>
      </c>
    </row>
    <row r="700" spans="1:2" x14ac:dyDescent="0.35">
      <c r="A700" s="2">
        <v>43124</v>
      </c>
      <c r="B700">
        <v>607.95000000000005</v>
      </c>
    </row>
    <row r="701" spans="1:2" x14ac:dyDescent="0.35">
      <c r="A701" s="2">
        <v>43125</v>
      </c>
      <c r="B701">
        <v>616.1</v>
      </c>
    </row>
    <row r="702" spans="1:2" x14ac:dyDescent="0.35">
      <c r="A702" s="2">
        <v>43129</v>
      </c>
      <c r="B702">
        <v>605.54999999999995</v>
      </c>
    </row>
    <row r="703" spans="1:2" x14ac:dyDescent="0.35">
      <c r="A703" s="2">
        <v>43130</v>
      </c>
      <c r="B703">
        <v>593.75</v>
      </c>
    </row>
    <row r="704" spans="1:2" x14ac:dyDescent="0.35">
      <c r="A704" s="2">
        <v>43131</v>
      </c>
      <c r="B704">
        <v>593.6</v>
      </c>
    </row>
    <row r="705" spans="1:2" x14ac:dyDescent="0.35">
      <c r="A705" s="2">
        <v>43132</v>
      </c>
      <c r="B705">
        <v>592.79999999999995</v>
      </c>
    </row>
    <row r="706" spans="1:2" x14ac:dyDescent="0.35">
      <c r="A706" s="2">
        <v>43133</v>
      </c>
      <c r="B706">
        <v>564.9</v>
      </c>
    </row>
    <row r="707" spans="1:2" x14ac:dyDescent="0.35">
      <c r="A707" s="2">
        <v>43136</v>
      </c>
      <c r="B707">
        <v>566.25</v>
      </c>
    </row>
    <row r="708" spans="1:2" x14ac:dyDescent="0.35">
      <c r="A708" s="2">
        <v>43137</v>
      </c>
      <c r="B708">
        <v>563.70000000000005</v>
      </c>
    </row>
    <row r="709" spans="1:2" x14ac:dyDescent="0.35">
      <c r="A709" s="2">
        <v>43138</v>
      </c>
      <c r="B709">
        <v>559.35</v>
      </c>
    </row>
    <row r="710" spans="1:2" x14ac:dyDescent="0.35">
      <c r="A710" s="2">
        <v>43139</v>
      </c>
      <c r="B710">
        <v>568.45000000000005</v>
      </c>
    </row>
    <row r="711" spans="1:2" x14ac:dyDescent="0.35">
      <c r="A711" s="2">
        <v>43140</v>
      </c>
      <c r="B711">
        <v>557.54999999999995</v>
      </c>
    </row>
    <row r="712" spans="1:2" x14ac:dyDescent="0.35">
      <c r="A712" s="2">
        <v>43143</v>
      </c>
      <c r="B712">
        <v>564.20000000000005</v>
      </c>
    </row>
    <row r="713" spans="1:2" x14ac:dyDescent="0.35">
      <c r="A713" s="2">
        <v>43145</v>
      </c>
      <c r="B713">
        <v>543.9</v>
      </c>
    </row>
    <row r="714" spans="1:2" x14ac:dyDescent="0.35">
      <c r="A714" s="2">
        <v>43146</v>
      </c>
      <c r="B714">
        <v>543.70000000000005</v>
      </c>
    </row>
    <row r="715" spans="1:2" x14ac:dyDescent="0.35">
      <c r="A715" s="2">
        <v>43147</v>
      </c>
      <c r="B715">
        <v>537.85</v>
      </c>
    </row>
    <row r="716" spans="1:2" x14ac:dyDescent="0.35">
      <c r="A716" s="2">
        <v>43150</v>
      </c>
      <c r="B716">
        <v>540.54999999999995</v>
      </c>
    </row>
    <row r="717" spans="1:2" x14ac:dyDescent="0.35">
      <c r="A717" s="2">
        <v>43151</v>
      </c>
      <c r="B717">
        <v>531.70000000000005</v>
      </c>
    </row>
    <row r="718" spans="1:2" x14ac:dyDescent="0.35">
      <c r="A718" s="2">
        <v>43152</v>
      </c>
      <c r="B718">
        <v>535.79999999999995</v>
      </c>
    </row>
    <row r="719" spans="1:2" x14ac:dyDescent="0.35">
      <c r="A719" s="2">
        <v>43153</v>
      </c>
      <c r="B719">
        <v>530.25</v>
      </c>
    </row>
    <row r="720" spans="1:2" x14ac:dyDescent="0.35">
      <c r="A720" s="2">
        <v>43154</v>
      </c>
      <c r="B720">
        <v>536.65</v>
      </c>
    </row>
    <row r="721" spans="1:2" x14ac:dyDescent="0.35">
      <c r="A721" s="2">
        <v>43157</v>
      </c>
      <c r="B721">
        <v>552.29999999999995</v>
      </c>
    </row>
    <row r="722" spans="1:2" x14ac:dyDescent="0.35">
      <c r="A722" s="2">
        <v>43158</v>
      </c>
      <c r="B722">
        <v>538.4</v>
      </c>
    </row>
    <row r="723" spans="1:2" x14ac:dyDescent="0.35">
      <c r="A723" s="2">
        <v>43159</v>
      </c>
      <c r="B723">
        <v>528.75</v>
      </c>
    </row>
    <row r="724" spans="1:2" x14ac:dyDescent="0.35">
      <c r="A724" s="2">
        <v>43160</v>
      </c>
      <c r="B724">
        <v>525.75</v>
      </c>
    </row>
    <row r="725" spans="1:2" x14ac:dyDescent="0.35">
      <c r="A725" s="2">
        <v>43164</v>
      </c>
      <c r="B725">
        <v>524.54999999999995</v>
      </c>
    </row>
    <row r="726" spans="1:2" x14ac:dyDescent="0.35">
      <c r="A726" s="2">
        <v>43165</v>
      </c>
      <c r="B726">
        <v>517.35</v>
      </c>
    </row>
    <row r="727" spans="1:2" x14ac:dyDescent="0.35">
      <c r="A727" s="2">
        <v>43166</v>
      </c>
      <c r="B727">
        <v>512.65</v>
      </c>
    </row>
    <row r="728" spans="1:2" x14ac:dyDescent="0.35">
      <c r="A728" s="2">
        <v>43167</v>
      </c>
      <c r="B728">
        <v>520.54999999999995</v>
      </c>
    </row>
    <row r="729" spans="1:2" x14ac:dyDescent="0.35">
      <c r="A729" s="2">
        <v>43168</v>
      </c>
      <c r="B729">
        <v>505.35</v>
      </c>
    </row>
    <row r="730" spans="1:2" x14ac:dyDescent="0.35">
      <c r="A730" s="2">
        <v>43171</v>
      </c>
      <c r="B730">
        <v>519.20000000000005</v>
      </c>
    </row>
    <row r="731" spans="1:2" x14ac:dyDescent="0.35">
      <c r="A731" s="2">
        <v>43172</v>
      </c>
      <c r="B731">
        <v>531.5</v>
      </c>
    </row>
    <row r="732" spans="1:2" x14ac:dyDescent="0.35">
      <c r="A732" s="2">
        <v>43173</v>
      </c>
      <c r="B732">
        <v>536.15</v>
      </c>
    </row>
    <row r="733" spans="1:2" x14ac:dyDescent="0.35">
      <c r="A733" s="2">
        <v>43174</v>
      </c>
      <c r="B733">
        <v>529.65</v>
      </c>
    </row>
    <row r="734" spans="1:2" x14ac:dyDescent="0.35">
      <c r="A734" s="2">
        <v>43175</v>
      </c>
      <c r="B734">
        <v>522.6</v>
      </c>
    </row>
    <row r="735" spans="1:2" x14ac:dyDescent="0.35">
      <c r="A735" s="2">
        <v>43178</v>
      </c>
      <c r="B735">
        <v>519.45000000000005</v>
      </c>
    </row>
    <row r="736" spans="1:2" x14ac:dyDescent="0.35">
      <c r="A736" s="2">
        <v>43179</v>
      </c>
      <c r="B736">
        <v>521.1</v>
      </c>
    </row>
    <row r="737" spans="1:2" x14ac:dyDescent="0.35">
      <c r="A737" s="2">
        <v>43180</v>
      </c>
      <c r="B737">
        <v>526.29999999999995</v>
      </c>
    </row>
    <row r="738" spans="1:2" x14ac:dyDescent="0.35">
      <c r="A738" s="2">
        <v>43181</v>
      </c>
      <c r="B738">
        <v>518.20000000000005</v>
      </c>
    </row>
    <row r="739" spans="1:2" x14ac:dyDescent="0.35">
      <c r="A739" s="2">
        <v>43182</v>
      </c>
      <c r="B739">
        <v>499.5</v>
      </c>
    </row>
    <row r="740" spans="1:2" x14ac:dyDescent="0.35">
      <c r="A740" s="2">
        <v>43185</v>
      </c>
      <c r="B740">
        <v>507.3</v>
      </c>
    </row>
    <row r="741" spans="1:2" x14ac:dyDescent="0.35">
      <c r="A741" s="2">
        <v>43186</v>
      </c>
      <c r="B741">
        <v>512.20000000000005</v>
      </c>
    </row>
    <row r="742" spans="1:2" x14ac:dyDescent="0.35">
      <c r="A742" s="2">
        <v>43187</v>
      </c>
      <c r="B742">
        <v>510.5</v>
      </c>
    </row>
    <row r="743" spans="1:2" x14ac:dyDescent="0.35">
      <c r="A743" s="2">
        <v>43192</v>
      </c>
      <c r="B743">
        <v>499.05</v>
      </c>
    </row>
    <row r="744" spans="1:2" x14ac:dyDescent="0.35">
      <c r="A744" s="2">
        <v>43193</v>
      </c>
      <c r="B744">
        <v>501.55</v>
      </c>
    </row>
    <row r="745" spans="1:2" x14ac:dyDescent="0.35">
      <c r="A745" s="2">
        <v>43194</v>
      </c>
      <c r="B745">
        <v>492.25</v>
      </c>
    </row>
    <row r="746" spans="1:2" x14ac:dyDescent="0.35">
      <c r="A746" s="2">
        <v>43195</v>
      </c>
      <c r="B746">
        <v>503.1</v>
      </c>
    </row>
    <row r="747" spans="1:2" x14ac:dyDescent="0.35">
      <c r="A747" s="2">
        <v>43196</v>
      </c>
      <c r="B747">
        <v>500.2</v>
      </c>
    </row>
    <row r="748" spans="1:2" x14ac:dyDescent="0.35">
      <c r="A748" s="2">
        <v>43199</v>
      </c>
      <c r="B748">
        <v>519.29999999999995</v>
      </c>
    </row>
    <row r="749" spans="1:2" x14ac:dyDescent="0.35">
      <c r="A749" s="2">
        <v>43200</v>
      </c>
      <c r="B749">
        <v>546.15</v>
      </c>
    </row>
    <row r="750" spans="1:2" x14ac:dyDescent="0.35">
      <c r="A750" s="2">
        <v>43201</v>
      </c>
      <c r="B750">
        <v>539.79999999999995</v>
      </c>
    </row>
    <row r="751" spans="1:2" x14ac:dyDescent="0.35">
      <c r="A751" s="2">
        <v>43202</v>
      </c>
      <c r="B751">
        <v>548.75</v>
      </c>
    </row>
    <row r="752" spans="1:2" x14ac:dyDescent="0.35">
      <c r="A752" s="2">
        <v>43203</v>
      </c>
      <c r="B752">
        <v>542.54999999999995</v>
      </c>
    </row>
    <row r="753" spans="1:2" x14ac:dyDescent="0.35">
      <c r="A753" s="2">
        <v>43206</v>
      </c>
      <c r="B753">
        <v>542.4</v>
      </c>
    </row>
    <row r="754" spans="1:2" x14ac:dyDescent="0.35">
      <c r="A754" s="2">
        <v>43207</v>
      </c>
      <c r="B754">
        <v>532.4</v>
      </c>
    </row>
    <row r="755" spans="1:2" x14ac:dyDescent="0.35">
      <c r="A755" s="2">
        <v>43208</v>
      </c>
      <c r="B755">
        <v>518.25</v>
      </c>
    </row>
    <row r="756" spans="1:2" x14ac:dyDescent="0.35">
      <c r="A756" s="2">
        <v>43209</v>
      </c>
      <c r="B756">
        <v>512.9</v>
      </c>
    </row>
    <row r="757" spans="1:2" x14ac:dyDescent="0.35">
      <c r="A757" s="2">
        <v>43210</v>
      </c>
      <c r="B757">
        <v>505.7</v>
      </c>
    </row>
    <row r="758" spans="1:2" x14ac:dyDescent="0.35">
      <c r="A758" s="2">
        <v>43213</v>
      </c>
      <c r="B758">
        <v>506.2</v>
      </c>
    </row>
    <row r="759" spans="1:2" x14ac:dyDescent="0.35">
      <c r="A759" s="2">
        <v>43214</v>
      </c>
      <c r="B759">
        <v>504.85</v>
      </c>
    </row>
    <row r="760" spans="1:2" x14ac:dyDescent="0.35">
      <c r="A760" s="2">
        <v>43215</v>
      </c>
      <c r="B760">
        <v>498.4</v>
      </c>
    </row>
    <row r="761" spans="1:2" x14ac:dyDescent="0.35">
      <c r="A761" s="2">
        <v>43216</v>
      </c>
      <c r="B761">
        <v>493.75</v>
      </c>
    </row>
    <row r="762" spans="1:2" x14ac:dyDescent="0.35">
      <c r="A762" s="2">
        <v>43217</v>
      </c>
      <c r="B762">
        <v>539.20000000000005</v>
      </c>
    </row>
    <row r="763" spans="1:2" x14ac:dyDescent="0.35">
      <c r="A763" s="2">
        <v>43220</v>
      </c>
      <c r="B763">
        <v>517.29999999999995</v>
      </c>
    </row>
    <row r="764" spans="1:2" x14ac:dyDescent="0.35">
      <c r="A764" s="2">
        <v>43222</v>
      </c>
      <c r="B764">
        <v>523.75</v>
      </c>
    </row>
    <row r="765" spans="1:2" x14ac:dyDescent="0.35">
      <c r="A765" s="2">
        <v>43223</v>
      </c>
      <c r="B765">
        <v>533.4</v>
      </c>
    </row>
    <row r="766" spans="1:2" x14ac:dyDescent="0.35">
      <c r="A766" s="2">
        <v>43224</v>
      </c>
      <c r="B766">
        <v>520.29999999999995</v>
      </c>
    </row>
    <row r="767" spans="1:2" x14ac:dyDescent="0.35">
      <c r="A767" s="2">
        <v>43227</v>
      </c>
      <c r="B767">
        <v>536.1</v>
      </c>
    </row>
    <row r="768" spans="1:2" x14ac:dyDescent="0.35">
      <c r="A768" s="2">
        <v>43228</v>
      </c>
      <c r="B768">
        <v>542.25</v>
      </c>
    </row>
    <row r="769" spans="1:2" x14ac:dyDescent="0.35">
      <c r="A769" s="2">
        <v>43229</v>
      </c>
      <c r="B769">
        <v>548.5</v>
      </c>
    </row>
    <row r="770" spans="1:2" x14ac:dyDescent="0.35">
      <c r="A770" s="2">
        <v>43230</v>
      </c>
      <c r="B770">
        <v>547.65</v>
      </c>
    </row>
    <row r="771" spans="1:2" x14ac:dyDescent="0.35">
      <c r="A771" s="2">
        <v>43231</v>
      </c>
      <c r="B771">
        <v>553.29999999999995</v>
      </c>
    </row>
    <row r="772" spans="1:2" x14ac:dyDescent="0.35">
      <c r="A772" s="2">
        <v>43234</v>
      </c>
      <c r="B772">
        <v>551.9</v>
      </c>
    </row>
    <row r="773" spans="1:2" x14ac:dyDescent="0.35">
      <c r="A773" s="2">
        <v>43235</v>
      </c>
      <c r="B773">
        <v>549.70000000000005</v>
      </c>
    </row>
    <row r="774" spans="1:2" x14ac:dyDescent="0.35">
      <c r="A774" s="2">
        <v>43236</v>
      </c>
      <c r="B774">
        <v>550</v>
      </c>
    </row>
    <row r="775" spans="1:2" x14ac:dyDescent="0.35">
      <c r="A775" s="2">
        <v>43237</v>
      </c>
      <c r="B775">
        <v>539.45000000000005</v>
      </c>
    </row>
    <row r="776" spans="1:2" x14ac:dyDescent="0.35">
      <c r="A776" s="2">
        <v>43238</v>
      </c>
      <c r="B776">
        <v>532.9</v>
      </c>
    </row>
    <row r="777" spans="1:2" x14ac:dyDescent="0.35">
      <c r="A777" s="2">
        <v>43241</v>
      </c>
      <c r="B777">
        <v>526.85</v>
      </c>
    </row>
    <row r="778" spans="1:2" x14ac:dyDescent="0.35">
      <c r="A778" s="2">
        <v>43242</v>
      </c>
      <c r="B778">
        <v>523.29999999999995</v>
      </c>
    </row>
    <row r="779" spans="1:2" x14ac:dyDescent="0.35">
      <c r="A779" s="2">
        <v>43243</v>
      </c>
      <c r="B779">
        <v>520.25</v>
      </c>
    </row>
    <row r="780" spans="1:2" x14ac:dyDescent="0.35">
      <c r="A780" s="2">
        <v>43244</v>
      </c>
      <c r="B780">
        <v>534.45000000000005</v>
      </c>
    </row>
    <row r="781" spans="1:2" x14ac:dyDescent="0.35">
      <c r="A781" s="2">
        <v>43245</v>
      </c>
      <c r="B781">
        <v>538.5</v>
      </c>
    </row>
    <row r="782" spans="1:2" x14ac:dyDescent="0.35">
      <c r="A782" s="2">
        <v>43248</v>
      </c>
      <c r="B782">
        <v>546.15</v>
      </c>
    </row>
    <row r="783" spans="1:2" x14ac:dyDescent="0.35">
      <c r="A783" s="2">
        <v>43249</v>
      </c>
      <c r="B783">
        <v>547.75</v>
      </c>
    </row>
    <row r="784" spans="1:2" x14ac:dyDescent="0.35">
      <c r="A784" s="2">
        <v>43250</v>
      </c>
      <c r="B784">
        <v>541.65</v>
      </c>
    </row>
    <row r="785" spans="1:2" x14ac:dyDescent="0.35">
      <c r="A785" s="2">
        <v>43251</v>
      </c>
      <c r="B785">
        <v>545.9</v>
      </c>
    </row>
    <row r="786" spans="1:2" x14ac:dyDescent="0.35">
      <c r="A786" s="2">
        <v>43252</v>
      </c>
      <c r="B786">
        <v>536.65</v>
      </c>
    </row>
    <row r="787" spans="1:2" x14ac:dyDescent="0.35">
      <c r="A787" s="2">
        <v>43255</v>
      </c>
      <c r="B787">
        <v>537.04999999999995</v>
      </c>
    </row>
    <row r="788" spans="1:2" x14ac:dyDescent="0.35">
      <c r="A788" s="2">
        <v>43256</v>
      </c>
      <c r="B788">
        <v>530.9</v>
      </c>
    </row>
    <row r="789" spans="1:2" x14ac:dyDescent="0.35">
      <c r="A789" s="2">
        <v>43257</v>
      </c>
      <c r="B789">
        <v>531.4</v>
      </c>
    </row>
    <row r="790" spans="1:2" x14ac:dyDescent="0.35">
      <c r="A790" s="2">
        <v>43258</v>
      </c>
      <c r="B790">
        <v>542.4</v>
      </c>
    </row>
    <row r="791" spans="1:2" x14ac:dyDescent="0.35">
      <c r="A791" s="2">
        <v>43259</v>
      </c>
      <c r="B791">
        <v>537.4</v>
      </c>
    </row>
    <row r="792" spans="1:2" x14ac:dyDescent="0.35">
      <c r="A792" s="2">
        <v>43262</v>
      </c>
      <c r="B792">
        <v>539.95000000000005</v>
      </c>
    </row>
    <row r="793" spans="1:2" x14ac:dyDescent="0.35">
      <c r="A793" s="2">
        <v>43263</v>
      </c>
      <c r="B793">
        <v>537.15</v>
      </c>
    </row>
    <row r="794" spans="1:2" x14ac:dyDescent="0.35">
      <c r="A794" s="2">
        <v>43264</v>
      </c>
      <c r="B794">
        <v>540.65</v>
      </c>
    </row>
    <row r="795" spans="1:2" x14ac:dyDescent="0.35">
      <c r="A795" s="2">
        <v>43265</v>
      </c>
      <c r="B795">
        <v>532</v>
      </c>
    </row>
    <row r="796" spans="1:2" x14ac:dyDescent="0.35">
      <c r="A796" s="2">
        <v>43266</v>
      </c>
      <c r="B796">
        <v>528.75</v>
      </c>
    </row>
    <row r="797" spans="1:2" x14ac:dyDescent="0.35">
      <c r="A797" s="2">
        <v>43269</v>
      </c>
      <c r="B797">
        <v>522.54999999999995</v>
      </c>
    </row>
    <row r="798" spans="1:2" x14ac:dyDescent="0.35">
      <c r="A798" s="2">
        <v>43270</v>
      </c>
      <c r="B798">
        <v>517.20000000000005</v>
      </c>
    </row>
    <row r="799" spans="1:2" x14ac:dyDescent="0.35">
      <c r="A799" s="2">
        <v>43271</v>
      </c>
      <c r="B799">
        <v>519.1</v>
      </c>
    </row>
    <row r="800" spans="1:2" x14ac:dyDescent="0.35">
      <c r="A800" s="2">
        <v>43272</v>
      </c>
      <c r="B800">
        <v>513.04999999999995</v>
      </c>
    </row>
    <row r="801" spans="1:2" x14ac:dyDescent="0.35">
      <c r="A801" s="2">
        <v>43273</v>
      </c>
      <c r="B801">
        <v>525.65</v>
      </c>
    </row>
    <row r="802" spans="1:2" x14ac:dyDescent="0.35">
      <c r="A802" s="2">
        <v>43276</v>
      </c>
      <c r="B802">
        <v>515.20000000000005</v>
      </c>
    </row>
    <row r="803" spans="1:2" x14ac:dyDescent="0.35">
      <c r="A803" s="2">
        <v>43277</v>
      </c>
      <c r="B803">
        <v>514.20000000000005</v>
      </c>
    </row>
    <row r="804" spans="1:2" x14ac:dyDescent="0.35">
      <c r="A804" s="2">
        <v>43278</v>
      </c>
      <c r="B804">
        <v>507.85</v>
      </c>
    </row>
    <row r="805" spans="1:2" x14ac:dyDescent="0.35">
      <c r="A805" s="2">
        <v>43279</v>
      </c>
      <c r="B805">
        <v>504.6</v>
      </c>
    </row>
    <row r="806" spans="1:2" x14ac:dyDescent="0.35">
      <c r="A806" s="2">
        <v>43280</v>
      </c>
      <c r="B806">
        <v>510.8</v>
      </c>
    </row>
    <row r="807" spans="1:2" x14ac:dyDescent="0.35">
      <c r="A807" s="2">
        <v>43283</v>
      </c>
      <c r="B807">
        <v>512.25</v>
      </c>
    </row>
    <row r="808" spans="1:2" x14ac:dyDescent="0.35">
      <c r="A808" s="2">
        <v>43284</v>
      </c>
      <c r="B808">
        <v>511.55</v>
      </c>
    </row>
    <row r="809" spans="1:2" x14ac:dyDescent="0.35">
      <c r="A809" s="2">
        <v>43285</v>
      </c>
      <c r="B809">
        <v>514.75</v>
      </c>
    </row>
    <row r="810" spans="1:2" x14ac:dyDescent="0.35">
      <c r="A810" s="2">
        <v>43286</v>
      </c>
      <c r="B810">
        <v>511</v>
      </c>
    </row>
    <row r="811" spans="1:2" x14ac:dyDescent="0.35">
      <c r="A811" s="2">
        <v>43287</v>
      </c>
      <c r="B811">
        <v>513.70000000000005</v>
      </c>
    </row>
    <row r="812" spans="1:2" x14ac:dyDescent="0.35">
      <c r="A812" s="2">
        <v>43290</v>
      </c>
      <c r="B812">
        <v>525.25</v>
      </c>
    </row>
    <row r="813" spans="1:2" x14ac:dyDescent="0.35">
      <c r="A813" s="2">
        <v>43291</v>
      </c>
      <c r="B813">
        <v>532.54999999999995</v>
      </c>
    </row>
    <row r="814" spans="1:2" x14ac:dyDescent="0.35">
      <c r="A814" s="2">
        <v>43292</v>
      </c>
      <c r="B814">
        <v>536.54999999999995</v>
      </c>
    </row>
    <row r="815" spans="1:2" x14ac:dyDescent="0.35">
      <c r="A815" s="2">
        <v>43293</v>
      </c>
      <c r="B815">
        <v>538.35</v>
      </c>
    </row>
    <row r="816" spans="1:2" x14ac:dyDescent="0.35">
      <c r="A816" s="2">
        <v>43294</v>
      </c>
      <c r="B816">
        <v>523</v>
      </c>
    </row>
    <row r="817" spans="1:2" x14ac:dyDescent="0.35">
      <c r="A817" s="2">
        <v>43297</v>
      </c>
      <c r="B817">
        <v>522.1</v>
      </c>
    </row>
    <row r="818" spans="1:2" x14ac:dyDescent="0.35">
      <c r="A818" s="2">
        <v>43298</v>
      </c>
      <c r="B818">
        <v>537.9</v>
      </c>
    </row>
    <row r="819" spans="1:2" x14ac:dyDescent="0.35">
      <c r="A819" s="2">
        <v>43299</v>
      </c>
      <c r="B819">
        <v>526.54999999999995</v>
      </c>
    </row>
    <row r="820" spans="1:2" x14ac:dyDescent="0.35">
      <c r="A820" s="2">
        <v>43300</v>
      </c>
      <c r="B820">
        <v>526.79999999999995</v>
      </c>
    </row>
    <row r="821" spans="1:2" x14ac:dyDescent="0.35">
      <c r="A821" s="2">
        <v>43301</v>
      </c>
      <c r="B821">
        <v>533.70000000000005</v>
      </c>
    </row>
    <row r="822" spans="1:2" x14ac:dyDescent="0.35">
      <c r="A822" s="2">
        <v>43304</v>
      </c>
      <c r="B822">
        <v>540.35</v>
      </c>
    </row>
    <row r="823" spans="1:2" x14ac:dyDescent="0.35">
      <c r="A823" s="2">
        <v>43305</v>
      </c>
      <c r="B823">
        <v>546.1</v>
      </c>
    </row>
    <row r="824" spans="1:2" x14ac:dyDescent="0.35">
      <c r="A824" s="2">
        <v>43306</v>
      </c>
      <c r="B824">
        <v>532.25</v>
      </c>
    </row>
    <row r="825" spans="1:2" x14ac:dyDescent="0.35">
      <c r="A825" s="2">
        <v>43307</v>
      </c>
      <c r="B825">
        <v>541.65</v>
      </c>
    </row>
    <row r="826" spans="1:2" x14ac:dyDescent="0.35">
      <c r="A826" s="2">
        <v>43308</v>
      </c>
      <c r="B826">
        <v>553.25</v>
      </c>
    </row>
    <row r="827" spans="1:2" x14ac:dyDescent="0.35">
      <c r="A827" s="2">
        <v>43311</v>
      </c>
      <c r="B827">
        <v>569.65</v>
      </c>
    </row>
    <row r="828" spans="1:2" x14ac:dyDescent="0.35">
      <c r="A828" s="2">
        <v>43312</v>
      </c>
      <c r="B828">
        <v>550.4</v>
      </c>
    </row>
    <row r="829" spans="1:2" x14ac:dyDescent="0.35">
      <c r="A829" s="2">
        <v>43313</v>
      </c>
      <c r="B829">
        <v>545.15</v>
      </c>
    </row>
    <row r="830" spans="1:2" x14ac:dyDescent="0.35">
      <c r="A830" s="2">
        <v>43314</v>
      </c>
      <c r="B830">
        <v>547.25</v>
      </c>
    </row>
    <row r="831" spans="1:2" x14ac:dyDescent="0.35">
      <c r="A831" s="2">
        <v>43315</v>
      </c>
      <c r="B831">
        <v>574.75</v>
      </c>
    </row>
    <row r="832" spans="1:2" x14ac:dyDescent="0.35">
      <c r="A832" s="2">
        <v>43318</v>
      </c>
      <c r="B832">
        <v>596.79999999999995</v>
      </c>
    </row>
    <row r="833" spans="1:2" x14ac:dyDescent="0.35">
      <c r="A833" s="2">
        <v>43319</v>
      </c>
      <c r="B833">
        <v>593.04999999999995</v>
      </c>
    </row>
    <row r="834" spans="1:2" x14ac:dyDescent="0.35">
      <c r="A834" s="2">
        <v>43320</v>
      </c>
      <c r="B834">
        <v>596.29999999999995</v>
      </c>
    </row>
    <row r="835" spans="1:2" x14ac:dyDescent="0.35">
      <c r="A835" s="2">
        <v>43321</v>
      </c>
      <c r="B835">
        <v>621.04999999999995</v>
      </c>
    </row>
    <row r="836" spans="1:2" x14ac:dyDescent="0.35">
      <c r="A836" s="2">
        <v>43322</v>
      </c>
      <c r="B836">
        <v>615.5</v>
      </c>
    </row>
    <row r="837" spans="1:2" x14ac:dyDescent="0.35">
      <c r="A837" s="2">
        <v>43325</v>
      </c>
      <c r="B837">
        <v>604.9</v>
      </c>
    </row>
    <row r="838" spans="1:2" x14ac:dyDescent="0.35">
      <c r="A838" s="2">
        <v>43326</v>
      </c>
      <c r="B838">
        <v>618.04999999999995</v>
      </c>
    </row>
    <row r="839" spans="1:2" x14ac:dyDescent="0.35">
      <c r="A839" s="2">
        <v>43328</v>
      </c>
      <c r="B839">
        <v>623.45000000000005</v>
      </c>
    </row>
    <row r="840" spans="1:2" x14ac:dyDescent="0.35">
      <c r="A840" s="2">
        <v>43329</v>
      </c>
      <c r="B840">
        <v>627.29999999999995</v>
      </c>
    </row>
    <row r="841" spans="1:2" x14ac:dyDescent="0.35">
      <c r="A841" s="2">
        <v>43332</v>
      </c>
      <c r="B841">
        <v>624.4</v>
      </c>
    </row>
    <row r="842" spans="1:2" x14ac:dyDescent="0.35">
      <c r="A842" s="2">
        <v>43333</v>
      </c>
      <c r="B842">
        <v>635.75</v>
      </c>
    </row>
    <row r="843" spans="1:2" x14ac:dyDescent="0.35">
      <c r="A843" s="2">
        <v>43335</v>
      </c>
      <c r="B843">
        <v>631.75</v>
      </c>
    </row>
    <row r="844" spans="1:2" x14ac:dyDescent="0.35">
      <c r="A844" s="2">
        <v>43336</v>
      </c>
      <c r="B844">
        <v>639.9</v>
      </c>
    </row>
    <row r="845" spans="1:2" x14ac:dyDescent="0.35">
      <c r="A845" s="2">
        <v>43339</v>
      </c>
      <c r="B845">
        <v>650.20000000000005</v>
      </c>
    </row>
    <row r="846" spans="1:2" x14ac:dyDescent="0.35">
      <c r="A846" s="2">
        <v>43340</v>
      </c>
      <c r="B846">
        <v>660.05</v>
      </c>
    </row>
    <row r="847" spans="1:2" x14ac:dyDescent="0.35">
      <c r="A847" s="2">
        <v>43341</v>
      </c>
      <c r="B847">
        <v>656.9</v>
      </c>
    </row>
    <row r="848" spans="1:2" x14ac:dyDescent="0.35">
      <c r="A848" s="2">
        <v>43342</v>
      </c>
      <c r="B848">
        <v>649.75</v>
      </c>
    </row>
    <row r="849" spans="1:2" x14ac:dyDescent="0.35">
      <c r="A849" s="2">
        <v>43343</v>
      </c>
      <c r="B849">
        <v>649.25</v>
      </c>
    </row>
    <row r="850" spans="1:2" x14ac:dyDescent="0.35">
      <c r="A850" s="2">
        <v>43346</v>
      </c>
      <c r="B850">
        <v>631.79999999999995</v>
      </c>
    </row>
    <row r="851" spans="1:2" x14ac:dyDescent="0.35">
      <c r="A851" s="2">
        <v>43347</v>
      </c>
      <c r="B851">
        <v>641.79999999999995</v>
      </c>
    </row>
    <row r="852" spans="1:2" x14ac:dyDescent="0.35">
      <c r="A852" s="2">
        <v>43348</v>
      </c>
      <c r="B852">
        <v>637.65</v>
      </c>
    </row>
    <row r="853" spans="1:2" x14ac:dyDescent="0.35">
      <c r="A853" s="2">
        <v>43349</v>
      </c>
      <c r="B853">
        <v>638.20000000000005</v>
      </c>
    </row>
    <row r="854" spans="1:2" x14ac:dyDescent="0.35">
      <c r="A854" s="2">
        <v>43350</v>
      </c>
      <c r="B854">
        <v>645.54999999999995</v>
      </c>
    </row>
    <row r="855" spans="1:2" x14ac:dyDescent="0.35">
      <c r="A855" s="2">
        <v>43353</v>
      </c>
      <c r="B855">
        <v>651.75</v>
      </c>
    </row>
    <row r="856" spans="1:2" x14ac:dyDescent="0.35">
      <c r="A856" s="2">
        <v>43354</v>
      </c>
      <c r="B856">
        <v>650.15</v>
      </c>
    </row>
    <row r="857" spans="1:2" x14ac:dyDescent="0.35">
      <c r="A857" s="2">
        <v>43355</v>
      </c>
      <c r="B857">
        <v>635.45000000000005</v>
      </c>
    </row>
    <row r="858" spans="1:2" x14ac:dyDescent="0.35">
      <c r="A858" s="2">
        <v>43357</v>
      </c>
      <c r="B858">
        <v>636.4</v>
      </c>
    </row>
    <row r="859" spans="1:2" x14ac:dyDescent="0.35">
      <c r="A859" s="2">
        <v>43360</v>
      </c>
      <c r="B859">
        <v>625.95000000000005</v>
      </c>
    </row>
    <row r="860" spans="1:2" x14ac:dyDescent="0.35">
      <c r="A860" s="2">
        <v>43361</v>
      </c>
      <c r="B860">
        <v>608.6</v>
      </c>
    </row>
    <row r="861" spans="1:2" x14ac:dyDescent="0.35">
      <c r="A861" s="2">
        <v>43362</v>
      </c>
      <c r="B861">
        <v>608.79999999999995</v>
      </c>
    </row>
    <row r="862" spans="1:2" x14ac:dyDescent="0.35">
      <c r="A862" s="2">
        <v>43364</v>
      </c>
      <c r="B862">
        <v>599.20000000000005</v>
      </c>
    </row>
    <row r="863" spans="1:2" x14ac:dyDescent="0.35">
      <c r="A863" s="2">
        <v>43367</v>
      </c>
      <c r="B863">
        <v>597.35</v>
      </c>
    </row>
    <row r="864" spans="1:2" x14ac:dyDescent="0.35">
      <c r="A864" s="2">
        <v>43368</v>
      </c>
      <c r="B864">
        <v>614.35</v>
      </c>
    </row>
    <row r="865" spans="1:2" x14ac:dyDescent="0.35">
      <c r="A865" s="2">
        <v>43369</v>
      </c>
      <c r="B865">
        <v>617.45000000000005</v>
      </c>
    </row>
    <row r="866" spans="1:2" x14ac:dyDescent="0.35">
      <c r="A866" s="2">
        <v>43370</v>
      </c>
      <c r="B866">
        <v>600.15</v>
      </c>
    </row>
    <row r="867" spans="1:2" x14ac:dyDescent="0.35">
      <c r="A867" s="2">
        <v>43371</v>
      </c>
      <c r="B867">
        <v>613.25</v>
      </c>
    </row>
    <row r="868" spans="1:2" x14ac:dyDescent="0.35">
      <c r="A868" s="2">
        <v>43374</v>
      </c>
      <c r="B868">
        <v>593.45000000000005</v>
      </c>
    </row>
    <row r="869" spans="1:2" x14ac:dyDescent="0.35">
      <c r="A869" s="2">
        <v>43376</v>
      </c>
      <c r="B869">
        <v>572.25</v>
      </c>
    </row>
    <row r="870" spans="1:2" x14ac:dyDescent="0.35">
      <c r="A870" s="2">
        <v>43377</v>
      </c>
      <c r="B870">
        <v>586.25</v>
      </c>
    </row>
    <row r="871" spans="1:2" x14ac:dyDescent="0.35">
      <c r="A871" s="2">
        <v>43378</v>
      </c>
      <c r="B871">
        <v>568.5</v>
      </c>
    </row>
    <row r="872" spans="1:2" x14ac:dyDescent="0.35">
      <c r="A872" s="2">
        <v>43381</v>
      </c>
      <c r="B872">
        <v>556.54999999999995</v>
      </c>
    </row>
    <row r="873" spans="1:2" x14ac:dyDescent="0.35">
      <c r="A873" s="2">
        <v>43382</v>
      </c>
      <c r="B873">
        <v>552.85</v>
      </c>
    </row>
    <row r="874" spans="1:2" x14ac:dyDescent="0.35">
      <c r="A874" s="2">
        <v>43383</v>
      </c>
      <c r="B874">
        <v>589.20000000000005</v>
      </c>
    </row>
    <row r="875" spans="1:2" x14ac:dyDescent="0.35">
      <c r="A875" s="2">
        <v>43384</v>
      </c>
      <c r="B875">
        <v>580.85</v>
      </c>
    </row>
    <row r="876" spans="1:2" x14ac:dyDescent="0.35">
      <c r="A876" s="2">
        <v>43385</v>
      </c>
      <c r="B876">
        <v>584.9</v>
      </c>
    </row>
    <row r="877" spans="1:2" x14ac:dyDescent="0.35">
      <c r="A877" s="2">
        <v>43388</v>
      </c>
      <c r="B877">
        <v>576.54999999999995</v>
      </c>
    </row>
    <row r="878" spans="1:2" x14ac:dyDescent="0.35">
      <c r="A878" s="2">
        <v>43389</v>
      </c>
      <c r="B878">
        <v>588.85</v>
      </c>
    </row>
    <row r="879" spans="1:2" x14ac:dyDescent="0.35">
      <c r="A879" s="2">
        <v>43390</v>
      </c>
      <c r="B879">
        <v>576.04999999999995</v>
      </c>
    </row>
    <row r="880" spans="1:2" x14ac:dyDescent="0.35">
      <c r="A880" s="2">
        <v>43392</v>
      </c>
      <c r="B880">
        <v>562.54999999999995</v>
      </c>
    </row>
    <row r="881" spans="1:2" x14ac:dyDescent="0.35">
      <c r="A881" s="2">
        <v>43395</v>
      </c>
      <c r="B881">
        <v>562.04999999999995</v>
      </c>
    </row>
    <row r="882" spans="1:2" x14ac:dyDescent="0.35">
      <c r="A882" s="2">
        <v>43396</v>
      </c>
      <c r="B882">
        <v>562.75</v>
      </c>
    </row>
    <row r="883" spans="1:2" x14ac:dyDescent="0.35">
      <c r="A883" s="2">
        <v>43397</v>
      </c>
      <c r="B883">
        <v>564.1</v>
      </c>
    </row>
    <row r="884" spans="1:2" x14ac:dyDescent="0.35">
      <c r="A884" s="2">
        <v>43398</v>
      </c>
      <c r="B884">
        <v>561.04999999999995</v>
      </c>
    </row>
    <row r="885" spans="1:2" x14ac:dyDescent="0.35">
      <c r="A885" s="2">
        <v>43399</v>
      </c>
      <c r="B885">
        <v>537.70000000000005</v>
      </c>
    </row>
    <row r="886" spans="1:2" x14ac:dyDescent="0.35">
      <c r="A886" s="2">
        <v>43402</v>
      </c>
      <c r="B886">
        <v>566.70000000000005</v>
      </c>
    </row>
    <row r="887" spans="1:2" x14ac:dyDescent="0.35">
      <c r="A887" s="2">
        <v>43403</v>
      </c>
      <c r="B887">
        <v>562.70000000000005</v>
      </c>
    </row>
    <row r="888" spans="1:2" x14ac:dyDescent="0.35">
      <c r="A888" s="2">
        <v>43404</v>
      </c>
      <c r="B888">
        <v>582.4</v>
      </c>
    </row>
    <row r="889" spans="1:2" x14ac:dyDescent="0.35">
      <c r="A889" s="2">
        <v>43405</v>
      </c>
      <c r="B889">
        <v>602.15</v>
      </c>
    </row>
    <row r="890" spans="1:2" x14ac:dyDescent="0.35">
      <c r="A890" s="2">
        <v>43406</v>
      </c>
      <c r="B890">
        <v>610.65</v>
      </c>
    </row>
    <row r="891" spans="1:2" x14ac:dyDescent="0.35">
      <c r="A891" s="2">
        <v>43409</v>
      </c>
      <c r="B891">
        <v>624.4</v>
      </c>
    </row>
    <row r="892" spans="1:2" x14ac:dyDescent="0.35">
      <c r="A892" s="2">
        <v>43410</v>
      </c>
      <c r="B892">
        <v>607.45000000000005</v>
      </c>
    </row>
    <row r="893" spans="1:2" x14ac:dyDescent="0.35">
      <c r="A893" s="2">
        <v>43411</v>
      </c>
      <c r="B893">
        <v>606.85</v>
      </c>
    </row>
    <row r="894" spans="1:2" x14ac:dyDescent="0.35">
      <c r="A894" s="2">
        <v>43413</v>
      </c>
      <c r="B894">
        <v>613.20000000000005</v>
      </c>
    </row>
    <row r="895" spans="1:2" x14ac:dyDescent="0.35">
      <c r="A895" s="2">
        <v>43416</v>
      </c>
      <c r="B895">
        <v>606.54999999999995</v>
      </c>
    </row>
    <row r="896" spans="1:2" x14ac:dyDescent="0.35">
      <c r="A896" s="2">
        <v>43417</v>
      </c>
      <c r="B896">
        <v>618.29999999999995</v>
      </c>
    </row>
    <row r="897" spans="1:2" x14ac:dyDescent="0.35">
      <c r="A897" s="2">
        <v>43418</v>
      </c>
      <c r="B897">
        <v>612.70000000000005</v>
      </c>
    </row>
    <row r="898" spans="1:2" x14ac:dyDescent="0.35">
      <c r="A898" s="2">
        <v>43419</v>
      </c>
      <c r="B898">
        <v>626.1</v>
      </c>
    </row>
    <row r="899" spans="1:2" x14ac:dyDescent="0.35">
      <c r="A899" s="2">
        <v>43420</v>
      </c>
      <c r="B899">
        <v>619.79999999999995</v>
      </c>
    </row>
    <row r="900" spans="1:2" x14ac:dyDescent="0.35">
      <c r="A900" s="2">
        <v>43423</v>
      </c>
      <c r="B900">
        <v>616.29999999999995</v>
      </c>
    </row>
    <row r="901" spans="1:2" x14ac:dyDescent="0.35">
      <c r="A901" s="2">
        <v>43424</v>
      </c>
      <c r="B901">
        <v>612.65</v>
      </c>
    </row>
    <row r="902" spans="1:2" x14ac:dyDescent="0.35">
      <c r="A902" s="2">
        <v>43425</v>
      </c>
      <c r="B902">
        <v>626.85</v>
      </c>
    </row>
    <row r="903" spans="1:2" x14ac:dyDescent="0.35">
      <c r="A903" s="2">
        <v>43426</v>
      </c>
      <c r="B903">
        <v>614.54999999999995</v>
      </c>
    </row>
    <row r="904" spans="1:2" x14ac:dyDescent="0.35">
      <c r="A904" s="2">
        <v>43430</v>
      </c>
      <c r="B904">
        <v>631.04999999999995</v>
      </c>
    </row>
    <row r="905" spans="1:2" x14ac:dyDescent="0.35">
      <c r="A905" s="2">
        <v>43431</v>
      </c>
      <c r="B905">
        <v>625.25</v>
      </c>
    </row>
    <row r="906" spans="1:2" x14ac:dyDescent="0.35">
      <c r="A906" s="2">
        <v>43432</v>
      </c>
      <c r="B906">
        <v>627.95000000000005</v>
      </c>
    </row>
    <row r="907" spans="1:2" x14ac:dyDescent="0.35">
      <c r="A907" s="2">
        <v>43433</v>
      </c>
      <c r="B907">
        <v>631.4</v>
      </c>
    </row>
    <row r="908" spans="1:2" x14ac:dyDescent="0.35">
      <c r="A908" s="2">
        <v>43434</v>
      </c>
      <c r="B908">
        <v>625.75</v>
      </c>
    </row>
    <row r="909" spans="1:2" x14ac:dyDescent="0.35">
      <c r="A909" s="2">
        <v>43437</v>
      </c>
      <c r="B909">
        <v>624.79999999999995</v>
      </c>
    </row>
    <row r="910" spans="1:2" x14ac:dyDescent="0.35">
      <c r="A910" s="2">
        <v>43438</v>
      </c>
      <c r="B910">
        <v>623.25</v>
      </c>
    </row>
    <row r="911" spans="1:2" x14ac:dyDescent="0.35">
      <c r="A911" s="2">
        <v>43439</v>
      </c>
      <c r="B911">
        <v>614.95000000000005</v>
      </c>
    </row>
    <row r="912" spans="1:2" x14ac:dyDescent="0.35">
      <c r="A912" s="2">
        <v>43440</v>
      </c>
      <c r="B912">
        <v>600.04999999999995</v>
      </c>
    </row>
    <row r="913" spans="1:2" x14ac:dyDescent="0.35">
      <c r="A913" s="2">
        <v>43441</v>
      </c>
      <c r="B913">
        <v>603.95000000000005</v>
      </c>
    </row>
    <row r="914" spans="1:2" x14ac:dyDescent="0.35">
      <c r="A914" s="2">
        <v>43444</v>
      </c>
      <c r="B914">
        <v>590.29999999999995</v>
      </c>
    </row>
    <row r="915" spans="1:2" x14ac:dyDescent="0.35">
      <c r="A915" s="2">
        <v>43445</v>
      </c>
      <c r="B915">
        <v>604.25</v>
      </c>
    </row>
    <row r="916" spans="1:2" x14ac:dyDescent="0.35">
      <c r="A916" s="2">
        <v>43446</v>
      </c>
      <c r="B916">
        <v>619.95000000000005</v>
      </c>
    </row>
    <row r="917" spans="1:2" x14ac:dyDescent="0.35">
      <c r="A917" s="2">
        <v>43447</v>
      </c>
      <c r="B917">
        <v>619.1</v>
      </c>
    </row>
    <row r="918" spans="1:2" x14ac:dyDescent="0.35">
      <c r="A918" s="2">
        <v>43448</v>
      </c>
      <c r="B918">
        <v>620.25</v>
      </c>
    </row>
    <row r="919" spans="1:2" x14ac:dyDescent="0.35">
      <c r="A919" s="2">
        <v>43451</v>
      </c>
      <c r="B919">
        <v>617.15</v>
      </c>
    </row>
    <row r="920" spans="1:2" x14ac:dyDescent="0.35">
      <c r="A920" s="2">
        <v>43452</v>
      </c>
      <c r="B920">
        <v>619.4</v>
      </c>
    </row>
    <row r="921" spans="1:2" x14ac:dyDescent="0.35">
      <c r="A921" s="2">
        <v>43453</v>
      </c>
      <c r="B921">
        <v>641.65</v>
      </c>
    </row>
    <row r="922" spans="1:2" x14ac:dyDescent="0.35">
      <c r="A922" s="2">
        <v>43454</v>
      </c>
      <c r="B922">
        <v>632.95000000000005</v>
      </c>
    </row>
    <row r="923" spans="1:2" x14ac:dyDescent="0.35">
      <c r="A923" s="2">
        <v>43455</v>
      </c>
      <c r="B923">
        <v>620.85</v>
      </c>
    </row>
    <row r="924" spans="1:2" x14ac:dyDescent="0.35">
      <c r="A924" s="2">
        <v>43458</v>
      </c>
      <c r="B924">
        <v>615</v>
      </c>
    </row>
    <row r="925" spans="1:2" x14ac:dyDescent="0.35">
      <c r="A925" s="2">
        <v>43460</v>
      </c>
      <c r="B925">
        <v>619.5</v>
      </c>
    </row>
    <row r="926" spans="1:2" x14ac:dyDescent="0.35">
      <c r="A926" s="2">
        <v>43461</v>
      </c>
      <c r="B926">
        <v>617.54999999999995</v>
      </c>
    </row>
    <row r="927" spans="1:2" x14ac:dyDescent="0.35">
      <c r="A927" s="2">
        <v>43462</v>
      </c>
      <c r="B927">
        <v>625.04999999999995</v>
      </c>
    </row>
    <row r="928" spans="1:2" x14ac:dyDescent="0.35">
      <c r="A928" s="2">
        <v>43465</v>
      </c>
      <c r="B928">
        <v>619.9</v>
      </c>
    </row>
    <row r="929" spans="1:2" x14ac:dyDescent="0.35">
      <c r="A929" s="2">
        <v>43466</v>
      </c>
      <c r="B929">
        <v>627.29999999999995</v>
      </c>
    </row>
    <row r="930" spans="1:2" x14ac:dyDescent="0.35">
      <c r="A930" s="2">
        <v>43467</v>
      </c>
      <c r="B930">
        <v>620.04999999999995</v>
      </c>
    </row>
    <row r="931" spans="1:2" x14ac:dyDescent="0.35">
      <c r="A931" s="2">
        <v>43468</v>
      </c>
      <c r="B931">
        <v>607.95000000000005</v>
      </c>
    </row>
    <row r="932" spans="1:2" x14ac:dyDescent="0.35">
      <c r="A932" s="2">
        <v>43469</v>
      </c>
      <c r="B932">
        <v>619.6</v>
      </c>
    </row>
    <row r="933" spans="1:2" x14ac:dyDescent="0.35">
      <c r="A933" s="2">
        <v>43472</v>
      </c>
      <c r="B933">
        <v>637.45000000000005</v>
      </c>
    </row>
    <row r="934" spans="1:2" x14ac:dyDescent="0.35">
      <c r="A934" s="2">
        <v>43473</v>
      </c>
      <c r="B934">
        <v>650.9</v>
      </c>
    </row>
    <row r="935" spans="1:2" x14ac:dyDescent="0.35">
      <c r="A935" s="2">
        <v>43474</v>
      </c>
      <c r="B935">
        <v>670.1</v>
      </c>
    </row>
    <row r="936" spans="1:2" x14ac:dyDescent="0.35">
      <c r="A936" s="2">
        <v>43475</v>
      </c>
      <c r="B936">
        <v>663.25</v>
      </c>
    </row>
    <row r="937" spans="1:2" x14ac:dyDescent="0.35">
      <c r="A937" s="2">
        <v>43476</v>
      </c>
      <c r="B937">
        <v>666.5</v>
      </c>
    </row>
    <row r="938" spans="1:2" x14ac:dyDescent="0.35">
      <c r="A938" s="2">
        <v>43479</v>
      </c>
      <c r="B938">
        <v>659.2</v>
      </c>
    </row>
    <row r="939" spans="1:2" x14ac:dyDescent="0.35">
      <c r="A939" s="2">
        <v>43480</v>
      </c>
      <c r="B939">
        <v>660.6</v>
      </c>
    </row>
    <row r="940" spans="1:2" x14ac:dyDescent="0.35">
      <c r="A940" s="2">
        <v>43481</v>
      </c>
      <c r="B940">
        <v>664</v>
      </c>
    </row>
    <row r="941" spans="1:2" x14ac:dyDescent="0.35">
      <c r="A941" s="2">
        <v>43482</v>
      </c>
      <c r="B941">
        <v>676.65</v>
      </c>
    </row>
    <row r="942" spans="1:2" x14ac:dyDescent="0.35">
      <c r="A942" s="2">
        <v>43483</v>
      </c>
      <c r="B942">
        <v>664.6</v>
      </c>
    </row>
    <row r="943" spans="1:2" x14ac:dyDescent="0.35">
      <c r="A943" s="2">
        <v>43486</v>
      </c>
      <c r="B943">
        <v>660.3</v>
      </c>
    </row>
    <row r="944" spans="1:2" x14ac:dyDescent="0.35">
      <c r="A944" s="2">
        <v>43487</v>
      </c>
      <c r="B944">
        <v>661.6</v>
      </c>
    </row>
    <row r="945" spans="1:2" x14ac:dyDescent="0.35">
      <c r="A945" s="2">
        <v>43488</v>
      </c>
      <c r="B945">
        <v>661.6</v>
      </c>
    </row>
    <row r="946" spans="1:2" x14ac:dyDescent="0.35">
      <c r="A946" s="2">
        <v>43489</v>
      </c>
      <c r="B946">
        <v>663.65</v>
      </c>
    </row>
    <row r="947" spans="1:2" x14ac:dyDescent="0.35">
      <c r="A947" s="2">
        <v>43490</v>
      </c>
      <c r="B947">
        <v>669.75</v>
      </c>
    </row>
    <row r="948" spans="1:2" x14ac:dyDescent="0.35">
      <c r="A948" s="2">
        <v>43493</v>
      </c>
      <c r="B948">
        <v>656.3</v>
      </c>
    </row>
    <row r="949" spans="1:2" x14ac:dyDescent="0.35">
      <c r="A949" s="2">
        <v>43494</v>
      </c>
      <c r="B949">
        <v>660.75</v>
      </c>
    </row>
    <row r="950" spans="1:2" x14ac:dyDescent="0.35">
      <c r="A950" s="2">
        <v>43495</v>
      </c>
      <c r="B950">
        <v>690.95</v>
      </c>
    </row>
    <row r="951" spans="1:2" x14ac:dyDescent="0.35">
      <c r="A951" s="2">
        <v>43496</v>
      </c>
      <c r="B951">
        <v>722.7</v>
      </c>
    </row>
    <row r="952" spans="1:2" x14ac:dyDescent="0.35">
      <c r="A952" s="2">
        <v>43497</v>
      </c>
      <c r="B952">
        <v>717.25</v>
      </c>
    </row>
    <row r="953" spans="1:2" x14ac:dyDescent="0.35">
      <c r="A953" s="2">
        <v>43500</v>
      </c>
      <c r="B953">
        <v>720.5</v>
      </c>
    </row>
    <row r="954" spans="1:2" x14ac:dyDescent="0.35">
      <c r="A954" s="2">
        <v>43501</v>
      </c>
      <c r="B954">
        <v>729.5</v>
      </c>
    </row>
    <row r="955" spans="1:2" x14ac:dyDescent="0.35">
      <c r="A955" s="2">
        <v>43502</v>
      </c>
      <c r="B955">
        <v>725.75</v>
      </c>
    </row>
    <row r="956" spans="1:2" x14ac:dyDescent="0.35">
      <c r="A956" s="2">
        <v>43503</v>
      </c>
      <c r="B956">
        <v>730.15</v>
      </c>
    </row>
    <row r="957" spans="1:2" x14ac:dyDescent="0.35">
      <c r="A957" s="2">
        <v>43504</v>
      </c>
      <c r="B957">
        <v>719.4</v>
      </c>
    </row>
    <row r="958" spans="1:2" x14ac:dyDescent="0.35">
      <c r="A958" s="2">
        <v>43507</v>
      </c>
      <c r="B958">
        <v>710.85</v>
      </c>
    </row>
    <row r="959" spans="1:2" x14ac:dyDescent="0.35">
      <c r="A959" s="2">
        <v>43508</v>
      </c>
      <c r="B959">
        <v>705.6</v>
      </c>
    </row>
    <row r="960" spans="1:2" x14ac:dyDescent="0.35">
      <c r="A960" s="2">
        <v>43509</v>
      </c>
      <c r="B960">
        <v>697.5</v>
      </c>
    </row>
    <row r="961" spans="1:2" x14ac:dyDescent="0.35">
      <c r="A961" s="2">
        <v>43510</v>
      </c>
      <c r="B961">
        <v>695</v>
      </c>
    </row>
    <row r="962" spans="1:2" x14ac:dyDescent="0.35">
      <c r="A962" s="2">
        <v>43511</v>
      </c>
      <c r="B962">
        <v>686.6</v>
      </c>
    </row>
    <row r="963" spans="1:2" x14ac:dyDescent="0.35">
      <c r="A963" s="2">
        <v>43514</v>
      </c>
      <c r="B963">
        <v>693.3</v>
      </c>
    </row>
    <row r="964" spans="1:2" x14ac:dyDescent="0.35">
      <c r="A964" s="2">
        <v>43515</v>
      </c>
      <c r="B964">
        <v>693.05</v>
      </c>
    </row>
    <row r="965" spans="1:2" x14ac:dyDescent="0.35">
      <c r="A965" s="2">
        <v>43516</v>
      </c>
      <c r="B965">
        <v>700.35</v>
      </c>
    </row>
    <row r="966" spans="1:2" x14ac:dyDescent="0.35">
      <c r="A966" s="2">
        <v>43517</v>
      </c>
      <c r="B966">
        <v>697.2</v>
      </c>
    </row>
    <row r="967" spans="1:2" x14ac:dyDescent="0.35">
      <c r="A967" s="2">
        <v>43518</v>
      </c>
      <c r="B967">
        <v>702.05</v>
      </c>
    </row>
    <row r="968" spans="1:2" x14ac:dyDescent="0.35">
      <c r="A968" s="2">
        <v>43521</v>
      </c>
      <c r="B968">
        <v>703.7</v>
      </c>
    </row>
    <row r="969" spans="1:2" x14ac:dyDescent="0.35">
      <c r="A969" s="2">
        <v>43522</v>
      </c>
      <c r="B969">
        <v>710.15</v>
      </c>
    </row>
    <row r="970" spans="1:2" x14ac:dyDescent="0.35">
      <c r="A970" s="2">
        <v>43523</v>
      </c>
      <c r="B970">
        <v>718.2</v>
      </c>
    </row>
    <row r="971" spans="1:2" x14ac:dyDescent="0.35">
      <c r="A971" s="2">
        <v>43524</v>
      </c>
      <c r="B971">
        <v>709.55</v>
      </c>
    </row>
    <row r="972" spans="1:2" x14ac:dyDescent="0.35">
      <c r="A972" s="2">
        <v>43525</v>
      </c>
      <c r="B972">
        <v>702.4</v>
      </c>
    </row>
    <row r="973" spans="1:2" x14ac:dyDescent="0.35">
      <c r="A973" s="2">
        <v>43529</v>
      </c>
      <c r="B973">
        <v>732.05</v>
      </c>
    </row>
    <row r="974" spans="1:2" x14ac:dyDescent="0.35">
      <c r="A974" s="2">
        <v>43530</v>
      </c>
      <c r="B974">
        <v>720.6</v>
      </c>
    </row>
    <row r="975" spans="1:2" x14ac:dyDescent="0.35">
      <c r="A975" s="2">
        <v>43531</v>
      </c>
      <c r="B975">
        <v>733.75</v>
      </c>
    </row>
    <row r="976" spans="1:2" x14ac:dyDescent="0.35">
      <c r="A976" s="2">
        <v>43532</v>
      </c>
      <c r="B976">
        <v>733.4</v>
      </c>
    </row>
    <row r="977" spans="1:2" x14ac:dyDescent="0.35">
      <c r="A977" s="2">
        <v>43535</v>
      </c>
      <c r="B977">
        <v>734.5</v>
      </c>
    </row>
    <row r="978" spans="1:2" x14ac:dyDescent="0.35">
      <c r="A978" s="2">
        <v>43536</v>
      </c>
      <c r="B978">
        <v>742.55</v>
      </c>
    </row>
    <row r="979" spans="1:2" x14ac:dyDescent="0.35">
      <c r="A979" s="2">
        <v>43537</v>
      </c>
      <c r="B979">
        <v>738</v>
      </c>
    </row>
    <row r="980" spans="1:2" x14ac:dyDescent="0.35">
      <c r="A980" s="2">
        <v>43538</v>
      </c>
      <c r="B980">
        <v>740.6</v>
      </c>
    </row>
    <row r="981" spans="1:2" x14ac:dyDescent="0.35">
      <c r="A981" s="2">
        <v>43539</v>
      </c>
      <c r="B981">
        <v>735.1</v>
      </c>
    </row>
    <row r="982" spans="1:2" x14ac:dyDescent="0.35">
      <c r="A982" s="2">
        <v>43542</v>
      </c>
      <c r="B982">
        <v>751.6</v>
      </c>
    </row>
    <row r="983" spans="1:2" x14ac:dyDescent="0.35">
      <c r="A983" s="2">
        <v>43543</v>
      </c>
      <c r="B983">
        <v>760.9</v>
      </c>
    </row>
    <row r="984" spans="1:2" x14ac:dyDescent="0.35">
      <c r="A984" s="2">
        <v>43544</v>
      </c>
      <c r="B984">
        <v>755.75</v>
      </c>
    </row>
    <row r="985" spans="1:2" x14ac:dyDescent="0.35">
      <c r="A985" s="2">
        <v>43546</v>
      </c>
      <c r="B985">
        <v>757.05</v>
      </c>
    </row>
    <row r="986" spans="1:2" x14ac:dyDescent="0.35">
      <c r="A986" s="2">
        <v>43549</v>
      </c>
      <c r="B986">
        <v>745.7</v>
      </c>
    </row>
    <row r="987" spans="1:2" x14ac:dyDescent="0.35">
      <c r="A987" s="2">
        <v>43550</v>
      </c>
      <c r="B987">
        <v>757.1</v>
      </c>
    </row>
    <row r="988" spans="1:2" x14ac:dyDescent="0.35">
      <c r="A988" s="2">
        <v>43551</v>
      </c>
      <c r="B988">
        <v>759.3</v>
      </c>
    </row>
    <row r="989" spans="1:2" x14ac:dyDescent="0.35">
      <c r="A989" s="2">
        <v>43552</v>
      </c>
      <c r="B989">
        <v>780.7</v>
      </c>
    </row>
    <row r="990" spans="1:2" x14ac:dyDescent="0.35">
      <c r="A990" s="2">
        <v>43553</v>
      </c>
      <c r="B990">
        <v>777.25</v>
      </c>
    </row>
    <row r="991" spans="1:2" x14ac:dyDescent="0.35">
      <c r="A991" s="2">
        <v>43556</v>
      </c>
      <c r="B991">
        <v>765.6</v>
      </c>
    </row>
    <row r="992" spans="1:2" x14ac:dyDescent="0.35">
      <c r="A992" s="2">
        <v>43557</v>
      </c>
      <c r="B992">
        <v>767.4</v>
      </c>
    </row>
    <row r="993" spans="1:2" x14ac:dyDescent="0.35">
      <c r="A993" s="2">
        <v>43558</v>
      </c>
      <c r="B993">
        <v>761.5</v>
      </c>
    </row>
    <row r="994" spans="1:2" x14ac:dyDescent="0.35">
      <c r="A994" s="2">
        <v>43559</v>
      </c>
      <c r="B994">
        <v>762.15</v>
      </c>
    </row>
    <row r="995" spans="1:2" x14ac:dyDescent="0.35">
      <c r="A995" s="2">
        <v>43560</v>
      </c>
      <c r="B995">
        <v>762.2</v>
      </c>
    </row>
    <row r="996" spans="1:2" x14ac:dyDescent="0.35">
      <c r="A996" s="2">
        <v>43563</v>
      </c>
      <c r="B996">
        <v>754.6</v>
      </c>
    </row>
    <row r="997" spans="1:2" x14ac:dyDescent="0.35">
      <c r="A997" s="2">
        <v>43564</v>
      </c>
      <c r="B997">
        <v>763.4</v>
      </c>
    </row>
    <row r="998" spans="1:2" x14ac:dyDescent="0.35">
      <c r="A998" s="2">
        <v>43565</v>
      </c>
      <c r="B998">
        <v>760.85</v>
      </c>
    </row>
    <row r="999" spans="1:2" x14ac:dyDescent="0.35">
      <c r="A999" s="2">
        <v>43566</v>
      </c>
      <c r="B999">
        <v>752.3</v>
      </c>
    </row>
    <row r="1000" spans="1:2" x14ac:dyDescent="0.35">
      <c r="A1000" s="2">
        <v>43567</v>
      </c>
      <c r="B1000">
        <v>764.35</v>
      </c>
    </row>
    <row r="1001" spans="1:2" x14ac:dyDescent="0.35">
      <c r="A1001" s="2">
        <v>43570</v>
      </c>
      <c r="B1001">
        <v>762.85</v>
      </c>
    </row>
    <row r="1002" spans="1:2" x14ac:dyDescent="0.35">
      <c r="A1002" s="2">
        <v>43571</v>
      </c>
      <c r="B1002">
        <v>771.1</v>
      </c>
    </row>
    <row r="1003" spans="1:2" x14ac:dyDescent="0.35">
      <c r="A1003" s="2">
        <v>43573</v>
      </c>
      <c r="B1003">
        <v>771.2</v>
      </c>
    </row>
    <row r="1004" spans="1:2" x14ac:dyDescent="0.35">
      <c r="A1004" s="2">
        <v>43577</v>
      </c>
      <c r="B1004">
        <v>755.5</v>
      </c>
    </row>
    <row r="1005" spans="1:2" x14ac:dyDescent="0.35">
      <c r="A1005" s="2">
        <v>43578</v>
      </c>
      <c r="B1005">
        <v>753.25</v>
      </c>
    </row>
    <row r="1006" spans="1:2" x14ac:dyDescent="0.35">
      <c r="A1006" s="2">
        <v>43579</v>
      </c>
      <c r="B1006">
        <v>752.85</v>
      </c>
    </row>
    <row r="1007" spans="1:2" x14ac:dyDescent="0.35">
      <c r="A1007" s="2">
        <v>43580</v>
      </c>
      <c r="B1007">
        <v>740.9</v>
      </c>
    </row>
    <row r="1008" spans="1:2" x14ac:dyDescent="0.35">
      <c r="A1008" s="2">
        <v>43581</v>
      </c>
      <c r="B1008">
        <v>759.9</v>
      </c>
    </row>
    <row r="1009" spans="1:2" x14ac:dyDescent="0.35">
      <c r="A1009" s="2">
        <v>43585</v>
      </c>
      <c r="B1009">
        <v>766.85</v>
      </c>
    </row>
    <row r="1010" spans="1:2" x14ac:dyDescent="0.35">
      <c r="A1010" s="2">
        <v>43587</v>
      </c>
      <c r="B1010">
        <v>752.35</v>
      </c>
    </row>
    <row r="1011" spans="1:2" x14ac:dyDescent="0.35">
      <c r="A1011" s="2">
        <v>43588</v>
      </c>
      <c r="B1011">
        <v>757.3</v>
      </c>
    </row>
    <row r="1012" spans="1:2" x14ac:dyDescent="0.35">
      <c r="A1012" s="2">
        <v>43591</v>
      </c>
      <c r="B1012">
        <v>747.45</v>
      </c>
    </row>
    <row r="1013" spans="1:2" x14ac:dyDescent="0.35">
      <c r="A1013" s="2">
        <v>43592</v>
      </c>
      <c r="B1013">
        <v>741.85</v>
      </c>
    </row>
    <row r="1014" spans="1:2" x14ac:dyDescent="0.35">
      <c r="A1014" s="2">
        <v>43593</v>
      </c>
      <c r="B1014">
        <v>735.5</v>
      </c>
    </row>
    <row r="1015" spans="1:2" x14ac:dyDescent="0.35">
      <c r="A1015" s="2">
        <v>43594</v>
      </c>
      <c r="B1015">
        <v>731</v>
      </c>
    </row>
    <row r="1016" spans="1:2" x14ac:dyDescent="0.35">
      <c r="A1016" s="2">
        <v>43595</v>
      </c>
      <c r="B1016">
        <v>735.05</v>
      </c>
    </row>
    <row r="1017" spans="1:2" x14ac:dyDescent="0.35">
      <c r="A1017" s="2">
        <v>43598</v>
      </c>
      <c r="B1017">
        <v>732.1</v>
      </c>
    </row>
    <row r="1018" spans="1:2" x14ac:dyDescent="0.35">
      <c r="A1018" s="2">
        <v>43599</v>
      </c>
      <c r="B1018">
        <v>731.35</v>
      </c>
    </row>
    <row r="1019" spans="1:2" x14ac:dyDescent="0.35">
      <c r="A1019" s="2">
        <v>43600</v>
      </c>
      <c r="B1019">
        <v>721.95</v>
      </c>
    </row>
    <row r="1020" spans="1:2" x14ac:dyDescent="0.35">
      <c r="A1020" s="2">
        <v>43601</v>
      </c>
      <c r="B1020">
        <v>731.85</v>
      </c>
    </row>
    <row r="1021" spans="1:2" x14ac:dyDescent="0.35">
      <c r="A1021" s="2">
        <v>43602</v>
      </c>
      <c r="B1021">
        <v>748.95</v>
      </c>
    </row>
    <row r="1022" spans="1:2" x14ac:dyDescent="0.35">
      <c r="A1022" s="2">
        <v>43605</v>
      </c>
      <c r="B1022">
        <v>782.4</v>
      </c>
    </row>
    <row r="1023" spans="1:2" x14ac:dyDescent="0.35">
      <c r="A1023" s="2">
        <v>43606</v>
      </c>
      <c r="B1023">
        <v>772.95</v>
      </c>
    </row>
    <row r="1024" spans="1:2" x14ac:dyDescent="0.35">
      <c r="A1024" s="2">
        <v>43607</v>
      </c>
      <c r="B1024">
        <v>779.15</v>
      </c>
    </row>
    <row r="1025" spans="1:2" x14ac:dyDescent="0.35">
      <c r="A1025" s="2">
        <v>43608</v>
      </c>
      <c r="B1025">
        <v>776.4</v>
      </c>
    </row>
    <row r="1026" spans="1:2" x14ac:dyDescent="0.35">
      <c r="A1026" s="2">
        <v>43609</v>
      </c>
      <c r="B1026">
        <v>793.2</v>
      </c>
    </row>
    <row r="1027" spans="1:2" x14ac:dyDescent="0.35">
      <c r="A1027" s="2">
        <v>43612</v>
      </c>
      <c r="B1027">
        <v>813.9</v>
      </c>
    </row>
    <row r="1028" spans="1:2" x14ac:dyDescent="0.35">
      <c r="A1028" s="2">
        <v>43613</v>
      </c>
      <c r="B1028">
        <v>808.4</v>
      </c>
    </row>
    <row r="1029" spans="1:2" x14ac:dyDescent="0.35">
      <c r="A1029" s="2">
        <v>43614</v>
      </c>
      <c r="B1029">
        <v>804.7</v>
      </c>
    </row>
    <row r="1030" spans="1:2" x14ac:dyDescent="0.35">
      <c r="A1030" s="2">
        <v>43615</v>
      </c>
      <c r="B1030">
        <v>807.55</v>
      </c>
    </row>
    <row r="1031" spans="1:2" x14ac:dyDescent="0.35">
      <c r="A1031" s="2">
        <v>43616</v>
      </c>
      <c r="B1031">
        <v>808.3</v>
      </c>
    </row>
    <row r="1032" spans="1:2" x14ac:dyDescent="0.35">
      <c r="A1032" s="2">
        <v>43619</v>
      </c>
      <c r="B1032">
        <v>812.65</v>
      </c>
    </row>
    <row r="1033" spans="1:2" x14ac:dyDescent="0.35">
      <c r="A1033" s="2">
        <v>43620</v>
      </c>
      <c r="B1033">
        <v>822.8</v>
      </c>
    </row>
    <row r="1034" spans="1:2" x14ac:dyDescent="0.35">
      <c r="A1034" s="2">
        <v>43622</v>
      </c>
      <c r="B1034">
        <v>807.7</v>
      </c>
    </row>
    <row r="1035" spans="1:2" x14ac:dyDescent="0.35">
      <c r="A1035" s="2">
        <v>43623</v>
      </c>
      <c r="B1035">
        <v>804</v>
      </c>
    </row>
    <row r="1036" spans="1:2" x14ac:dyDescent="0.35">
      <c r="A1036" s="2">
        <v>43626</v>
      </c>
      <c r="B1036">
        <v>814.15</v>
      </c>
    </row>
    <row r="1037" spans="1:2" x14ac:dyDescent="0.35">
      <c r="A1037" s="2">
        <v>43627</v>
      </c>
      <c r="B1037">
        <v>814.8</v>
      </c>
    </row>
    <row r="1038" spans="1:2" x14ac:dyDescent="0.35">
      <c r="A1038" s="2">
        <v>43628</v>
      </c>
      <c r="B1038">
        <v>813.55</v>
      </c>
    </row>
    <row r="1039" spans="1:2" x14ac:dyDescent="0.35">
      <c r="A1039" s="2">
        <v>43629</v>
      </c>
      <c r="B1039">
        <v>820.15</v>
      </c>
    </row>
    <row r="1040" spans="1:2" x14ac:dyDescent="0.35">
      <c r="A1040" s="2">
        <v>43630</v>
      </c>
      <c r="B1040">
        <v>801.2</v>
      </c>
    </row>
    <row r="1041" spans="1:2" x14ac:dyDescent="0.35">
      <c r="A1041" s="2">
        <v>43633</v>
      </c>
      <c r="B1041">
        <v>777.7</v>
      </c>
    </row>
    <row r="1042" spans="1:2" x14ac:dyDescent="0.35">
      <c r="A1042" s="2">
        <v>43634</v>
      </c>
      <c r="B1042">
        <v>775.75</v>
      </c>
    </row>
    <row r="1043" spans="1:2" x14ac:dyDescent="0.35">
      <c r="A1043" s="2">
        <v>43635</v>
      </c>
      <c r="B1043">
        <v>770.7</v>
      </c>
    </row>
    <row r="1044" spans="1:2" x14ac:dyDescent="0.35">
      <c r="A1044" s="2">
        <v>43636</v>
      </c>
      <c r="B1044">
        <v>771.4</v>
      </c>
    </row>
    <row r="1045" spans="1:2" x14ac:dyDescent="0.35">
      <c r="A1045" s="2">
        <v>43637</v>
      </c>
      <c r="B1045">
        <v>771.05</v>
      </c>
    </row>
    <row r="1046" spans="1:2" x14ac:dyDescent="0.35">
      <c r="A1046" s="2">
        <v>43640</v>
      </c>
      <c r="B1046">
        <v>762.85</v>
      </c>
    </row>
    <row r="1047" spans="1:2" x14ac:dyDescent="0.35">
      <c r="A1047" s="2">
        <v>43641</v>
      </c>
      <c r="B1047">
        <v>781.65</v>
      </c>
    </row>
    <row r="1048" spans="1:2" x14ac:dyDescent="0.35">
      <c r="A1048" s="2">
        <v>43642</v>
      </c>
      <c r="B1048">
        <v>788.6</v>
      </c>
    </row>
    <row r="1049" spans="1:2" x14ac:dyDescent="0.35">
      <c r="A1049" s="2">
        <v>43643</v>
      </c>
      <c r="B1049">
        <v>800.45</v>
      </c>
    </row>
    <row r="1050" spans="1:2" x14ac:dyDescent="0.35">
      <c r="A1050" s="2">
        <v>43644</v>
      </c>
      <c r="B1050">
        <v>808.55</v>
      </c>
    </row>
    <row r="1051" spans="1:2" x14ac:dyDescent="0.35">
      <c r="A1051" s="2">
        <v>43647</v>
      </c>
      <c r="B1051">
        <v>810.45</v>
      </c>
    </row>
    <row r="1052" spans="1:2" x14ac:dyDescent="0.35">
      <c r="A1052" s="2">
        <v>43648</v>
      </c>
      <c r="B1052">
        <v>802.6</v>
      </c>
    </row>
    <row r="1053" spans="1:2" x14ac:dyDescent="0.35">
      <c r="A1053" s="2">
        <v>43649</v>
      </c>
      <c r="B1053">
        <v>806.2</v>
      </c>
    </row>
    <row r="1054" spans="1:2" x14ac:dyDescent="0.35">
      <c r="A1054" s="2">
        <v>43650</v>
      </c>
      <c r="B1054">
        <v>808.85</v>
      </c>
    </row>
    <row r="1055" spans="1:2" x14ac:dyDescent="0.35">
      <c r="A1055" s="2">
        <v>43651</v>
      </c>
      <c r="B1055">
        <v>806.1</v>
      </c>
    </row>
    <row r="1056" spans="1:2" x14ac:dyDescent="0.35">
      <c r="A1056" s="2">
        <v>43654</v>
      </c>
      <c r="B1056">
        <v>782.9</v>
      </c>
    </row>
    <row r="1057" spans="1:2" x14ac:dyDescent="0.35">
      <c r="A1057" s="2">
        <v>43655</v>
      </c>
      <c r="B1057">
        <v>786.2</v>
      </c>
    </row>
    <row r="1058" spans="1:2" x14ac:dyDescent="0.35">
      <c r="A1058" s="2">
        <v>43656</v>
      </c>
      <c r="B1058">
        <v>769.25</v>
      </c>
    </row>
    <row r="1059" spans="1:2" x14ac:dyDescent="0.35">
      <c r="A1059" s="2">
        <v>43657</v>
      </c>
      <c r="B1059">
        <v>766.4</v>
      </c>
    </row>
    <row r="1060" spans="1:2" x14ac:dyDescent="0.35">
      <c r="A1060" s="2">
        <v>43658</v>
      </c>
      <c r="B1060">
        <v>755.8</v>
      </c>
    </row>
    <row r="1061" spans="1:2" x14ac:dyDescent="0.35">
      <c r="A1061" s="2">
        <v>43661</v>
      </c>
      <c r="B1061">
        <v>749.75</v>
      </c>
    </row>
    <row r="1062" spans="1:2" x14ac:dyDescent="0.35">
      <c r="A1062" s="2">
        <v>43662</v>
      </c>
      <c r="B1062">
        <v>761.05</v>
      </c>
    </row>
    <row r="1063" spans="1:2" x14ac:dyDescent="0.35">
      <c r="A1063" s="2">
        <v>43663</v>
      </c>
      <c r="B1063">
        <v>752.6</v>
      </c>
    </row>
    <row r="1064" spans="1:2" x14ac:dyDescent="0.35">
      <c r="A1064" s="2">
        <v>43664</v>
      </c>
      <c r="B1064">
        <v>740.4</v>
      </c>
    </row>
    <row r="1065" spans="1:2" x14ac:dyDescent="0.35">
      <c r="A1065" s="2">
        <v>43665</v>
      </c>
      <c r="B1065">
        <v>729.25</v>
      </c>
    </row>
    <row r="1066" spans="1:2" x14ac:dyDescent="0.35">
      <c r="A1066" s="2">
        <v>43668</v>
      </c>
      <c r="B1066">
        <v>727.45</v>
      </c>
    </row>
    <row r="1067" spans="1:2" x14ac:dyDescent="0.35">
      <c r="A1067" s="2">
        <v>43669</v>
      </c>
      <c r="B1067">
        <v>728</v>
      </c>
    </row>
    <row r="1068" spans="1:2" x14ac:dyDescent="0.35">
      <c r="A1068" s="2">
        <v>43670</v>
      </c>
      <c r="B1068">
        <v>712.3</v>
      </c>
    </row>
    <row r="1069" spans="1:2" x14ac:dyDescent="0.35">
      <c r="A1069" s="2">
        <v>43671</v>
      </c>
      <c r="B1069">
        <v>723.15</v>
      </c>
    </row>
    <row r="1070" spans="1:2" x14ac:dyDescent="0.35">
      <c r="A1070" s="2">
        <v>43672</v>
      </c>
      <c r="B1070">
        <v>729.85</v>
      </c>
    </row>
    <row r="1071" spans="1:2" x14ac:dyDescent="0.35">
      <c r="A1071" s="2">
        <v>43675</v>
      </c>
      <c r="B1071">
        <v>720.25</v>
      </c>
    </row>
    <row r="1072" spans="1:2" x14ac:dyDescent="0.35">
      <c r="A1072" s="2">
        <v>43676</v>
      </c>
      <c r="B1072">
        <v>707.6</v>
      </c>
    </row>
    <row r="1073" spans="1:2" x14ac:dyDescent="0.35">
      <c r="A1073" s="2">
        <v>43677</v>
      </c>
      <c r="B1073">
        <v>674.1</v>
      </c>
    </row>
    <row r="1074" spans="1:2" x14ac:dyDescent="0.35">
      <c r="A1074" s="2">
        <v>43678</v>
      </c>
      <c r="B1074">
        <v>669.3</v>
      </c>
    </row>
    <row r="1075" spans="1:2" x14ac:dyDescent="0.35">
      <c r="A1075" s="2">
        <v>43679</v>
      </c>
      <c r="B1075">
        <v>673.85</v>
      </c>
    </row>
    <row r="1076" spans="1:2" x14ac:dyDescent="0.35">
      <c r="A1076" s="2">
        <v>43682</v>
      </c>
      <c r="B1076">
        <v>662.45</v>
      </c>
    </row>
    <row r="1077" spans="1:2" x14ac:dyDescent="0.35">
      <c r="A1077" s="2">
        <v>43683</v>
      </c>
      <c r="B1077">
        <v>679</v>
      </c>
    </row>
    <row r="1078" spans="1:2" x14ac:dyDescent="0.35">
      <c r="A1078" s="2">
        <v>43684</v>
      </c>
      <c r="B1078">
        <v>659.95</v>
      </c>
    </row>
    <row r="1079" spans="1:2" x14ac:dyDescent="0.35">
      <c r="A1079" s="2">
        <v>43685</v>
      </c>
      <c r="B1079">
        <v>660.1</v>
      </c>
    </row>
    <row r="1080" spans="1:2" x14ac:dyDescent="0.35">
      <c r="A1080" s="2">
        <v>43686</v>
      </c>
      <c r="B1080">
        <v>660.8</v>
      </c>
    </row>
    <row r="1081" spans="1:2" x14ac:dyDescent="0.35">
      <c r="A1081" s="2">
        <v>43690</v>
      </c>
      <c r="B1081">
        <v>649.45000000000005</v>
      </c>
    </row>
    <row r="1082" spans="1:2" x14ac:dyDescent="0.35">
      <c r="A1082" s="2">
        <v>43691</v>
      </c>
      <c r="B1082">
        <v>663.2</v>
      </c>
    </row>
    <row r="1083" spans="1:2" x14ac:dyDescent="0.35">
      <c r="A1083" s="2">
        <v>43693</v>
      </c>
      <c r="B1083">
        <v>675.65</v>
      </c>
    </row>
    <row r="1084" spans="1:2" x14ac:dyDescent="0.35">
      <c r="A1084" s="2">
        <v>43696</v>
      </c>
      <c r="B1084">
        <v>685</v>
      </c>
    </row>
    <row r="1085" spans="1:2" x14ac:dyDescent="0.35">
      <c r="A1085" s="2">
        <v>43697</v>
      </c>
      <c r="B1085">
        <v>672.35</v>
      </c>
    </row>
    <row r="1086" spans="1:2" x14ac:dyDescent="0.35">
      <c r="A1086" s="2">
        <v>43698</v>
      </c>
      <c r="B1086">
        <v>664.7</v>
      </c>
    </row>
    <row r="1087" spans="1:2" x14ac:dyDescent="0.35">
      <c r="A1087" s="2">
        <v>43699</v>
      </c>
      <c r="B1087">
        <v>661.15</v>
      </c>
    </row>
    <row r="1088" spans="1:2" x14ac:dyDescent="0.35">
      <c r="A1088" s="2">
        <v>43700</v>
      </c>
      <c r="B1088">
        <v>663.9</v>
      </c>
    </row>
    <row r="1089" spans="1:2" x14ac:dyDescent="0.35">
      <c r="A1089" s="2">
        <v>43703</v>
      </c>
      <c r="B1089">
        <v>683.7</v>
      </c>
    </row>
    <row r="1090" spans="1:2" x14ac:dyDescent="0.35">
      <c r="A1090" s="2">
        <v>43704</v>
      </c>
      <c r="B1090">
        <v>682.95</v>
      </c>
    </row>
    <row r="1091" spans="1:2" x14ac:dyDescent="0.35">
      <c r="A1091" s="2">
        <v>43705</v>
      </c>
      <c r="B1091">
        <v>678.2</v>
      </c>
    </row>
    <row r="1092" spans="1:2" x14ac:dyDescent="0.35">
      <c r="A1092" s="2">
        <v>43706</v>
      </c>
      <c r="B1092">
        <v>661.15</v>
      </c>
    </row>
    <row r="1093" spans="1:2" x14ac:dyDescent="0.35">
      <c r="A1093" s="2">
        <v>43707</v>
      </c>
      <c r="B1093">
        <v>663.9</v>
      </c>
    </row>
    <row r="1094" spans="1:2" x14ac:dyDescent="0.35">
      <c r="A1094" s="2">
        <v>43711</v>
      </c>
      <c r="B1094">
        <v>645.70000000000005</v>
      </c>
    </row>
    <row r="1095" spans="1:2" x14ac:dyDescent="0.35">
      <c r="A1095" s="2">
        <v>43712</v>
      </c>
      <c r="B1095">
        <v>647.29999999999995</v>
      </c>
    </row>
    <row r="1096" spans="1:2" x14ac:dyDescent="0.35">
      <c r="A1096" s="2">
        <v>43713</v>
      </c>
      <c r="B1096">
        <v>649.6</v>
      </c>
    </row>
    <row r="1097" spans="1:2" x14ac:dyDescent="0.35">
      <c r="A1097" s="2">
        <v>43714</v>
      </c>
      <c r="B1097">
        <v>671.1</v>
      </c>
    </row>
    <row r="1098" spans="1:2" x14ac:dyDescent="0.35">
      <c r="A1098" s="2">
        <v>43717</v>
      </c>
      <c r="B1098">
        <v>671.55</v>
      </c>
    </row>
    <row r="1099" spans="1:2" x14ac:dyDescent="0.35">
      <c r="A1099" s="2">
        <v>43719</v>
      </c>
      <c r="B1099">
        <v>681.7</v>
      </c>
    </row>
    <row r="1100" spans="1:2" x14ac:dyDescent="0.35">
      <c r="A1100" s="2">
        <v>43720</v>
      </c>
      <c r="B1100">
        <v>662.9</v>
      </c>
    </row>
    <row r="1101" spans="1:2" x14ac:dyDescent="0.35">
      <c r="A1101" s="2">
        <v>43721</v>
      </c>
      <c r="B1101">
        <v>674.25</v>
      </c>
    </row>
    <row r="1102" spans="1:2" x14ac:dyDescent="0.35">
      <c r="A1102" s="2">
        <v>43724</v>
      </c>
      <c r="B1102">
        <v>670.9</v>
      </c>
    </row>
    <row r="1103" spans="1:2" x14ac:dyDescent="0.35">
      <c r="A1103" s="2">
        <v>43725</v>
      </c>
      <c r="B1103">
        <v>640.45000000000005</v>
      </c>
    </row>
    <row r="1104" spans="1:2" x14ac:dyDescent="0.35">
      <c r="A1104" s="2">
        <v>43726</v>
      </c>
      <c r="B1104">
        <v>648.4</v>
      </c>
    </row>
    <row r="1105" spans="1:2" x14ac:dyDescent="0.35">
      <c r="A1105" s="2">
        <v>43727</v>
      </c>
      <c r="B1105">
        <v>638.20000000000005</v>
      </c>
    </row>
    <row r="1106" spans="1:2" x14ac:dyDescent="0.35">
      <c r="A1106" s="2">
        <v>43728</v>
      </c>
      <c r="B1106">
        <v>680.35</v>
      </c>
    </row>
    <row r="1107" spans="1:2" x14ac:dyDescent="0.35">
      <c r="A1107" s="2">
        <v>43731</v>
      </c>
      <c r="B1107">
        <v>725.5</v>
      </c>
    </row>
    <row r="1108" spans="1:2" x14ac:dyDescent="0.35">
      <c r="A1108" s="2">
        <v>43732</v>
      </c>
      <c r="B1108">
        <v>704.4</v>
      </c>
    </row>
    <row r="1109" spans="1:2" x14ac:dyDescent="0.35">
      <c r="A1109" s="2">
        <v>43733</v>
      </c>
      <c r="B1109">
        <v>694.95</v>
      </c>
    </row>
    <row r="1110" spans="1:2" x14ac:dyDescent="0.35">
      <c r="A1110" s="2">
        <v>43734</v>
      </c>
      <c r="B1110">
        <v>699.9</v>
      </c>
    </row>
    <row r="1111" spans="1:2" x14ac:dyDescent="0.35">
      <c r="A1111" s="2">
        <v>43735</v>
      </c>
      <c r="B1111">
        <v>700.6</v>
      </c>
    </row>
    <row r="1112" spans="1:2" x14ac:dyDescent="0.35">
      <c r="A1112" s="2">
        <v>43738</v>
      </c>
      <c r="B1112">
        <v>685</v>
      </c>
    </row>
    <row r="1113" spans="1:2" x14ac:dyDescent="0.35">
      <c r="A1113" s="2">
        <v>43739</v>
      </c>
      <c r="B1113">
        <v>679.15</v>
      </c>
    </row>
    <row r="1114" spans="1:2" x14ac:dyDescent="0.35">
      <c r="A1114" s="2">
        <v>43741</v>
      </c>
      <c r="B1114">
        <v>668.4</v>
      </c>
    </row>
    <row r="1115" spans="1:2" x14ac:dyDescent="0.35">
      <c r="A1115" s="2">
        <v>43742</v>
      </c>
      <c r="B1115">
        <v>656.4</v>
      </c>
    </row>
    <row r="1116" spans="1:2" x14ac:dyDescent="0.35">
      <c r="A1116" s="2">
        <v>43745</v>
      </c>
      <c r="B1116">
        <v>673.45</v>
      </c>
    </row>
    <row r="1117" spans="1:2" x14ac:dyDescent="0.35">
      <c r="A1117" s="2">
        <v>43747</v>
      </c>
      <c r="B1117">
        <v>686.3</v>
      </c>
    </row>
    <row r="1118" spans="1:2" x14ac:dyDescent="0.35">
      <c r="A1118" s="2">
        <v>43748</v>
      </c>
      <c r="B1118">
        <v>672.95</v>
      </c>
    </row>
    <row r="1119" spans="1:2" x14ac:dyDescent="0.35">
      <c r="A1119" s="2">
        <v>43749</v>
      </c>
      <c r="B1119">
        <v>672.7</v>
      </c>
    </row>
    <row r="1120" spans="1:2" x14ac:dyDescent="0.35">
      <c r="A1120" s="2">
        <v>43752</v>
      </c>
      <c r="B1120">
        <v>683.5</v>
      </c>
    </row>
    <row r="1121" spans="1:2" x14ac:dyDescent="0.35">
      <c r="A1121" s="2">
        <v>43753</v>
      </c>
      <c r="B1121">
        <v>690.05</v>
      </c>
    </row>
    <row r="1122" spans="1:2" x14ac:dyDescent="0.35">
      <c r="A1122" s="2">
        <v>43754</v>
      </c>
      <c r="B1122">
        <v>693.4</v>
      </c>
    </row>
    <row r="1123" spans="1:2" x14ac:dyDescent="0.35">
      <c r="A1123" s="2">
        <v>43755</v>
      </c>
      <c r="B1123">
        <v>710.3</v>
      </c>
    </row>
    <row r="1124" spans="1:2" x14ac:dyDescent="0.35">
      <c r="A1124" s="2">
        <v>43756</v>
      </c>
      <c r="B1124">
        <v>709.55</v>
      </c>
    </row>
    <row r="1125" spans="1:2" x14ac:dyDescent="0.35">
      <c r="A1125" s="2">
        <v>43760</v>
      </c>
      <c r="B1125">
        <v>712.75</v>
      </c>
    </row>
    <row r="1126" spans="1:2" x14ac:dyDescent="0.35">
      <c r="A1126" s="2">
        <v>43761</v>
      </c>
      <c r="B1126">
        <v>714.85</v>
      </c>
    </row>
    <row r="1127" spans="1:2" x14ac:dyDescent="0.35">
      <c r="A1127" s="2">
        <v>43762</v>
      </c>
      <c r="B1127">
        <v>707.7</v>
      </c>
    </row>
    <row r="1128" spans="1:2" x14ac:dyDescent="0.35">
      <c r="A1128" s="2">
        <v>43763</v>
      </c>
      <c r="B1128">
        <v>708.6</v>
      </c>
    </row>
    <row r="1129" spans="1:2" x14ac:dyDescent="0.35">
      <c r="A1129" s="2">
        <v>43765</v>
      </c>
      <c r="B1129">
        <v>710.1</v>
      </c>
    </row>
    <row r="1130" spans="1:2" x14ac:dyDescent="0.35">
      <c r="A1130" s="2">
        <v>43767</v>
      </c>
      <c r="B1130">
        <v>738.45</v>
      </c>
    </row>
    <row r="1131" spans="1:2" x14ac:dyDescent="0.35">
      <c r="A1131" s="2">
        <v>43768</v>
      </c>
      <c r="B1131">
        <v>747.4</v>
      </c>
    </row>
    <row r="1132" spans="1:2" x14ac:dyDescent="0.35">
      <c r="A1132" s="2">
        <v>43769</v>
      </c>
      <c r="B1132">
        <v>736.35</v>
      </c>
    </row>
    <row r="1133" spans="1:2" x14ac:dyDescent="0.35">
      <c r="A1133" s="2">
        <v>43770</v>
      </c>
      <c r="B1133">
        <v>748.3</v>
      </c>
    </row>
    <row r="1134" spans="1:2" x14ac:dyDescent="0.35">
      <c r="A1134" s="2">
        <v>43773</v>
      </c>
      <c r="B1134">
        <v>742.6</v>
      </c>
    </row>
    <row r="1135" spans="1:2" x14ac:dyDescent="0.35">
      <c r="A1135" s="2">
        <v>43774</v>
      </c>
      <c r="B1135">
        <v>738.05</v>
      </c>
    </row>
    <row r="1136" spans="1:2" x14ac:dyDescent="0.35">
      <c r="A1136" s="2">
        <v>43775</v>
      </c>
      <c r="B1136">
        <v>747.25</v>
      </c>
    </row>
    <row r="1137" spans="1:2" x14ac:dyDescent="0.35">
      <c r="A1137" s="2">
        <v>43776</v>
      </c>
      <c r="B1137">
        <v>734.75</v>
      </c>
    </row>
    <row r="1138" spans="1:2" x14ac:dyDescent="0.35">
      <c r="A1138" s="2">
        <v>43777</v>
      </c>
      <c r="B1138">
        <v>725.5</v>
      </c>
    </row>
    <row r="1139" spans="1:2" x14ac:dyDescent="0.35">
      <c r="A1139" s="2">
        <v>43780</v>
      </c>
      <c r="B1139">
        <v>733.7</v>
      </c>
    </row>
    <row r="1140" spans="1:2" x14ac:dyDescent="0.35">
      <c r="A1140" s="2">
        <v>43782</v>
      </c>
      <c r="B1140">
        <v>711.2</v>
      </c>
    </row>
    <row r="1141" spans="1:2" x14ac:dyDescent="0.35">
      <c r="A1141" s="2">
        <v>43783</v>
      </c>
      <c r="B1141">
        <v>715.9</v>
      </c>
    </row>
    <row r="1142" spans="1:2" x14ac:dyDescent="0.35">
      <c r="A1142" s="2">
        <v>43784</v>
      </c>
      <c r="B1142">
        <v>716.9</v>
      </c>
    </row>
    <row r="1143" spans="1:2" x14ac:dyDescent="0.35">
      <c r="A1143" s="2">
        <v>43787</v>
      </c>
      <c r="B1143">
        <v>722.95</v>
      </c>
    </row>
    <row r="1144" spans="1:2" x14ac:dyDescent="0.35">
      <c r="A1144" s="2">
        <v>43788</v>
      </c>
      <c r="B1144">
        <v>747.8</v>
      </c>
    </row>
    <row r="1145" spans="1:2" x14ac:dyDescent="0.35">
      <c r="A1145" s="2">
        <v>43789</v>
      </c>
      <c r="B1145">
        <v>748.75</v>
      </c>
    </row>
    <row r="1146" spans="1:2" x14ac:dyDescent="0.35">
      <c r="A1146" s="2">
        <v>43790</v>
      </c>
      <c r="B1146">
        <v>737.4</v>
      </c>
    </row>
    <row r="1147" spans="1:2" x14ac:dyDescent="0.35">
      <c r="A1147" s="2">
        <v>43791</v>
      </c>
      <c r="B1147">
        <v>732.1</v>
      </c>
    </row>
    <row r="1148" spans="1:2" x14ac:dyDescent="0.35">
      <c r="A1148" s="2">
        <v>43794</v>
      </c>
      <c r="B1148">
        <v>754.75</v>
      </c>
    </row>
    <row r="1149" spans="1:2" x14ac:dyDescent="0.35">
      <c r="A1149" s="2">
        <v>43795</v>
      </c>
      <c r="B1149">
        <v>752.25</v>
      </c>
    </row>
    <row r="1150" spans="1:2" x14ac:dyDescent="0.35">
      <c r="A1150" s="2">
        <v>43796</v>
      </c>
      <c r="B1150">
        <v>752.9</v>
      </c>
    </row>
    <row r="1151" spans="1:2" x14ac:dyDescent="0.35">
      <c r="A1151" s="2">
        <v>43797</v>
      </c>
      <c r="B1151">
        <v>750.6</v>
      </c>
    </row>
    <row r="1152" spans="1:2" x14ac:dyDescent="0.35">
      <c r="A1152" s="2">
        <v>43798</v>
      </c>
      <c r="B1152">
        <v>739.05</v>
      </c>
    </row>
    <row r="1153" spans="1:2" x14ac:dyDescent="0.35">
      <c r="A1153" s="2">
        <v>43801</v>
      </c>
      <c r="B1153">
        <v>744.3</v>
      </c>
    </row>
    <row r="1154" spans="1:2" x14ac:dyDescent="0.35">
      <c r="A1154" s="2">
        <v>43802</v>
      </c>
      <c r="B1154">
        <v>733.4</v>
      </c>
    </row>
    <row r="1155" spans="1:2" x14ac:dyDescent="0.35">
      <c r="A1155" s="2">
        <v>43803</v>
      </c>
      <c r="B1155">
        <v>739.85</v>
      </c>
    </row>
    <row r="1156" spans="1:2" x14ac:dyDescent="0.35">
      <c r="A1156" s="2">
        <v>43804</v>
      </c>
      <c r="B1156">
        <v>729.25</v>
      </c>
    </row>
    <row r="1157" spans="1:2" x14ac:dyDescent="0.35">
      <c r="A1157" s="2">
        <v>43805</v>
      </c>
      <c r="B1157">
        <v>717.6</v>
      </c>
    </row>
    <row r="1158" spans="1:2" x14ac:dyDescent="0.35">
      <c r="A1158" s="2">
        <v>43808</v>
      </c>
      <c r="B1158">
        <v>732</v>
      </c>
    </row>
    <row r="1159" spans="1:2" x14ac:dyDescent="0.35">
      <c r="A1159" s="2">
        <v>43809</v>
      </c>
      <c r="B1159">
        <v>715.7</v>
      </c>
    </row>
    <row r="1160" spans="1:2" x14ac:dyDescent="0.35">
      <c r="A1160" s="2">
        <v>43810</v>
      </c>
      <c r="B1160">
        <v>716.55</v>
      </c>
    </row>
    <row r="1161" spans="1:2" x14ac:dyDescent="0.35">
      <c r="A1161" s="2">
        <v>43811</v>
      </c>
      <c r="B1161">
        <v>722.1</v>
      </c>
    </row>
    <row r="1162" spans="1:2" x14ac:dyDescent="0.35">
      <c r="A1162" s="2">
        <v>43812</v>
      </c>
      <c r="B1162">
        <v>752</v>
      </c>
    </row>
    <row r="1163" spans="1:2" x14ac:dyDescent="0.35">
      <c r="A1163" s="2">
        <v>43815</v>
      </c>
      <c r="B1163">
        <v>747.25</v>
      </c>
    </row>
    <row r="1164" spans="1:2" x14ac:dyDescent="0.35">
      <c r="A1164" s="2">
        <v>43816</v>
      </c>
      <c r="B1164">
        <v>745.65</v>
      </c>
    </row>
    <row r="1165" spans="1:2" x14ac:dyDescent="0.35">
      <c r="A1165" s="2">
        <v>43817</v>
      </c>
      <c r="B1165">
        <v>741.85</v>
      </c>
    </row>
    <row r="1166" spans="1:2" x14ac:dyDescent="0.35">
      <c r="A1166" s="2">
        <v>43818</v>
      </c>
      <c r="B1166">
        <v>742.55</v>
      </c>
    </row>
    <row r="1167" spans="1:2" x14ac:dyDescent="0.35">
      <c r="A1167" s="2">
        <v>43819</v>
      </c>
      <c r="B1167">
        <v>739.85</v>
      </c>
    </row>
    <row r="1168" spans="1:2" x14ac:dyDescent="0.35">
      <c r="A1168" s="2">
        <v>43822</v>
      </c>
      <c r="B1168">
        <v>743.15</v>
      </c>
    </row>
    <row r="1169" spans="1:2" x14ac:dyDescent="0.35">
      <c r="A1169" s="2">
        <v>43823</v>
      </c>
      <c r="B1169">
        <v>740.65</v>
      </c>
    </row>
    <row r="1170" spans="1:2" x14ac:dyDescent="0.35">
      <c r="A1170" s="2">
        <v>43825</v>
      </c>
      <c r="B1170">
        <v>736.5</v>
      </c>
    </row>
    <row r="1171" spans="1:2" x14ac:dyDescent="0.35">
      <c r="A1171" s="2">
        <v>43826</v>
      </c>
      <c r="B1171">
        <v>760.15</v>
      </c>
    </row>
    <row r="1172" spans="1:2" x14ac:dyDescent="0.35">
      <c r="A1172" s="2">
        <v>43829</v>
      </c>
      <c r="B1172">
        <v>754.1</v>
      </c>
    </row>
    <row r="1173" spans="1:2" x14ac:dyDescent="0.35">
      <c r="A1173" s="2">
        <v>43830</v>
      </c>
      <c r="B1173">
        <v>754.1</v>
      </c>
    </row>
    <row r="1174" spans="1:2" x14ac:dyDescent="0.35">
      <c r="A1174" s="2">
        <v>43831</v>
      </c>
      <c r="B1174">
        <v>748.7</v>
      </c>
    </row>
    <row r="1175" spans="1:2" x14ac:dyDescent="0.35">
      <c r="A1175" s="2">
        <v>43832</v>
      </c>
      <c r="B1175">
        <v>756.95</v>
      </c>
    </row>
    <row r="1176" spans="1:2" x14ac:dyDescent="0.35">
      <c r="A1176" s="2">
        <v>43833</v>
      </c>
      <c r="B1176">
        <v>742.95</v>
      </c>
    </row>
    <row r="1177" spans="1:2" x14ac:dyDescent="0.35">
      <c r="A1177" s="2">
        <v>43836</v>
      </c>
      <c r="B1177">
        <v>723.25</v>
      </c>
    </row>
    <row r="1178" spans="1:2" x14ac:dyDescent="0.35">
      <c r="A1178" s="2">
        <v>43837</v>
      </c>
      <c r="B1178">
        <v>725.75</v>
      </c>
    </row>
    <row r="1179" spans="1:2" x14ac:dyDescent="0.35">
      <c r="A1179" s="2">
        <v>43838</v>
      </c>
      <c r="B1179">
        <v>724.5</v>
      </c>
    </row>
    <row r="1180" spans="1:2" x14ac:dyDescent="0.35">
      <c r="A1180" s="2">
        <v>43839</v>
      </c>
      <c r="B1180">
        <v>742.85</v>
      </c>
    </row>
    <row r="1181" spans="1:2" x14ac:dyDescent="0.35">
      <c r="A1181" s="2">
        <v>43840</v>
      </c>
      <c r="B1181">
        <v>740.05</v>
      </c>
    </row>
    <row r="1182" spans="1:2" x14ac:dyDescent="0.35">
      <c r="A1182" s="2">
        <v>43843</v>
      </c>
      <c r="B1182">
        <v>737.4</v>
      </c>
    </row>
    <row r="1183" spans="1:2" x14ac:dyDescent="0.35">
      <c r="A1183" s="2">
        <v>43844</v>
      </c>
      <c r="B1183">
        <v>747.9</v>
      </c>
    </row>
    <row r="1184" spans="1:2" x14ac:dyDescent="0.35">
      <c r="A1184" s="2">
        <v>43845</v>
      </c>
      <c r="B1184">
        <v>746.3</v>
      </c>
    </row>
    <row r="1185" spans="1:2" x14ac:dyDescent="0.35">
      <c r="A1185" s="2">
        <v>43846</v>
      </c>
      <c r="B1185">
        <v>737.3</v>
      </c>
    </row>
    <row r="1186" spans="1:2" x14ac:dyDescent="0.35">
      <c r="A1186" s="2">
        <v>43847</v>
      </c>
      <c r="B1186">
        <v>739.9</v>
      </c>
    </row>
    <row r="1187" spans="1:2" x14ac:dyDescent="0.35">
      <c r="A1187" s="2">
        <v>43850</v>
      </c>
      <c r="B1187">
        <v>727.2</v>
      </c>
    </row>
    <row r="1188" spans="1:2" x14ac:dyDescent="0.35">
      <c r="A1188" s="2">
        <v>43851</v>
      </c>
      <c r="B1188">
        <v>717.6</v>
      </c>
    </row>
    <row r="1189" spans="1:2" x14ac:dyDescent="0.35">
      <c r="A1189" s="2">
        <v>43852</v>
      </c>
      <c r="B1189">
        <v>712.6</v>
      </c>
    </row>
    <row r="1190" spans="1:2" x14ac:dyDescent="0.35">
      <c r="A1190" s="2">
        <v>43853</v>
      </c>
      <c r="B1190">
        <v>723</v>
      </c>
    </row>
    <row r="1191" spans="1:2" x14ac:dyDescent="0.35">
      <c r="A1191" s="2">
        <v>43854</v>
      </c>
      <c r="B1191">
        <v>737.4</v>
      </c>
    </row>
    <row r="1192" spans="1:2" x14ac:dyDescent="0.35">
      <c r="A1192" s="2">
        <v>43857</v>
      </c>
      <c r="B1192">
        <v>740.25</v>
      </c>
    </row>
    <row r="1193" spans="1:2" x14ac:dyDescent="0.35">
      <c r="A1193" s="2">
        <v>43858</v>
      </c>
      <c r="B1193">
        <v>737.15</v>
      </c>
    </row>
    <row r="1194" spans="1:2" x14ac:dyDescent="0.35">
      <c r="A1194" s="2">
        <v>43859</v>
      </c>
      <c r="B1194">
        <v>735.25</v>
      </c>
    </row>
    <row r="1195" spans="1:2" x14ac:dyDescent="0.35">
      <c r="A1195" s="2">
        <v>43860</v>
      </c>
      <c r="B1195">
        <v>730.9</v>
      </c>
    </row>
    <row r="1196" spans="1:2" x14ac:dyDescent="0.35">
      <c r="A1196" s="2">
        <v>43861</v>
      </c>
      <c r="B1196">
        <v>729.3</v>
      </c>
    </row>
    <row r="1197" spans="1:2" x14ac:dyDescent="0.35">
      <c r="A1197" s="2">
        <v>43862</v>
      </c>
      <c r="B1197">
        <v>705.45</v>
      </c>
    </row>
    <row r="1198" spans="1:2" x14ac:dyDescent="0.35">
      <c r="A1198" s="2">
        <v>43864</v>
      </c>
      <c r="B1198">
        <v>708.95</v>
      </c>
    </row>
    <row r="1199" spans="1:2" x14ac:dyDescent="0.35">
      <c r="A1199" s="2">
        <v>43865</v>
      </c>
      <c r="B1199">
        <v>715</v>
      </c>
    </row>
    <row r="1200" spans="1:2" x14ac:dyDescent="0.35">
      <c r="A1200" s="2">
        <v>43866</v>
      </c>
      <c r="B1200">
        <v>724.05</v>
      </c>
    </row>
    <row r="1201" spans="1:2" x14ac:dyDescent="0.35">
      <c r="A1201" s="2">
        <v>43867</v>
      </c>
      <c r="B1201">
        <v>736.95</v>
      </c>
    </row>
    <row r="1202" spans="1:2" x14ac:dyDescent="0.35">
      <c r="A1202" s="2">
        <v>43868</v>
      </c>
      <c r="B1202">
        <v>748.15</v>
      </c>
    </row>
    <row r="1203" spans="1:2" x14ac:dyDescent="0.35">
      <c r="A1203" s="2">
        <v>43871</v>
      </c>
      <c r="B1203">
        <v>741.1</v>
      </c>
    </row>
    <row r="1204" spans="1:2" x14ac:dyDescent="0.35">
      <c r="A1204" s="2">
        <v>43872</v>
      </c>
      <c r="B1204">
        <v>749.95</v>
      </c>
    </row>
    <row r="1205" spans="1:2" x14ac:dyDescent="0.35">
      <c r="A1205" s="2">
        <v>43873</v>
      </c>
      <c r="B1205">
        <v>755.25</v>
      </c>
    </row>
    <row r="1206" spans="1:2" x14ac:dyDescent="0.35">
      <c r="A1206" s="2">
        <v>43874</v>
      </c>
      <c r="B1206">
        <v>747.8</v>
      </c>
    </row>
    <row r="1207" spans="1:2" x14ac:dyDescent="0.35">
      <c r="A1207" s="2">
        <v>43875</v>
      </c>
      <c r="B1207">
        <v>736.5</v>
      </c>
    </row>
    <row r="1208" spans="1:2" x14ac:dyDescent="0.35">
      <c r="A1208" s="2">
        <v>43878</v>
      </c>
      <c r="B1208">
        <v>738.4</v>
      </c>
    </row>
    <row r="1209" spans="1:2" x14ac:dyDescent="0.35">
      <c r="A1209" s="2">
        <v>43879</v>
      </c>
      <c r="B1209">
        <v>733.65</v>
      </c>
    </row>
    <row r="1210" spans="1:2" x14ac:dyDescent="0.35">
      <c r="A1210" s="2">
        <v>43880</v>
      </c>
      <c r="B1210">
        <v>741.05</v>
      </c>
    </row>
    <row r="1211" spans="1:2" x14ac:dyDescent="0.35">
      <c r="A1211" s="2">
        <v>43881</v>
      </c>
      <c r="B1211">
        <v>744.3</v>
      </c>
    </row>
    <row r="1212" spans="1:2" x14ac:dyDescent="0.35">
      <c r="A1212" s="2">
        <v>43885</v>
      </c>
      <c r="B1212">
        <v>725.45</v>
      </c>
    </row>
    <row r="1213" spans="1:2" x14ac:dyDescent="0.35">
      <c r="A1213" s="2">
        <v>43886</v>
      </c>
      <c r="B1213">
        <v>728.75</v>
      </c>
    </row>
    <row r="1214" spans="1:2" x14ac:dyDescent="0.35">
      <c r="A1214" s="2">
        <v>43887</v>
      </c>
      <c r="B1214">
        <v>729.4</v>
      </c>
    </row>
    <row r="1215" spans="1:2" x14ac:dyDescent="0.35">
      <c r="A1215" s="2">
        <v>43888</v>
      </c>
      <c r="B1215">
        <v>735.85</v>
      </c>
    </row>
    <row r="1216" spans="1:2" x14ac:dyDescent="0.35">
      <c r="A1216" s="2">
        <v>43889</v>
      </c>
      <c r="B1216">
        <v>697.3</v>
      </c>
    </row>
    <row r="1217" spans="1:2" x14ac:dyDescent="0.35">
      <c r="A1217" s="2">
        <v>43892</v>
      </c>
      <c r="B1217">
        <v>684.2</v>
      </c>
    </row>
    <row r="1218" spans="1:2" x14ac:dyDescent="0.35">
      <c r="A1218" s="2">
        <v>43893</v>
      </c>
      <c r="B1218">
        <v>687.15</v>
      </c>
    </row>
    <row r="1219" spans="1:2" x14ac:dyDescent="0.35">
      <c r="A1219" s="2">
        <v>43894</v>
      </c>
      <c r="B1219">
        <v>682.2</v>
      </c>
    </row>
    <row r="1220" spans="1:2" x14ac:dyDescent="0.35">
      <c r="A1220" s="2">
        <v>43895</v>
      </c>
      <c r="B1220">
        <v>677.9</v>
      </c>
    </row>
    <row r="1221" spans="1:2" x14ac:dyDescent="0.35">
      <c r="A1221" s="2">
        <v>43896</v>
      </c>
      <c r="B1221">
        <v>657.65</v>
      </c>
    </row>
    <row r="1222" spans="1:2" x14ac:dyDescent="0.35">
      <c r="A1222" s="2">
        <v>43899</v>
      </c>
      <c r="B1222">
        <v>623.54999999999995</v>
      </c>
    </row>
    <row r="1223" spans="1:2" x14ac:dyDescent="0.35">
      <c r="A1223" s="2">
        <v>43901</v>
      </c>
      <c r="B1223">
        <v>619.35</v>
      </c>
    </row>
    <row r="1224" spans="1:2" x14ac:dyDescent="0.35">
      <c r="A1224" s="2">
        <v>43902</v>
      </c>
      <c r="B1224">
        <v>543.25</v>
      </c>
    </row>
    <row r="1225" spans="1:2" x14ac:dyDescent="0.35">
      <c r="A1225" s="2">
        <v>43903</v>
      </c>
      <c r="B1225">
        <v>568.79999999999995</v>
      </c>
    </row>
    <row r="1226" spans="1:2" x14ac:dyDescent="0.35">
      <c r="A1226" s="2">
        <v>43906</v>
      </c>
      <c r="B1226">
        <v>508.6</v>
      </c>
    </row>
    <row r="1227" spans="1:2" x14ac:dyDescent="0.35">
      <c r="A1227" s="2">
        <v>43907</v>
      </c>
      <c r="B1227">
        <v>488.35</v>
      </c>
    </row>
    <row r="1228" spans="1:2" x14ac:dyDescent="0.35">
      <c r="A1228" s="2">
        <v>43908</v>
      </c>
      <c r="B1228">
        <v>473.45</v>
      </c>
    </row>
    <row r="1229" spans="1:2" x14ac:dyDescent="0.35">
      <c r="A1229" s="2">
        <v>43909</v>
      </c>
      <c r="B1229">
        <v>428.25</v>
      </c>
    </row>
    <row r="1230" spans="1:2" x14ac:dyDescent="0.35">
      <c r="A1230" s="2">
        <v>43910</v>
      </c>
      <c r="B1230">
        <v>428.15</v>
      </c>
    </row>
    <row r="1231" spans="1:2" x14ac:dyDescent="0.35">
      <c r="A1231" s="2">
        <v>43913</v>
      </c>
      <c r="B1231">
        <v>308.64999999999998</v>
      </c>
    </row>
    <row r="1232" spans="1:2" x14ac:dyDescent="0.35">
      <c r="A1232" s="2">
        <v>43914</v>
      </c>
      <c r="B1232">
        <v>303.14999999999998</v>
      </c>
    </row>
    <row r="1233" spans="1:2" x14ac:dyDescent="0.35">
      <c r="A1233" s="2">
        <v>43915</v>
      </c>
      <c r="B1233">
        <v>326.8</v>
      </c>
    </row>
    <row r="1234" spans="1:2" x14ac:dyDescent="0.35">
      <c r="A1234" s="2">
        <v>43916</v>
      </c>
      <c r="B1234">
        <v>341.4</v>
      </c>
    </row>
    <row r="1235" spans="1:2" x14ac:dyDescent="0.35">
      <c r="A1235" s="2">
        <v>43917</v>
      </c>
      <c r="B1235">
        <v>359.75</v>
      </c>
    </row>
    <row r="1236" spans="1:2" x14ac:dyDescent="0.35">
      <c r="A1236" s="2">
        <v>43920</v>
      </c>
      <c r="B1236">
        <v>368.15</v>
      </c>
    </row>
    <row r="1237" spans="1:2" x14ac:dyDescent="0.35">
      <c r="A1237" s="2">
        <v>43921</v>
      </c>
      <c r="B1237">
        <v>379</v>
      </c>
    </row>
    <row r="1238" spans="1:2" x14ac:dyDescent="0.35">
      <c r="A1238" s="2">
        <v>43922</v>
      </c>
      <c r="B1238">
        <v>358.65</v>
      </c>
    </row>
    <row r="1239" spans="1:2" x14ac:dyDescent="0.35">
      <c r="A1239" s="2">
        <v>43924</v>
      </c>
      <c r="B1239">
        <v>325.45</v>
      </c>
    </row>
    <row r="1240" spans="1:2" x14ac:dyDescent="0.35">
      <c r="A1240" s="2">
        <v>43928</v>
      </c>
      <c r="B1240">
        <v>388.85</v>
      </c>
    </row>
    <row r="1241" spans="1:2" x14ac:dyDescent="0.35">
      <c r="A1241" s="2">
        <v>43929</v>
      </c>
      <c r="B1241">
        <v>391.35</v>
      </c>
    </row>
    <row r="1242" spans="1:2" x14ac:dyDescent="0.35">
      <c r="A1242" s="2">
        <v>43930</v>
      </c>
      <c r="B1242">
        <v>420.15</v>
      </c>
    </row>
    <row r="1243" spans="1:2" x14ac:dyDescent="0.35">
      <c r="A1243" s="2">
        <v>43934</v>
      </c>
      <c r="B1243">
        <v>418.95</v>
      </c>
    </row>
    <row r="1244" spans="1:2" x14ac:dyDescent="0.35">
      <c r="A1244" s="2">
        <v>43936</v>
      </c>
      <c r="B1244">
        <v>417.3</v>
      </c>
    </row>
    <row r="1245" spans="1:2" x14ac:dyDescent="0.35">
      <c r="A1245" s="2">
        <v>43937</v>
      </c>
      <c r="B1245">
        <v>422.55</v>
      </c>
    </row>
    <row r="1246" spans="1:2" x14ac:dyDescent="0.35">
      <c r="A1246" s="2">
        <v>43938</v>
      </c>
      <c r="B1246">
        <v>478.8</v>
      </c>
    </row>
    <row r="1247" spans="1:2" x14ac:dyDescent="0.35">
      <c r="A1247" s="2">
        <v>43941</v>
      </c>
      <c r="B1247">
        <v>455.95</v>
      </c>
    </row>
    <row r="1248" spans="1:2" x14ac:dyDescent="0.35">
      <c r="A1248" s="2">
        <v>43942</v>
      </c>
      <c r="B1248">
        <v>420.65</v>
      </c>
    </row>
    <row r="1249" spans="1:2" x14ac:dyDescent="0.35">
      <c r="A1249" s="2">
        <v>43943</v>
      </c>
      <c r="B1249">
        <v>431.15</v>
      </c>
    </row>
    <row r="1250" spans="1:2" x14ac:dyDescent="0.35">
      <c r="A1250" s="2">
        <v>43944</v>
      </c>
      <c r="B1250">
        <v>430.05</v>
      </c>
    </row>
    <row r="1251" spans="1:2" x14ac:dyDescent="0.35">
      <c r="A1251" s="2">
        <v>43945</v>
      </c>
      <c r="B1251">
        <v>403.95</v>
      </c>
    </row>
    <row r="1252" spans="1:2" x14ac:dyDescent="0.35">
      <c r="A1252" s="2">
        <v>43948</v>
      </c>
      <c r="B1252">
        <v>427.3</v>
      </c>
    </row>
    <row r="1253" spans="1:2" x14ac:dyDescent="0.35">
      <c r="A1253" s="2">
        <v>43949</v>
      </c>
      <c r="B1253">
        <v>455.45</v>
      </c>
    </row>
    <row r="1254" spans="1:2" x14ac:dyDescent="0.35">
      <c r="A1254" s="2">
        <v>43950</v>
      </c>
      <c r="B1254">
        <v>439.1</v>
      </c>
    </row>
    <row r="1255" spans="1:2" x14ac:dyDescent="0.35">
      <c r="A1255" s="2">
        <v>43951</v>
      </c>
      <c r="B1255">
        <v>444.9</v>
      </c>
    </row>
    <row r="1256" spans="1:2" x14ac:dyDescent="0.35">
      <c r="A1256" s="2">
        <v>43955</v>
      </c>
      <c r="B1256">
        <v>402.8</v>
      </c>
    </row>
    <row r="1257" spans="1:2" x14ac:dyDescent="0.35">
      <c r="A1257" s="2">
        <v>43956</v>
      </c>
      <c r="B1257">
        <v>389</v>
      </c>
    </row>
    <row r="1258" spans="1:2" x14ac:dyDescent="0.35">
      <c r="A1258" s="2">
        <v>43957</v>
      </c>
      <c r="B1258">
        <v>388.85</v>
      </c>
    </row>
    <row r="1259" spans="1:2" x14ac:dyDescent="0.35">
      <c r="A1259" s="2">
        <v>43958</v>
      </c>
      <c r="B1259">
        <v>397.35</v>
      </c>
    </row>
    <row r="1260" spans="1:2" x14ac:dyDescent="0.35">
      <c r="A1260" s="2">
        <v>43959</v>
      </c>
      <c r="B1260">
        <v>382.05</v>
      </c>
    </row>
    <row r="1261" spans="1:2" x14ac:dyDescent="0.35">
      <c r="A1261" s="2">
        <v>43962</v>
      </c>
      <c r="B1261">
        <v>379.55</v>
      </c>
    </row>
    <row r="1262" spans="1:2" x14ac:dyDescent="0.35">
      <c r="A1262" s="2">
        <v>43963</v>
      </c>
      <c r="B1262">
        <v>386.85</v>
      </c>
    </row>
    <row r="1263" spans="1:2" x14ac:dyDescent="0.35">
      <c r="A1263" s="2">
        <v>43964</v>
      </c>
      <c r="B1263">
        <v>414</v>
      </c>
    </row>
    <row r="1264" spans="1:2" x14ac:dyDescent="0.35">
      <c r="A1264" s="2">
        <v>43965</v>
      </c>
      <c r="B1264">
        <v>401.95</v>
      </c>
    </row>
    <row r="1265" spans="1:2" x14ac:dyDescent="0.35">
      <c r="A1265" s="2">
        <v>43966</v>
      </c>
      <c r="B1265">
        <v>388.55</v>
      </c>
    </row>
    <row r="1266" spans="1:2" x14ac:dyDescent="0.35">
      <c r="A1266" s="2">
        <v>43969</v>
      </c>
      <c r="B1266">
        <v>358.8</v>
      </c>
    </row>
    <row r="1267" spans="1:2" x14ac:dyDescent="0.35">
      <c r="A1267" s="2">
        <v>43970</v>
      </c>
      <c r="B1267">
        <v>354.5</v>
      </c>
    </row>
    <row r="1268" spans="1:2" x14ac:dyDescent="0.35">
      <c r="A1268" s="2">
        <v>43971</v>
      </c>
      <c r="B1268">
        <v>362.5</v>
      </c>
    </row>
    <row r="1269" spans="1:2" x14ac:dyDescent="0.35">
      <c r="A1269" s="2">
        <v>43972</v>
      </c>
      <c r="B1269">
        <v>357.2</v>
      </c>
    </row>
    <row r="1270" spans="1:2" x14ac:dyDescent="0.35">
      <c r="A1270" s="2">
        <v>43973</v>
      </c>
      <c r="B1270">
        <v>336.95</v>
      </c>
    </row>
    <row r="1271" spans="1:2" x14ac:dyDescent="0.35">
      <c r="A1271" s="2">
        <v>43977</v>
      </c>
      <c r="B1271">
        <v>341.3</v>
      </c>
    </row>
    <row r="1272" spans="1:2" x14ac:dyDescent="0.35">
      <c r="A1272" s="2">
        <v>43978</v>
      </c>
      <c r="B1272">
        <v>387</v>
      </c>
    </row>
    <row r="1273" spans="1:2" x14ac:dyDescent="0.35">
      <c r="A1273" s="2">
        <v>43979</v>
      </c>
      <c r="B1273">
        <v>390.95</v>
      </c>
    </row>
    <row r="1274" spans="1:2" x14ac:dyDescent="0.35">
      <c r="A1274" s="2">
        <v>43980</v>
      </c>
      <c r="B1274">
        <v>384.95</v>
      </c>
    </row>
    <row r="1275" spans="1:2" x14ac:dyDescent="0.35">
      <c r="A1275" s="2">
        <v>43983</v>
      </c>
      <c r="B1275">
        <v>396.95</v>
      </c>
    </row>
    <row r="1276" spans="1:2" x14ac:dyDescent="0.35">
      <c r="A1276" s="2">
        <v>43984</v>
      </c>
      <c r="B1276">
        <v>410.1</v>
      </c>
    </row>
    <row r="1277" spans="1:2" x14ac:dyDescent="0.35">
      <c r="A1277" s="2">
        <v>43985</v>
      </c>
      <c r="B1277">
        <v>409.55</v>
      </c>
    </row>
    <row r="1278" spans="1:2" x14ac:dyDescent="0.35">
      <c r="A1278" s="2">
        <v>43986</v>
      </c>
      <c r="B1278">
        <v>394.35</v>
      </c>
    </row>
    <row r="1279" spans="1:2" x14ac:dyDescent="0.35">
      <c r="A1279" s="2">
        <v>43987</v>
      </c>
      <c r="B1279">
        <v>405.3</v>
      </c>
    </row>
    <row r="1280" spans="1:2" x14ac:dyDescent="0.35">
      <c r="A1280" s="2">
        <v>43990</v>
      </c>
      <c r="B1280">
        <v>430.25</v>
      </c>
    </row>
    <row r="1281" spans="1:2" x14ac:dyDescent="0.35">
      <c r="A1281" s="2">
        <v>43991</v>
      </c>
      <c r="B1281">
        <v>420.05</v>
      </c>
    </row>
    <row r="1282" spans="1:2" x14ac:dyDescent="0.35">
      <c r="A1282" s="2">
        <v>43992</v>
      </c>
      <c r="B1282">
        <v>427.45</v>
      </c>
    </row>
    <row r="1283" spans="1:2" x14ac:dyDescent="0.35">
      <c r="A1283" s="2">
        <v>43993</v>
      </c>
      <c r="B1283">
        <v>413.45</v>
      </c>
    </row>
    <row r="1284" spans="1:2" x14ac:dyDescent="0.35">
      <c r="A1284" s="2">
        <v>43994</v>
      </c>
      <c r="B1284">
        <v>408</v>
      </c>
    </row>
    <row r="1285" spans="1:2" x14ac:dyDescent="0.35">
      <c r="A1285" s="2">
        <v>43997</v>
      </c>
      <c r="B1285">
        <v>389.6</v>
      </c>
    </row>
    <row r="1286" spans="1:2" x14ac:dyDescent="0.35">
      <c r="A1286" s="2">
        <v>43998</v>
      </c>
      <c r="B1286">
        <v>381.55</v>
      </c>
    </row>
    <row r="1287" spans="1:2" x14ac:dyDescent="0.35">
      <c r="A1287" s="2">
        <v>43999</v>
      </c>
      <c r="B1287">
        <v>389.6</v>
      </c>
    </row>
    <row r="1288" spans="1:2" x14ac:dyDescent="0.35">
      <c r="A1288" s="2">
        <v>44000</v>
      </c>
      <c r="B1288">
        <v>405.4</v>
      </c>
    </row>
    <row r="1289" spans="1:2" x14ac:dyDescent="0.35">
      <c r="A1289" s="2">
        <v>44001</v>
      </c>
      <c r="B1289">
        <v>417.05</v>
      </c>
    </row>
    <row r="1290" spans="1:2" x14ac:dyDescent="0.35">
      <c r="A1290" s="2">
        <v>44004</v>
      </c>
      <c r="B1290">
        <v>430.15</v>
      </c>
    </row>
    <row r="1291" spans="1:2" x14ac:dyDescent="0.35">
      <c r="A1291" s="2">
        <v>44005</v>
      </c>
      <c r="B1291">
        <v>443.65</v>
      </c>
    </row>
    <row r="1292" spans="1:2" x14ac:dyDescent="0.35">
      <c r="A1292" s="2">
        <v>44006</v>
      </c>
      <c r="B1292">
        <v>424.65</v>
      </c>
    </row>
    <row r="1293" spans="1:2" x14ac:dyDescent="0.35">
      <c r="A1293" s="2">
        <v>44007</v>
      </c>
      <c r="B1293">
        <v>421.7</v>
      </c>
    </row>
    <row r="1294" spans="1:2" x14ac:dyDescent="0.35">
      <c r="A1294" s="2">
        <v>44008</v>
      </c>
      <c r="B1294">
        <v>424.85</v>
      </c>
    </row>
    <row r="1295" spans="1:2" x14ac:dyDescent="0.35">
      <c r="A1295" s="2">
        <v>44011</v>
      </c>
      <c r="B1295">
        <v>404.8</v>
      </c>
    </row>
    <row r="1296" spans="1:2" x14ac:dyDescent="0.35">
      <c r="A1296" s="2">
        <v>44012</v>
      </c>
      <c r="B1296">
        <v>406.65</v>
      </c>
    </row>
    <row r="1297" spans="1:2" x14ac:dyDescent="0.35">
      <c r="A1297" s="2">
        <v>44013</v>
      </c>
      <c r="B1297">
        <v>433.25</v>
      </c>
    </row>
    <row r="1298" spans="1:2" x14ac:dyDescent="0.35">
      <c r="A1298" s="2">
        <v>44014</v>
      </c>
      <c r="B1298">
        <v>423.2</v>
      </c>
    </row>
    <row r="1299" spans="1:2" x14ac:dyDescent="0.35">
      <c r="A1299" s="2">
        <v>44015</v>
      </c>
      <c r="B1299">
        <v>428.45</v>
      </c>
    </row>
    <row r="1300" spans="1:2" x14ac:dyDescent="0.35">
      <c r="A1300" s="2">
        <v>44018</v>
      </c>
      <c r="B1300">
        <v>434</v>
      </c>
    </row>
    <row r="1301" spans="1:2" x14ac:dyDescent="0.35">
      <c r="A1301" s="2">
        <v>44019</v>
      </c>
      <c r="B1301">
        <v>447.35</v>
      </c>
    </row>
    <row r="1302" spans="1:2" x14ac:dyDescent="0.35">
      <c r="A1302" s="2">
        <v>44020</v>
      </c>
      <c r="B1302">
        <v>444.15</v>
      </c>
    </row>
    <row r="1303" spans="1:2" x14ac:dyDescent="0.35">
      <c r="A1303" s="2">
        <v>44021</v>
      </c>
      <c r="B1303">
        <v>453.75</v>
      </c>
    </row>
    <row r="1304" spans="1:2" x14ac:dyDescent="0.35">
      <c r="A1304" s="2">
        <v>44022</v>
      </c>
      <c r="B1304">
        <v>439.6</v>
      </c>
    </row>
    <row r="1305" spans="1:2" x14ac:dyDescent="0.35">
      <c r="A1305" s="2">
        <v>44025</v>
      </c>
      <c r="B1305">
        <v>440.05</v>
      </c>
    </row>
    <row r="1306" spans="1:2" x14ac:dyDescent="0.35">
      <c r="A1306" s="2">
        <v>44026</v>
      </c>
      <c r="B1306">
        <v>417.7</v>
      </c>
    </row>
    <row r="1307" spans="1:2" x14ac:dyDescent="0.35">
      <c r="A1307" s="2">
        <v>44027</v>
      </c>
      <c r="B1307">
        <v>426.65</v>
      </c>
    </row>
    <row r="1308" spans="1:2" x14ac:dyDescent="0.35">
      <c r="A1308" s="2">
        <v>44028</v>
      </c>
      <c r="B1308">
        <v>434</v>
      </c>
    </row>
    <row r="1309" spans="1:2" x14ac:dyDescent="0.35">
      <c r="A1309" s="2">
        <v>44029</v>
      </c>
      <c r="B1309">
        <v>433.1</v>
      </c>
    </row>
    <row r="1310" spans="1:2" x14ac:dyDescent="0.35">
      <c r="A1310" s="2">
        <v>44032</v>
      </c>
      <c r="B1310">
        <v>434</v>
      </c>
    </row>
    <row r="1311" spans="1:2" x14ac:dyDescent="0.35">
      <c r="A1311" s="2">
        <v>44033</v>
      </c>
      <c r="B1311">
        <v>446.2</v>
      </c>
    </row>
    <row r="1312" spans="1:2" x14ac:dyDescent="0.35">
      <c r="A1312" s="2">
        <v>44034</v>
      </c>
      <c r="B1312">
        <v>478.95</v>
      </c>
    </row>
    <row r="1313" spans="1:2" x14ac:dyDescent="0.35">
      <c r="A1313" s="2">
        <v>44035</v>
      </c>
      <c r="B1313">
        <v>460.85</v>
      </c>
    </row>
    <row r="1314" spans="1:2" x14ac:dyDescent="0.35">
      <c r="A1314" s="2">
        <v>44036</v>
      </c>
      <c r="B1314">
        <v>445.6</v>
      </c>
    </row>
    <row r="1315" spans="1:2" x14ac:dyDescent="0.35">
      <c r="A1315" s="2">
        <v>44039</v>
      </c>
      <c r="B1315">
        <v>431.55</v>
      </c>
    </row>
    <row r="1316" spans="1:2" x14ac:dyDescent="0.35">
      <c r="A1316" s="2">
        <v>44040</v>
      </c>
      <c r="B1316">
        <v>437.05</v>
      </c>
    </row>
    <row r="1317" spans="1:2" x14ac:dyDescent="0.35">
      <c r="A1317" s="2">
        <v>44041</v>
      </c>
      <c r="B1317">
        <v>440.9</v>
      </c>
    </row>
    <row r="1318" spans="1:2" x14ac:dyDescent="0.35">
      <c r="A1318" s="2">
        <v>44042</v>
      </c>
      <c r="B1318">
        <v>425.85</v>
      </c>
    </row>
    <row r="1319" spans="1:2" x14ac:dyDescent="0.35">
      <c r="A1319" s="2">
        <v>44043</v>
      </c>
      <c r="B1319">
        <v>431.65</v>
      </c>
    </row>
    <row r="1320" spans="1:2" x14ac:dyDescent="0.35">
      <c r="A1320" s="2">
        <v>44046</v>
      </c>
      <c r="B1320">
        <v>417.35</v>
      </c>
    </row>
    <row r="1321" spans="1:2" x14ac:dyDescent="0.35">
      <c r="A1321" s="2">
        <v>44047</v>
      </c>
      <c r="B1321">
        <v>429.15</v>
      </c>
    </row>
    <row r="1322" spans="1:2" x14ac:dyDescent="0.35">
      <c r="A1322" s="2">
        <v>44048</v>
      </c>
      <c r="B1322">
        <v>434.95</v>
      </c>
    </row>
    <row r="1323" spans="1:2" x14ac:dyDescent="0.35">
      <c r="A1323" s="2">
        <v>44049</v>
      </c>
      <c r="B1323">
        <v>433</v>
      </c>
    </row>
    <row r="1324" spans="1:2" x14ac:dyDescent="0.35">
      <c r="A1324" s="2">
        <v>44050</v>
      </c>
      <c r="B1324">
        <v>433.3</v>
      </c>
    </row>
    <row r="1325" spans="1:2" x14ac:dyDescent="0.35">
      <c r="A1325" s="2">
        <v>44053</v>
      </c>
      <c r="B1325">
        <v>431.1</v>
      </c>
    </row>
    <row r="1326" spans="1:2" x14ac:dyDescent="0.35">
      <c r="A1326" s="2">
        <v>44054</v>
      </c>
      <c r="B1326">
        <v>448</v>
      </c>
    </row>
    <row r="1327" spans="1:2" x14ac:dyDescent="0.35">
      <c r="A1327" s="2">
        <v>44055</v>
      </c>
      <c r="B1327">
        <v>451.1</v>
      </c>
    </row>
    <row r="1328" spans="1:2" x14ac:dyDescent="0.35">
      <c r="A1328" s="2">
        <v>44056</v>
      </c>
      <c r="B1328">
        <v>448.1</v>
      </c>
    </row>
    <row r="1329" spans="1:2" x14ac:dyDescent="0.35">
      <c r="A1329" s="2">
        <v>44057</v>
      </c>
      <c r="B1329">
        <v>435.85</v>
      </c>
    </row>
    <row r="1330" spans="1:2" x14ac:dyDescent="0.35">
      <c r="A1330" s="2">
        <v>44060</v>
      </c>
      <c r="B1330">
        <v>438.15</v>
      </c>
    </row>
    <row r="1331" spans="1:2" x14ac:dyDescent="0.35">
      <c r="A1331" s="2">
        <v>44061</v>
      </c>
      <c r="B1331">
        <v>445.8</v>
      </c>
    </row>
    <row r="1332" spans="1:2" x14ac:dyDescent="0.35">
      <c r="A1332" s="2">
        <v>44062</v>
      </c>
      <c r="B1332">
        <v>444.2</v>
      </c>
    </row>
    <row r="1333" spans="1:2" x14ac:dyDescent="0.35">
      <c r="A1333" s="2">
        <v>44063</v>
      </c>
      <c r="B1333">
        <v>434.95</v>
      </c>
    </row>
    <row r="1334" spans="1:2" x14ac:dyDescent="0.35">
      <c r="A1334" s="2">
        <v>44064</v>
      </c>
      <c r="B1334">
        <v>440.45</v>
      </c>
    </row>
    <row r="1335" spans="1:2" x14ac:dyDescent="0.35">
      <c r="A1335" s="2">
        <v>44067</v>
      </c>
      <c r="B1335">
        <v>445.8</v>
      </c>
    </row>
    <row r="1336" spans="1:2" x14ac:dyDescent="0.35">
      <c r="A1336" s="2">
        <v>44068</v>
      </c>
      <c r="B1336">
        <v>451.8</v>
      </c>
    </row>
    <row r="1337" spans="1:2" x14ac:dyDescent="0.35">
      <c r="A1337" s="2">
        <v>44069</v>
      </c>
      <c r="B1337">
        <v>463.35</v>
      </c>
    </row>
    <row r="1338" spans="1:2" x14ac:dyDescent="0.35">
      <c r="A1338" s="2">
        <v>44070</v>
      </c>
      <c r="B1338">
        <v>473.05</v>
      </c>
    </row>
    <row r="1339" spans="1:2" x14ac:dyDescent="0.35">
      <c r="A1339" s="2">
        <v>44071</v>
      </c>
      <c r="B1339">
        <v>509.2</v>
      </c>
    </row>
    <row r="1340" spans="1:2" x14ac:dyDescent="0.35">
      <c r="A1340" s="2">
        <v>44074</v>
      </c>
      <c r="B1340">
        <v>496.75</v>
      </c>
    </row>
    <row r="1341" spans="1:2" x14ac:dyDescent="0.35">
      <c r="A1341" s="2">
        <v>44075</v>
      </c>
      <c r="B1341">
        <v>485.7</v>
      </c>
    </row>
    <row r="1342" spans="1:2" x14ac:dyDescent="0.35">
      <c r="A1342" s="2">
        <v>44076</v>
      </c>
      <c r="B1342">
        <v>484.4</v>
      </c>
    </row>
    <row r="1343" spans="1:2" x14ac:dyDescent="0.35">
      <c r="A1343" s="2">
        <v>44077</v>
      </c>
      <c r="B1343">
        <v>474.95</v>
      </c>
    </row>
    <row r="1344" spans="1:2" x14ac:dyDescent="0.35">
      <c r="A1344" s="2">
        <v>44078</v>
      </c>
      <c r="B1344">
        <v>455.2</v>
      </c>
    </row>
    <row r="1345" spans="1:2" x14ac:dyDescent="0.35">
      <c r="A1345" s="2">
        <v>44081</v>
      </c>
      <c r="B1345">
        <v>458.7</v>
      </c>
    </row>
    <row r="1346" spans="1:2" x14ac:dyDescent="0.35">
      <c r="A1346" s="2">
        <v>44082</v>
      </c>
      <c r="B1346">
        <v>444.35</v>
      </c>
    </row>
    <row r="1347" spans="1:2" x14ac:dyDescent="0.35">
      <c r="A1347" s="2">
        <v>44083</v>
      </c>
      <c r="B1347">
        <v>431.25</v>
      </c>
    </row>
    <row r="1348" spans="1:2" x14ac:dyDescent="0.35">
      <c r="A1348" s="2">
        <v>44084</v>
      </c>
      <c r="B1348">
        <v>446.85</v>
      </c>
    </row>
    <row r="1349" spans="1:2" x14ac:dyDescent="0.35">
      <c r="A1349" s="2">
        <v>44085</v>
      </c>
      <c r="B1349">
        <v>447.2</v>
      </c>
    </row>
    <row r="1350" spans="1:2" x14ac:dyDescent="0.35">
      <c r="A1350" s="2">
        <v>44088</v>
      </c>
      <c r="B1350">
        <v>440.55</v>
      </c>
    </row>
    <row r="1351" spans="1:2" x14ac:dyDescent="0.35">
      <c r="A1351" s="2">
        <v>44089</v>
      </c>
      <c r="B1351">
        <v>449.55</v>
      </c>
    </row>
    <row r="1352" spans="1:2" x14ac:dyDescent="0.35">
      <c r="A1352" s="2">
        <v>44090</v>
      </c>
      <c r="B1352">
        <v>446</v>
      </c>
    </row>
    <row r="1353" spans="1:2" x14ac:dyDescent="0.35">
      <c r="A1353" s="2">
        <v>44091</v>
      </c>
      <c r="B1353">
        <v>442.9</v>
      </c>
    </row>
    <row r="1354" spans="1:2" x14ac:dyDescent="0.35">
      <c r="A1354" s="2">
        <v>44092</v>
      </c>
      <c r="B1354">
        <v>443.35</v>
      </c>
    </row>
    <row r="1355" spans="1:2" x14ac:dyDescent="0.35">
      <c r="A1355" s="2">
        <v>44095</v>
      </c>
      <c r="B1355">
        <v>423.35</v>
      </c>
    </row>
    <row r="1356" spans="1:2" x14ac:dyDescent="0.35">
      <c r="A1356" s="2">
        <v>44096</v>
      </c>
      <c r="B1356">
        <v>412</v>
      </c>
    </row>
    <row r="1357" spans="1:2" x14ac:dyDescent="0.35">
      <c r="A1357" s="2">
        <v>44097</v>
      </c>
      <c r="B1357">
        <v>419.75</v>
      </c>
    </row>
    <row r="1358" spans="1:2" x14ac:dyDescent="0.35">
      <c r="A1358" s="2">
        <v>44098</v>
      </c>
      <c r="B1358">
        <v>402.45</v>
      </c>
    </row>
    <row r="1359" spans="1:2" x14ac:dyDescent="0.35">
      <c r="A1359" s="2">
        <v>44099</v>
      </c>
      <c r="B1359">
        <v>415.05</v>
      </c>
    </row>
    <row r="1360" spans="1:2" x14ac:dyDescent="0.35">
      <c r="A1360" s="2">
        <v>44102</v>
      </c>
      <c r="B1360">
        <v>439.25</v>
      </c>
    </row>
    <row r="1361" spans="1:2" x14ac:dyDescent="0.35">
      <c r="A1361" s="2">
        <v>44103</v>
      </c>
      <c r="B1361">
        <v>426.85</v>
      </c>
    </row>
    <row r="1362" spans="1:2" x14ac:dyDescent="0.35">
      <c r="A1362" s="2">
        <v>44104</v>
      </c>
      <c r="B1362">
        <v>424.65</v>
      </c>
    </row>
    <row r="1363" spans="1:2" x14ac:dyDescent="0.35">
      <c r="A1363" s="2">
        <v>44105</v>
      </c>
      <c r="B1363">
        <v>443.7</v>
      </c>
    </row>
    <row r="1364" spans="1:2" x14ac:dyDescent="0.35">
      <c r="A1364" s="2">
        <v>44109</v>
      </c>
      <c r="B1364">
        <v>444.15</v>
      </c>
    </row>
    <row r="1365" spans="1:2" x14ac:dyDescent="0.35">
      <c r="A1365" s="2">
        <v>44110</v>
      </c>
      <c r="B1365">
        <v>449.65</v>
      </c>
    </row>
    <row r="1366" spans="1:2" x14ac:dyDescent="0.35">
      <c r="A1366" s="2">
        <v>44111</v>
      </c>
      <c r="B1366">
        <v>453.1</v>
      </c>
    </row>
    <row r="1367" spans="1:2" x14ac:dyDescent="0.35">
      <c r="A1367" s="2">
        <v>44112</v>
      </c>
      <c r="B1367">
        <v>451.9</v>
      </c>
    </row>
    <row r="1368" spans="1:2" x14ac:dyDescent="0.35">
      <c r="A1368" s="2">
        <v>44113</v>
      </c>
      <c r="B1368">
        <v>468.05</v>
      </c>
    </row>
    <row r="1369" spans="1:2" x14ac:dyDescent="0.35">
      <c r="A1369" s="2">
        <v>44116</v>
      </c>
      <c r="B1369">
        <v>468</v>
      </c>
    </row>
    <row r="1370" spans="1:2" x14ac:dyDescent="0.35">
      <c r="A1370" s="2">
        <v>44117</v>
      </c>
      <c r="B1370">
        <v>461.35</v>
      </c>
    </row>
    <row r="1371" spans="1:2" x14ac:dyDescent="0.35">
      <c r="A1371" s="2">
        <v>44118</v>
      </c>
      <c r="B1371">
        <v>471.3</v>
      </c>
    </row>
    <row r="1372" spans="1:2" x14ac:dyDescent="0.35">
      <c r="A1372" s="2">
        <v>44119</v>
      </c>
      <c r="B1372">
        <v>462.6</v>
      </c>
    </row>
    <row r="1373" spans="1:2" x14ac:dyDescent="0.35">
      <c r="A1373" s="2">
        <v>44120</v>
      </c>
      <c r="B1373">
        <v>472.4</v>
      </c>
    </row>
    <row r="1374" spans="1:2" x14ac:dyDescent="0.35">
      <c r="A1374" s="2">
        <v>44123</v>
      </c>
      <c r="B1374">
        <v>492.95</v>
      </c>
    </row>
    <row r="1375" spans="1:2" x14ac:dyDescent="0.35">
      <c r="A1375" s="2">
        <v>44124</v>
      </c>
      <c r="B1375">
        <v>493.95</v>
      </c>
    </row>
    <row r="1376" spans="1:2" x14ac:dyDescent="0.35">
      <c r="A1376" s="2">
        <v>44125</v>
      </c>
      <c r="B1376">
        <v>501.45</v>
      </c>
    </row>
    <row r="1377" spans="1:2" x14ac:dyDescent="0.35">
      <c r="A1377" s="2">
        <v>44126</v>
      </c>
      <c r="B1377">
        <v>510.3</v>
      </c>
    </row>
    <row r="1378" spans="1:2" x14ac:dyDescent="0.35">
      <c r="A1378" s="2">
        <v>44127</v>
      </c>
      <c r="B1378">
        <v>507.2</v>
      </c>
    </row>
    <row r="1379" spans="1:2" x14ac:dyDescent="0.35">
      <c r="A1379" s="2">
        <v>44130</v>
      </c>
      <c r="B1379">
        <v>493.35</v>
      </c>
    </row>
    <row r="1380" spans="1:2" x14ac:dyDescent="0.35">
      <c r="A1380" s="2">
        <v>44131</v>
      </c>
      <c r="B1380">
        <v>508.1</v>
      </c>
    </row>
    <row r="1381" spans="1:2" x14ac:dyDescent="0.35">
      <c r="A1381" s="2">
        <v>44132</v>
      </c>
      <c r="B1381">
        <v>504.7</v>
      </c>
    </row>
    <row r="1382" spans="1:2" x14ac:dyDescent="0.35">
      <c r="A1382" s="2">
        <v>44133</v>
      </c>
      <c r="B1382">
        <v>493.85</v>
      </c>
    </row>
    <row r="1383" spans="1:2" x14ac:dyDescent="0.35">
      <c r="A1383" s="2">
        <v>44134</v>
      </c>
      <c r="B1383">
        <v>492.5</v>
      </c>
    </row>
    <row r="1384" spans="1:2" x14ac:dyDescent="0.35">
      <c r="A1384" s="2">
        <v>44137</v>
      </c>
      <c r="B1384">
        <v>522.65</v>
      </c>
    </row>
    <row r="1385" spans="1:2" x14ac:dyDescent="0.35">
      <c r="A1385" s="2">
        <v>44138</v>
      </c>
      <c r="B1385">
        <v>534.15</v>
      </c>
    </row>
    <row r="1386" spans="1:2" x14ac:dyDescent="0.35">
      <c r="A1386" s="2">
        <v>44139</v>
      </c>
      <c r="B1386">
        <v>525.15</v>
      </c>
    </row>
    <row r="1387" spans="1:2" x14ac:dyDescent="0.35">
      <c r="A1387" s="2">
        <v>44140</v>
      </c>
      <c r="B1387">
        <v>539.29999999999995</v>
      </c>
    </row>
    <row r="1388" spans="1:2" x14ac:dyDescent="0.35">
      <c r="A1388" s="2">
        <v>44141</v>
      </c>
      <c r="B1388">
        <v>541.75</v>
      </c>
    </row>
    <row r="1389" spans="1:2" x14ac:dyDescent="0.35">
      <c r="A1389" s="2">
        <v>44144</v>
      </c>
      <c r="B1389">
        <v>565.04999999999995</v>
      </c>
    </row>
    <row r="1390" spans="1:2" x14ac:dyDescent="0.35">
      <c r="A1390" s="2">
        <v>44145</v>
      </c>
      <c r="B1390">
        <v>583.6</v>
      </c>
    </row>
    <row r="1391" spans="1:2" x14ac:dyDescent="0.35">
      <c r="A1391" s="2">
        <v>44146</v>
      </c>
      <c r="B1391">
        <v>608.65</v>
      </c>
    </row>
    <row r="1392" spans="1:2" x14ac:dyDescent="0.35">
      <c r="A1392" s="2">
        <v>44147</v>
      </c>
      <c r="B1392">
        <v>599.70000000000005</v>
      </c>
    </row>
    <row r="1393" spans="1:2" x14ac:dyDescent="0.35">
      <c r="A1393" s="2">
        <v>44148</v>
      </c>
      <c r="B1393">
        <v>610.35</v>
      </c>
    </row>
    <row r="1394" spans="1:2" x14ac:dyDescent="0.35">
      <c r="A1394" s="2">
        <v>44149</v>
      </c>
      <c r="B1394">
        <v>613.15</v>
      </c>
    </row>
    <row r="1395" spans="1:2" x14ac:dyDescent="0.35">
      <c r="A1395" s="2">
        <v>44152</v>
      </c>
      <c r="B1395">
        <v>628.79999999999995</v>
      </c>
    </row>
    <row r="1396" spans="1:2" x14ac:dyDescent="0.35">
      <c r="A1396" s="2">
        <v>44153</v>
      </c>
      <c r="B1396">
        <v>636.29999999999995</v>
      </c>
    </row>
    <row r="1397" spans="1:2" x14ac:dyDescent="0.35">
      <c r="A1397" s="2">
        <v>44154</v>
      </c>
      <c r="B1397">
        <v>611.5</v>
      </c>
    </row>
    <row r="1398" spans="1:2" x14ac:dyDescent="0.35">
      <c r="A1398" s="2">
        <v>44155</v>
      </c>
      <c r="B1398">
        <v>607.85</v>
      </c>
    </row>
    <row r="1399" spans="1:2" x14ac:dyDescent="0.35">
      <c r="A1399" s="2">
        <v>44158</v>
      </c>
      <c r="B1399">
        <v>595.6</v>
      </c>
    </row>
    <row r="1400" spans="1:2" x14ac:dyDescent="0.35">
      <c r="A1400" s="2">
        <v>44159</v>
      </c>
      <c r="B1400">
        <v>619.65</v>
      </c>
    </row>
    <row r="1401" spans="1:2" x14ac:dyDescent="0.35">
      <c r="A1401" s="2">
        <v>44160</v>
      </c>
      <c r="B1401">
        <v>599.85</v>
      </c>
    </row>
    <row r="1402" spans="1:2" x14ac:dyDescent="0.35">
      <c r="A1402" s="2">
        <v>44161</v>
      </c>
      <c r="B1402">
        <v>612.54999999999995</v>
      </c>
    </row>
    <row r="1403" spans="1:2" x14ac:dyDescent="0.35">
      <c r="A1403" s="2">
        <v>44162</v>
      </c>
      <c r="B1403">
        <v>601.6</v>
      </c>
    </row>
    <row r="1404" spans="1:2" x14ac:dyDescent="0.35">
      <c r="A1404" s="2">
        <v>44166</v>
      </c>
      <c r="B1404">
        <v>603.65</v>
      </c>
    </row>
    <row r="1405" spans="1:2" x14ac:dyDescent="0.35">
      <c r="A1405" s="2">
        <v>44167</v>
      </c>
      <c r="B1405">
        <v>608.1</v>
      </c>
    </row>
    <row r="1406" spans="1:2" x14ac:dyDescent="0.35">
      <c r="A1406" s="2">
        <v>44168</v>
      </c>
      <c r="B1406">
        <v>602.70000000000005</v>
      </c>
    </row>
    <row r="1407" spans="1:2" x14ac:dyDescent="0.35">
      <c r="A1407" s="2">
        <v>44169</v>
      </c>
      <c r="B1407">
        <v>614.5</v>
      </c>
    </row>
    <row r="1408" spans="1:2" x14ac:dyDescent="0.35">
      <c r="A1408" s="2">
        <v>44172</v>
      </c>
      <c r="B1408">
        <v>619.25</v>
      </c>
    </row>
    <row r="1409" spans="1:2" x14ac:dyDescent="0.35">
      <c r="A1409" s="2">
        <v>44173</v>
      </c>
      <c r="B1409">
        <v>620.65</v>
      </c>
    </row>
    <row r="1410" spans="1:2" x14ac:dyDescent="0.35">
      <c r="A1410" s="2">
        <v>44174</v>
      </c>
      <c r="B1410">
        <v>634.20000000000005</v>
      </c>
    </row>
    <row r="1411" spans="1:2" x14ac:dyDescent="0.35">
      <c r="A1411" s="2">
        <v>44175</v>
      </c>
      <c r="B1411">
        <v>627.04999999999995</v>
      </c>
    </row>
    <row r="1412" spans="1:2" x14ac:dyDescent="0.35">
      <c r="A1412" s="2">
        <v>44176</v>
      </c>
      <c r="B1412">
        <v>613.25</v>
      </c>
    </row>
    <row r="1413" spans="1:2" x14ac:dyDescent="0.35">
      <c r="A1413" s="2">
        <v>44179</v>
      </c>
      <c r="B1413">
        <v>615.9</v>
      </c>
    </row>
    <row r="1414" spans="1:2" x14ac:dyDescent="0.35">
      <c r="A1414" s="2">
        <v>44180</v>
      </c>
      <c r="B1414">
        <v>607.1</v>
      </c>
    </row>
    <row r="1415" spans="1:2" x14ac:dyDescent="0.35">
      <c r="A1415" s="2">
        <v>44181</v>
      </c>
      <c r="B1415">
        <v>606.1</v>
      </c>
    </row>
    <row r="1416" spans="1:2" x14ac:dyDescent="0.35">
      <c r="A1416" s="2">
        <v>44182</v>
      </c>
      <c r="B1416">
        <v>605.4</v>
      </c>
    </row>
    <row r="1417" spans="1:2" x14ac:dyDescent="0.35">
      <c r="A1417" s="2">
        <v>44183</v>
      </c>
      <c r="B1417">
        <v>609.5</v>
      </c>
    </row>
    <row r="1418" spans="1:2" x14ac:dyDescent="0.35">
      <c r="A1418" s="2">
        <v>44186</v>
      </c>
      <c r="B1418">
        <v>582.5</v>
      </c>
    </row>
    <row r="1419" spans="1:2" x14ac:dyDescent="0.35">
      <c r="A1419" s="2">
        <v>44187</v>
      </c>
      <c r="B1419">
        <v>589.75</v>
      </c>
    </row>
    <row r="1420" spans="1:2" x14ac:dyDescent="0.35">
      <c r="A1420" s="2">
        <v>44188</v>
      </c>
      <c r="B1420">
        <v>592.45000000000005</v>
      </c>
    </row>
    <row r="1421" spans="1:2" x14ac:dyDescent="0.35">
      <c r="A1421" s="2">
        <v>44189</v>
      </c>
      <c r="B1421">
        <v>610.20000000000005</v>
      </c>
    </row>
    <row r="1422" spans="1:2" x14ac:dyDescent="0.35">
      <c r="A1422" s="2">
        <v>44193</v>
      </c>
      <c r="B1422">
        <v>617.65</v>
      </c>
    </row>
    <row r="1423" spans="1:2" x14ac:dyDescent="0.35">
      <c r="A1423" s="2">
        <v>44194</v>
      </c>
      <c r="B1423">
        <v>630.20000000000005</v>
      </c>
    </row>
    <row r="1424" spans="1:2" x14ac:dyDescent="0.35">
      <c r="A1424" s="2">
        <v>44195</v>
      </c>
      <c r="B1424">
        <v>625.1</v>
      </c>
    </row>
    <row r="1425" spans="1:2" x14ac:dyDescent="0.35">
      <c r="A1425" s="2">
        <v>44196</v>
      </c>
      <c r="B1425">
        <v>620.45000000000005</v>
      </c>
    </row>
    <row r="1426" spans="1:2" x14ac:dyDescent="0.35">
      <c r="A1426" s="2">
        <v>44197</v>
      </c>
      <c r="B1426">
        <v>623.79999999999995</v>
      </c>
    </row>
    <row r="1427" spans="1:2" x14ac:dyDescent="0.35">
      <c r="A1427" s="2">
        <v>44200</v>
      </c>
      <c r="B1427">
        <v>624.70000000000005</v>
      </c>
    </row>
    <row r="1428" spans="1:2" x14ac:dyDescent="0.35">
      <c r="A1428" s="2">
        <v>44201</v>
      </c>
      <c r="B1428">
        <v>664.45</v>
      </c>
    </row>
    <row r="1429" spans="1:2" x14ac:dyDescent="0.35">
      <c r="A1429" s="2">
        <v>44202</v>
      </c>
      <c r="B1429">
        <v>654.25</v>
      </c>
    </row>
    <row r="1430" spans="1:2" x14ac:dyDescent="0.35">
      <c r="A1430" s="2">
        <v>44203</v>
      </c>
      <c r="B1430">
        <v>671.1</v>
      </c>
    </row>
    <row r="1431" spans="1:2" x14ac:dyDescent="0.35">
      <c r="A1431" s="2">
        <v>44204</v>
      </c>
      <c r="B1431">
        <v>672.7</v>
      </c>
    </row>
    <row r="1432" spans="1:2" x14ac:dyDescent="0.35">
      <c r="A1432" s="2">
        <v>44207</v>
      </c>
      <c r="B1432">
        <v>666.95</v>
      </c>
    </row>
    <row r="1433" spans="1:2" x14ac:dyDescent="0.35">
      <c r="A1433" s="2">
        <v>44208</v>
      </c>
      <c r="B1433">
        <v>675.7</v>
      </c>
    </row>
    <row r="1434" spans="1:2" x14ac:dyDescent="0.35">
      <c r="A1434" s="2">
        <v>44209</v>
      </c>
      <c r="B1434">
        <v>687.8</v>
      </c>
    </row>
    <row r="1435" spans="1:2" x14ac:dyDescent="0.35">
      <c r="A1435" s="2">
        <v>44210</v>
      </c>
      <c r="B1435">
        <v>676</v>
      </c>
    </row>
    <row r="1436" spans="1:2" x14ac:dyDescent="0.35">
      <c r="A1436" s="2">
        <v>44211</v>
      </c>
      <c r="B1436">
        <v>674.85</v>
      </c>
    </row>
    <row r="1437" spans="1:2" x14ac:dyDescent="0.35">
      <c r="A1437" s="2">
        <v>44214</v>
      </c>
      <c r="B1437">
        <v>657</v>
      </c>
    </row>
    <row r="1438" spans="1:2" x14ac:dyDescent="0.35">
      <c r="A1438" s="2">
        <v>44215</v>
      </c>
      <c r="B1438">
        <v>668.75</v>
      </c>
    </row>
    <row r="1439" spans="1:2" x14ac:dyDescent="0.35">
      <c r="A1439" s="2">
        <v>44216</v>
      </c>
      <c r="B1439">
        <v>675.75</v>
      </c>
    </row>
    <row r="1440" spans="1:2" x14ac:dyDescent="0.35">
      <c r="A1440" s="2">
        <v>44217</v>
      </c>
      <c r="B1440">
        <v>675.85</v>
      </c>
    </row>
    <row r="1441" spans="1:2" x14ac:dyDescent="0.35">
      <c r="A1441" s="2">
        <v>44218</v>
      </c>
      <c r="B1441">
        <v>644.5</v>
      </c>
    </row>
    <row r="1442" spans="1:2" x14ac:dyDescent="0.35">
      <c r="A1442" s="2">
        <v>44221</v>
      </c>
      <c r="B1442">
        <v>658.4</v>
      </c>
    </row>
    <row r="1443" spans="1:2" x14ac:dyDescent="0.35">
      <c r="A1443" s="2">
        <v>44223</v>
      </c>
      <c r="B1443">
        <v>632.1</v>
      </c>
    </row>
    <row r="1444" spans="1:2" x14ac:dyDescent="0.35">
      <c r="A1444" s="2">
        <v>44224</v>
      </c>
      <c r="B1444">
        <v>670.7</v>
      </c>
    </row>
    <row r="1445" spans="1:2" x14ac:dyDescent="0.35">
      <c r="A1445" s="2">
        <v>44225</v>
      </c>
      <c r="B1445">
        <v>662.9</v>
      </c>
    </row>
    <row r="1446" spans="1:2" x14ac:dyDescent="0.35">
      <c r="A1446" s="2">
        <v>44228</v>
      </c>
      <c r="B1446">
        <v>709.35</v>
      </c>
    </row>
    <row r="1447" spans="1:2" x14ac:dyDescent="0.35">
      <c r="A1447" s="2">
        <v>44229</v>
      </c>
      <c r="B1447">
        <v>714.2</v>
      </c>
    </row>
    <row r="1448" spans="1:2" x14ac:dyDescent="0.35">
      <c r="A1448" s="2">
        <v>44230</v>
      </c>
      <c r="B1448">
        <v>733.8</v>
      </c>
    </row>
    <row r="1449" spans="1:2" x14ac:dyDescent="0.35">
      <c r="A1449" s="2">
        <v>44231</v>
      </c>
      <c r="B1449">
        <v>743.9</v>
      </c>
    </row>
    <row r="1450" spans="1:2" x14ac:dyDescent="0.35">
      <c r="A1450" s="2">
        <v>44232</v>
      </c>
      <c r="B1450">
        <v>719.6</v>
      </c>
    </row>
    <row r="1451" spans="1:2" x14ac:dyDescent="0.35">
      <c r="A1451" s="2">
        <v>44235</v>
      </c>
      <c r="B1451">
        <v>736.15</v>
      </c>
    </row>
    <row r="1452" spans="1:2" x14ac:dyDescent="0.35">
      <c r="A1452" s="2">
        <v>44236</v>
      </c>
      <c r="B1452">
        <v>742.5</v>
      </c>
    </row>
    <row r="1453" spans="1:2" x14ac:dyDescent="0.35">
      <c r="A1453" s="2">
        <v>44237</v>
      </c>
      <c r="B1453">
        <v>734.8</v>
      </c>
    </row>
    <row r="1454" spans="1:2" x14ac:dyDescent="0.35">
      <c r="A1454" s="2">
        <v>44238</v>
      </c>
      <c r="B1454">
        <v>740.1</v>
      </c>
    </row>
    <row r="1455" spans="1:2" x14ac:dyDescent="0.35">
      <c r="A1455" s="2">
        <v>44239</v>
      </c>
      <c r="B1455">
        <v>750.4</v>
      </c>
    </row>
    <row r="1456" spans="1:2" x14ac:dyDescent="0.35">
      <c r="A1456" s="2">
        <v>44242</v>
      </c>
      <c r="B1456">
        <v>794</v>
      </c>
    </row>
    <row r="1457" spans="1:2" x14ac:dyDescent="0.35">
      <c r="A1457" s="2">
        <v>44243</v>
      </c>
      <c r="B1457">
        <v>775.05</v>
      </c>
    </row>
    <row r="1458" spans="1:2" x14ac:dyDescent="0.35">
      <c r="A1458" s="2">
        <v>44244</v>
      </c>
      <c r="B1458">
        <v>777.75</v>
      </c>
    </row>
    <row r="1459" spans="1:2" x14ac:dyDescent="0.35">
      <c r="A1459" s="2">
        <v>44245</v>
      </c>
      <c r="B1459">
        <v>777</v>
      </c>
    </row>
    <row r="1460" spans="1:2" x14ac:dyDescent="0.35">
      <c r="A1460" s="2">
        <v>44246</v>
      </c>
      <c r="B1460">
        <v>749.65</v>
      </c>
    </row>
    <row r="1461" spans="1:2" x14ac:dyDescent="0.35">
      <c r="A1461" s="2">
        <v>44249</v>
      </c>
      <c r="B1461">
        <v>719.45</v>
      </c>
    </row>
    <row r="1462" spans="1:2" x14ac:dyDescent="0.35">
      <c r="A1462" s="2">
        <v>44250</v>
      </c>
      <c r="B1462">
        <v>715.95</v>
      </c>
    </row>
    <row r="1463" spans="1:2" x14ac:dyDescent="0.35">
      <c r="A1463" s="2">
        <v>44251</v>
      </c>
      <c r="B1463">
        <v>749.4</v>
      </c>
    </row>
    <row r="1464" spans="1:2" x14ac:dyDescent="0.35">
      <c r="A1464" s="2">
        <v>44252</v>
      </c>
      <c r="B1464">
        <v>770.65</v>
      </c>
    </row>
    <row r="1465" spans="1:2" x14ac:dyDescent="0.35">
      <c r="A1465" s="2">
        <v>44253</v>
      </c>
      <c r="B1465">
        <v>724.8</v>
      </c>
    </row>
    <row r="1466" spans="1:2" x14ac:dyDescent="0.35">
      <c r="A1466" s="2">
        <v>44256</v>
      </c>
      <c r="B1466">
        <v>728.55</v>
      </c>
    </row>
    <row r="1467" spans="1:2" x14ac:dyDescent="0.35">
      <c r="A1467" s="2">
        <v>44257</v>
      </c>
      <c r="B1467">
        <v>731.25</v>
      </c>
    </row>
    <row r="1468" spans="1:2" x14ac:dyDescent="0.35">
      <c r="A1468" s="2">
        <v>44258</v>
      </c>
      <c r="B1468">
        <v>753.95</v>
      </c>
    </row>
    <row r="1469" spans="1:2" x14ac:dyDescent="0.35">
      <c r="A1469" s="2">
        <v>44259</v>
      </c>
      <c r="B1469">
        <v>736.8</v>
      </c>
    </row>
    <row r="1470" spans="1:2" x14ac:dyDescent="0.35">
      <c r="A1470" s="2">
        <v>44260</v>
      </c>
      <c r="B1470">
        <v>730.75</v>
      </c>
    </row>
    <row r="1471" spans="1:2" x14ac:dyDescent="0.35">
      <c r="A1471" s="2">
        <v>44263</v>
      </c>
      <c r="B1471">
        <v>743.3</v>
      </c>
    </row>
    <row r="1472" spans="1:2" x14ac:dyDescent="0.35">
      <c r="A1472" s="2">
        <v>44264</v>
      </c>
      <c r="B1472">
        <v>745.45</v>
      </c>
    </row>
    <row r="1473" spans="1:2" x14ac:dyDescent="0.35">
      <c r="A1473" s="2">
        <v>44265</v>
      </c>
      <c r="B1473">
        <v>760.75</v>
      </c>
    </row>
    <row r="1474" spans="1:2" x14ac:dyDescent="0.35">
      <c r="A1474" s="2">
        <v>44267</v>
      </c>
      <c r="B1474">
        <v>750.6</v>
      </c>
    </row>
    <row r="1475" spans="1:2" x14ac:dyDescent="0.35">
      <c r="A1475" s="2">
        <v>44270</v>
      </c>
      <c r="B1475">
        <v>744.4</v>
      </c>
    </row>
    <row r="1476" spans="1:2" x14ac:dyDescent="0.35">
      <c r="A1476" s="2">
        <v>44271</v>
      </c>
      <c r="B1476">
        <v>737.75</v>
      </c>
    </row>
    <row r="1477" spans="1:2" x14ac:dyDescent="0.35">
      <c r="A1477" s="2">
        <v>44272</v>
      </c>
      <c r="B1477">
        <v>727.9</v>
      </c>
    </row>
    <row r="1478" spans="1:2" x14ac:dyDescent="0.35">
      <c r="A1478" s="2">
        <v>44273</v>
      </c>
      <c r="B1478">
        <v>718.75</v>
      </c>
    </row>
    <row r="1479" spans="1:2" x14ac:dyDescent="0.35">
      <c r="A1479" s="2">
        <v>44274</v>
      </c>
      <c r="B1479">
        <v>726.25</v>
      </c>
    </row>
    <row r="1480" spans="1:2" x14ac:dyDescent="0.35">
      <c r="A1480" s="2">
        <v>44277</v>
      </c>
      <c r="B1480">
        <v>716.2</v>
      </c>
    </row>
    <row r="1481" spans="1:2" x14ac:dyDescent="0.35">
      <c r="A1481" s="2">
        <v>44278</v>
      </c>
      <c r="B1481">
        <v>730.55</v>
      </c>
    </row>
    <row r="1482" spans="1:2" x14ac:dyDescent="0.35">
      <c r="A1482" s="2">
        <v>44279</v>
      </c>
      <c r="B1482">
        <v>706.4</v>
      </c>
    </row>
    <row r="1483" spans="1:2" x14ac:dyDescent="0.35">
      <c r="A1483" s="2">
        <v>44280</v>
      </c>
      <c r="B1483">
        <v>694.6</v>
      </c>
    </row>
    <row r="1484" spans="1:2" x14ac:dyDescent="0.35">
      <c r="A1484" s="2">
        <v>44281</v>
      </c>
      <c r="B1484">
        <v>698.2</v>
      </c>
    </row>
    <row r="1485" spans="1:2" x14ac:dyDescent="0.35">
      <c r="A1485" s="2">
        <v>44285</v>
      </c>
      <c r="B1485">
        <v>695.35</v>
      </c>
    </row>
    <row r="1486" spans="1:2" x14ac:dyDescent="0.35">
      <c r="A1486" s="2">
        <v>44286</v>
      </c>
      <c r="B1486">
        <v>697.45</v>
      </c>
    </row>
    <row r="1487" spans="1:2" x14ac:dyDescent="0.35">
      <c r="A1487" s="2">
        <v>44287</v>
      </c>
      <c r="B1487">
        <v>713</v>
      </c>
    </row>
    <row r="1488" spans="1:2" x14ac:dyDescent="0.35">
      <c r="A1488" s="2">
        <v>44291</v>
      </c>
      <c r="B1488">
        <v>685.25</v>
      </c>
    </row>
    <row r="1489" spans="1:2" x14ac:dyDescent="0.35">
      <c r="A1489" s="2">
        <v>44292</v>
      </c>
      <c r="B1489">
        <v>677.9</v>
      </c>
    </row>
    <row r="1490" spans="1:2" x14ac:dyDescent="0.35">
      <c r="A1490" s="2">
        <v>44293</v>
      </c>
      <c r="B1490">
        <v>688.25</v>
      </c>
    </row>
    <row r="1491" spans="1:2" x14ac:dyDescent="0.35">
      <c r="A1491" s="2">
        <v>44294</v>
      </c>
      <c r="B1491">
        <v>681.6</v>
      </c>
    </row>
    <row r="1492" spans="1:2" x14ac:dyDescent="0.35">
      <c r="A1492" s="2">
        <v>44295</v>
      </c>
      <c r="B1492">
        <v>668.2</v>
      </c>
    </row>
    <row r="1493" spans="1:2" x14ac:dyDescent="0.35">
      <c r="A1493" s="2">
        <v>44298</v>
      </c>
      <c r="B1493">
        <v>635.6</v>
      </c>
    </row>
    <row r="1494" spans="1:2" x14ac:dyDescent="0.35">
      <c r="A1494" s="2">
        <v>44299</v>
      </c>
      <c r="B1494">
        <v>661</v>
      </c>
    </row>
    <row r="1495" spans="1:2" x14ac:dyDescent="0.35">
      <c r="A1495" s="2">
        <v>44301</v>
      </c>
      <c r="B1495">
        <v>668.85</v>
      </c>
    </row>
    <row r="1496" spans="1:2" x14ac:dyDescent="0.35">
      <c r="A1496" s="2">
        <v>44302</v>
      </c>
      <c r="B1496">
        <v>669.2</v>
      </c>
    </row>
    <row r="1497" spans="1:2" x14ac:dyDescent="0.35">
      <c r="A1497" s="2">
        <v>44305</v>
      </c>
      <c r="B1497">
        <v>648.15</v>
      </c>
    </row>
    <row r="1498" spans="1:2" x14ac:dyDescent="0.35">
      <c r="A1498" s="2">
        <v>44306</v>
      </c>
      <c r="B1498">
        <v>651.75</v>
      </c>
    </row>
    <row r="1499" spans="1:2" x14ac:dyDescent="0.35">
      <c r="A1499" s="2">
        <v>44308</v>
      </c>
      <c r="B1499">
        <v>658.7</v>
      </c>
    </row>
    <row r="1500" spans="1:2" x14ac:dyDescent="0.35">
      <c r="A1500" s="2">
        <v>44309</v>
      </c>
      <c r="B1500">
        <v>671.35</v>
      </c>
    </row>
    <row r="1501" spans="1:2" x14ac:dyDescent="0.35">
      <c r="A1501" s="2">
        <v>44312</v>
      </c>
      <c r="B1501">
        <v>700.45</v>
      </c>
    </row>
    <row r="1502" spans="1:2" x14ac:dyDescent="0.35">
      <c r="A1502" s="2">
        <v>44313</v>
      </c>
      <c r="B1502">
        <v>699.55</v>
      </c>
    </row>
    <row r="1503" spans="1:2" x14ac:dyDescent="0.35">
      <c r="A1503" s="2">
        <v>44314</v>
      </c>
      <c r="B1503">
        <v>708.15</v>
      </c>
    </row>
    <row r="1504" spans="1:2" x14ac:dyDescent="0.35">
      <c r="A1504" s="2">
        <v>44315</v>
      </c>
      <c r="B1504">
        <v>719.4</v>
      </c>
    </row>
    <row r="1505" spans="1:2" x14ac:dyDescent="0.35">
      <c r="A1505" s="2">
        <v>44316</v>
      </c>
      <c r="B1505">
        <v>714.9</v>
      </c>
    </row>
    <row r="1506" spans="1:2" x14ac:dyDescent="0.35">
      <c r="A1506" s="2">
        <v>44319</v>
      </c>
      <c r="B1506">
        <v>702.75</v>
      </c>
    </row>
    <row r="1507" spans="1:2" x14ac:dyDescent="0.35">
      <c r="A1507" s="2">
        <v>44320</v>
      </c>
      <c r="B1507">
        <v>700.35</v>
      </c>
    </row>
    <row r="1508" spans="1:2" x14ac:dyDescent="0.35">
      <c r="A1508" s="2">
        <v>44321</v>
      </c>
      <c r="B1508">
        <v>717.2</v>
      </c>
    </row>
    <row r="1509" spans="1:2" x14ac:dyDescent="0.35">
      <c r="A1509" s="2">
        <v>44322</v>
      </c>
      <c r="B1509">
        <v>715.75</v>
      </c>
    </row>
    <row r="1510" spans="1:2" x14ac:dyDescent="0.35">
      <c r="A1510" s="2">
        <v>44323</v>
      </c>
      <c r="B1510">
        <v>716.75</v>
      </c>
    </row>
    <row r="1511" spans="1:2" x14ac:dyDescent="0.35">
      <c r="A1511" s="2">
        <v>44326</v>
      </c>
      <c r="B1511">
        <v>715.25</v>
      </c>
    </row>
    <row r="1512" spans="1:2" x14ac:dyDescent="0.35">
      <c r="A1512" s="2">
        <v>44327</v>
      </c>
      <c r="B1512">
        <v>707.35</v>
      </c>
    </row>
    <row r="1513" spans="1:2" x14ac:dyDescent="0.35">
      <c r="A1513" s="2">
        <v>44328</v>
      </c>
      <c r="B1513">
        <v>691.3</v>
      </c>
    </row>
    <row r="1514" spans="1:2" x14ac:dyDescent="0.35">
      <c r="A1514" s="2">
        <v>44330</v>
      </c>
      <c r="B1514">
        <v>685</v>
      </c>
    </row>
    <row r="1515" spans="1:2" x14ac:dyDescent="0.35">
      <c r="A1515" s="2">
        <v>44333</v>
      </c>
      <c r="B1515">
        <v>709.25</v>
      </c>
    </row>
    <row r="1516" spans="1:2" x14ac:dyDescent="0.35">
      <c r="A1516" s="2">
        <v>44334</v>
      </c>
      <c r="B1516">
        <v>711.65</v>
      </c>
    </row>
    <row r="1517" spans="1:2" x14ac:dyDescent="0.35">
      <c r="A1517" s="2">
        <v>44335</v>
      </c>
      <c r="B1517">
        <v>716.8</v>
      </c>
    </row>
    <row r="1518" spans="1:2" x14ac:dyDescent="0.35">
      <c r="A1518" s="2">
        <v>44336</v>
      </c>
      <c r="B1518">
        <v>705.9</v>
      </c>
    </row>
    <row r="1519" spans="1:2" x14ac:dyDescent="0.35">
      <c r="A1519" s="2">
        <v>44337</v>
      </c>
      <c r="B1519">
        <v>730.9</v>
      </c>
    </row>
    <row r="1520" spans="1:2" x14ac:dyDescent="0.35">
      <c r="A1520" s="2">
        <v>44340</v>
      </c>
      <c r="B1520">
        <v>741.15</v>
      </c>
    </row>
    <row r="1521" spans="1:2" x14ac:dyDescent="0.35">
      <c r="A1521" s="2">
        <v>44341</v>
      </c>
      <c r="B1521">
        <v>731.55</v>
      </c>
    </row>
    <row r="1522" spans="1:2" x14ac:dyDescent="0.35">
      <c r="A1522" s="2">
        <v>44342</v>
      </c>
      <c r="B1522">
        <v>735.1</v>
      </c>
    </row>
    <row r="1523" spans="1:2" x14ac:dyDescent="0.35">
      <c r="A1523" s="2">
        <v>44343</v>
      </c>
      <c r="B1523">
        <v>750.35</v>
      </c>
    </row>
    <row r="1524" spans="1:2" x14ac:dyDescent="0.35">
      <c r="A1524" s="2">
        <v>44344</v>
      </c>
      <c r="B1524">
        <v>739.85</v>
      </c>
    </row>
    <row r="1525" spans="1:2" x14ac:dyDescent="0.35">
      <c r="A1525" s="2">
        <v>44347</v>
      </c>
      <c r="B1525">
        <v>750.7</v>
      </c>
    </row>
    <row r="1526" spans="1:2" x14ac:dyDescent="0.35">
      <c r="A1526" s="2">
        <v>44348</v>
      </c>
      <c r="B1526">
        <v>745.15</v>
      </c>
    </row>
    <row r="1527" spans="1:2" x14ac:dyDescent="0.35">
      <c r="A1527" s="2">
        <v>44349</v>
      </c>
      <c r="B1527">
        <v>737</v>
      </c>
    </row>
    <row r="1528" spans="1:2" x14ac:dyDescent="0.35">
      <c r="A1528" s="2">
        <v>44350</v>
      </c>
      <c r="B1528">
        <v>750.65</v>
      </c>
    </row>
    <row r="1529" spans="1:2" x14ac:dyDescent="0.35">
      <c r="A1529" s="2">
        <v>44351</v>
      </c>
      <c r="B1529">
        <v>742.05</v>
      </c>
    </row>
    <row r="1530" spans="1:2" x14ac:dyDescent="0.35">
      <c r="A1530" s="2">
        <v>44354</v>
      </c>
      <c r="B1530">
        <v>751.1</v>
      </c>
    </row>
    <row r="1531" spans="1:2" x14ac:dyDescent="0.35">
      <c r="A1531" s="2">
        <v>44355</v>
      </c>
      <c r="B1531">
        <v>746.35</v>
      </c>
    </row>
    <row r="1532" spans="1:2" x14ac:dyDescent="0.35">
      <c r="A1532" s="2">
        <v>44356</v>
      </c>
      <c r="B1532">
        <v>736.75</v>
      </c>
    </row>
    <row r="1533" spans="1:2" x14ac:dyDescent="0.35">
      <c r="A1533" s="2">
        <v>44357</v>
      </c>
      <c r="B1533">
        <v>744.25</v>
      </c>
    </row>
    <row r="1534" spans="1:2" x14ac:dyDescent="0.35">
      <c r="A1534" s="2">
        <v>44358</v>
      </c>
      <c r="B1534">
        <v>738.45</v>
      </c>
    </row>
    <row r="1535" spans="1:2" x14ac:dyDescent="0.35">
      <c r="A1535" s="2">
        <v>44361</v>
      </c>
      <c r="B1535">
        <v>736.25</v>
      </c>
    </row>
    <row r="1536" spans="1:2" x14ac:dyDescent="0.35">
      <c r="A1536" s="2">
        <v>44362</v>
      </c>
      <c r="B1536">
        <v>750.9</v>
      </c>
    </row>
    <row r="1537" spans="1:2" x14ac:dyDescent="0.35">
      <c r="A1537" s="2">
        <v>44363</v>
      </c>
      <c r="B1537">
        <v>749.8</v>
      </c>
    </row>
    <row r="1538" spans="1:2" x14ac:dyDescent="0.35">
      <c r="A1538" s="2">
        <v>44364</v>
      </c>
      <c r="B1538">
        <v>738.6</v>
      </c>
    </row>
    <row r="1539" spans="1:2" x14ac:dyDescent="0.35">
      <c r="A1539" s="2">
        <v>44365</v>
      </c>
      <c r="B1539">
        <v>736.3</v>
      </c>
    </row>
    <row r="1540" spans="1:2" x14ac:dyDescent="0.35">
      <c r="A1540" s="2">
        <v>44368</v>
      </c>
      <c r="B1540">
        <v>739.55</v>
      </c>
    </row>
    <row r="1541" spans="1:2" x14ac:dyDescent="0.35">
      <c r="A1541" s="2">
        <v>44369</v>
      </c>
      <c r="B1541">
        <v>739.35</v>
      </c>
    </row>
    <row r="1542" spans="1:2" x14ac:dyDescent="0.35">
      <c r="A1542" s="2">
        <v>44370</v>
      </c>
      <c r="B1542">
        <v>732.35</v>
      </c>
    </row>
    <row r="1543" spans="1:2" x14ac:dyDescent="0.35">
      <c r="A1543" s="2">
        <v>44371</v>
      </c>
      <c r="B1543">
        <v>739.15</v>
      </c>
    </row>
    <row r="1544" spans="1:2" x14ac:dyDescent="0.35">
      <c r="A1544" s="2">
        <v>44372</v>
      </c>
      <c r="B1544">
        <v>761.35</v>
      </c>
    </row>
    <row r="1545" spans="1:2" x14ac:dyDescent="0.35">
      <c r="A1545" s="2">
        <v>44375</v>
      </c>
      <c r="B1545">
        <v>762.4</v>
      </c>
    </row>
    <row r="1546" spans="1:2" x14ac:dyDescent="0.35">
      <c r="A1546" s="2">
        <v>44376</v>
      </c>
      <c r="B1546">
        <v>751.95</v>
      </c>
    </row>
    <row r="1547" spans="1:2" x14ac:dyDescent="0.35">
      <c r="A1547" s="2">
        <v>44377</v>
      </c>
      <c r="B1547">
        <v>748.3</v>
      </c>
    </row>
    <row r="1548" spans="1:2" x14ac:dyDescent="0.35">
      <c r="A1548" s="2">
        <v>44378</v>
      </c>
      <c r="B1548">
        <v>746.45</v>
      </c>
    </row>
    <row r="1549" spans="1:2" x14ac:dyDescent="0.35">
      <c r="A1549" s="2">
        <v>44379</v>
      </c>
      <c r="B1549">
        <v>750.65</v>
      </c>
    </row>
    <row r="1550" spans="1:2" x14ac:dyDescent="0.35">
      <c r="A1550" s="2">
        <v>44382</v>
      </c>
      <c r="B1550">
        <v>760.35</v>
      </c>
    </row>
    <row r="1551" spans="1:2" x14ac:dyDescent="0.35">
      <c r="A1551" s="2">
        <v>44383</v>
      </c>
      <c r="B1551">
        <v>758.35</v>
      </c>
    </row>
    <row r="1552" spans="1:2" x14ac:dyDescent="0.35">
      <c r="A1552" s="2">
        <v>44384</v>
      </c>
      <c r="B1552">
        <v>762.9</v>
      </c>
    </row>
    <row r="1553" spans="1:2" x14ac:dyDescent="0.35">
      <c r="A1553" s="2">
        <v>44385</v>
      </c>
      <c r="B1553">
        <v>754.4</v>
      </c>
    </row>
    <row r="1554" spans="1:2" x14ac:dyDescent="0.35">
      <c r="A1554" s="2">
        <v>44386</v>
      </c>
      <c r="B1554">
        <v>747.35</v>
      </c>
    </row>
    <row r="1555" spans="1:2" x14ac:dyDescent="0.35">
      <c r="A1555" s="2">
        <v>44389</v>
      </c>
      <c r="B1555">
        <v>753.6</v>
      </c>
    </row>
    <row r="1556" spans="1:2" x14ac:dyDescent="0.35">
      <c r="A1556" s="2">
        <v>44390</v>
      </c>
      <c r="B1556">
        <v>770.75</v>
      </c>
    </row>
    <row r="1557" spans="1:2" x14ac:dyDescent="0.35">
      <c r="A1557" s="2">
        <v>44391</v>
      </c>
      <c r="B1557">
        <v>770.05</v>
      </c>
    </row>
    <row r="1558" spans="1:2" x14ac:dyDescent="0.35">
      <c r="A1558" s="2">
        <v>44392</v>
      </c>
      <c r="B1558">
        <v>774.15</v>
      </c>
    </row>
    <row r="1559" spans="1:2" x14ac:dyDescent="0.35">
      <c r="A1559" s="2">
        <v>44393</v>
      </c>
      <c r="B1559">
        <v>771.15</v>
      </c>
    </row>
    <row r="1560" spans="1:2" x14ac:dyDescent="0.35">
      <c r="A1560" s="2">
        <v>44396</v>
      </c>
      <c r="B1560">
        <v>755.2</v>
      </c>
    </row>
    <row r="1561" spans="1:2" x14ac:dyDescent="0.35">
      <c r="A1561" s="2">
        <v>44397</v>
      </c>
      <c r="B1561">
        <v>745.75</v>
      </c>
    </row>
    <row r="1562" spans="1:2" x14ac:dyDescent="0.35">
      <c r="A1562" s="2">
        <v>44399</v>
      </c>
      <c r="B1562">
        <v>746.75</v>
      </c>
    </row>
    <row r="1563" spans="1:2" x14ac:dyDescent="0.35">
      <c r="A1563" s="2">
        <v>44400</v>
      </c>
      <c r="B1563">
        <v>755.4</v>
      </c>
    </row>
    <row r="1564" spans="1:2" x14ac:dyDescent="0.35">
      <c r="A1564" s="2">
        <v>44403</v>
      </c>
      <c r="B1564">
        <v>756.3</v>
      </c>
    </row>
    <row r="1565" spans="1:2" x14ac:dyDescent="0.35">
      <c r="A1565" s="2">
        <v>44404</v>
      </c>
      <c r="B1565">
        <v>731.7</v>
      </c>
    </row>
    <row r="1566" spans="1:2" x14ac:dyDescent="0.35">
      <c r="A1566" s="2">
        <v>44405</v>
      </c>
      <c r="B1566">
        <v>722.9</v>
      </c>
    </row>
    <row r="1567" spans="1:2" x14ac:dyDescent="0.35">
      <c r="A1567" s="2">
        <v>44406</v>
      </c>
      <c r="B1567">
        <v>717.25</v>
      </c>
    </row>
    <row r="1568" spans="1:2" x14ac:dyDescent="0.35">
      <c r="A1568" s="2">
        <v>44407</v>
      </c>
      <c r="B1568">
        <v>708.9</v>
      </c>
    </row>
    <row r="1569" spans="1:2" x14ac:dyDescent="0.35">
      <c r="A1569" s="2">
        <v>44410</v>
      </c>
      <c r="B1569">
        <v>721.15</v>
      </c>
    </row>
    <row r="1570" spans="1:2" x14ac:dyDescent="0.35">
      <c r="A1570" s="2">
        <v>44411</v>
      </c>
      <c r="B1570">
        <v>738.6</v>
      </c>
    </row>
    <row r="1571" spans="1:2" x14ac:dyDescent="0.35">
      <c r="A1571" s="2">
        <v>44412</v>
      </c>
      <c r="B1571">
        <v>753.8</v>
      </c>
    </row>
    <row r="1572" spans="1:2" x14ac:dyDescent="0.35">
      <c r="A1572" s="2">
        <v>44413</v>
      </c>
      <c r="B1572">
        <v>749.3</v>
      </c>
    </row>
    <row r="1573" spans="1:2" x14ac:dyDescent="0.35">
      <c r="A1573" s="2">
        <v>44414</v>
      </c>
      <c r="B1573">
        <v>740.85</v>
      </c>
    </row>
    <row r="1574" spans="1:2" x14ac:dyDescent="0.35">
      <c r="A1574" s="2">
        <v>44417</v>
      </c>
      <c r="B1574">
        <v>755.5</v>
      </c>
    </row>
    <row r="1575" spans="1:2" x14ac:dyDescent="0.35">
      <c r="A1575" s="2">
        <v>44418</v>
      </c>
      <c r="B1575">
        <v>761.55</v>
      </c>
    </row>
    <row r="1576" spans="1:2" x14ac:dyDescent="0.35">
      <c r="A1576" s="2">
        <v>44419</v>
      </c>
      <c r="B1576">
        <v>760.8</v>
      </c>
    </row>
    <row r="1577" spans="1:2" x14ac:dyDescent="0.35">
      <c r="A1577" s="2">
        <v>44420</v>
      </c>
      <c r="B1577">
        <v>757.35</v>
      </c>
    </row>
    <row r="1578" spans="1:2" x14ac:dyDescent="0.35">
      <c r="A1578" s="2">
        <v>44421</v>
      </c>
      <c r="B1578">
        <v>759.9</v>
      </c>
    </row>
    <row r="1579" spans="1:2" x14ac:dyDescent="0.35">
      <c r="A1579" s="2">
        <v>44424</v>
      </c>
      <c r="B1579">
        <v>762</v>
      </c>
    </row>
    <row r="1580" spans="1:2" x14ac:dyDescent="0.35">
      <c r="A1580" s="2">
        <v>44425</v>
      </c>
      <c r="B1580">
        <v>756.75</v>
      </c>
    </row>
    <row r="1581" spans="1:2" x14ac:dyDescent="0.35">
      <c r="A1581" s="2">
        <v>44426</v>
      </c>
      <c r="B1581">
        <v>754.4</v>
      </c>
    </row>
    <row r="1582" spans="1:2" x14ac:dyDescent="0.35">
      <c r="A1582" s="2">
        <v>44428</v>
      </c>
      <c r="B1582">
        <v>740.25</v>
      </c>
    </row>
    <row r="1583" spans="1:2" x14ac:dyDescent="0.35">
      <c r="A1583" s="2">
        <v>44431</v>
      </c>
      <c r="B1583">
        <v>736.1</v>
      </c>
    </row>
    <row r="1584" spans="1:2" x14ac:dyDescent="0.35">
      <c r="A1584" s="2">
        <v>44432</v>
      </c>
      <c r="B1584">
        <v>746.35</v>
      </c>
    </row>
    <row r="1585" spans="1:2" x14ac:dyDescent="0.35">
      <c r="A1585" s="2">
        <v>44433</v>
      </c>
      <c r="B1585">
        <v>739.05</v>
      </c>
    </row>
    <row r="1586" spans="1:2" x14ac:dyDescent="0.35">
      <c r="A1586" s="2">
        <v>44434</v>
      </c>
      <c r="B1586">
        <v>746.35</v>
      </c>
    </row>
    <row r="1587" spans="1:2" x14ac:dyDescent="0.35">
      <c r="A1587" s="2">
        <v>44435</v>
      </c>
      <c r="B1587">
        <v>752.4</v>
      </c>
    </row>
    <row r="1588" spans="1:2" x14ac:dyDescent="0.35">
      <c r="A1588" s="2">
        <v>44438</v>
      </c>
      <c r="B1588">
        <v>784.05</v>
      </c>
    </row>
    <row r="1589" spans="1:2" x14ac:dyDescent="0.35">
      <c r="A1589" s="2">
        <v>44439</v>
      </c>
      <c r="B1589">
        <v>786.5</v>
      </c>
    </row>
    <row r="1590" spans="1:2" x14ac:dyDescent="0.35">
      <c r="A1590" s="2">
        <v>44440</v>
      </c>
      <c r="B1590">
        <v>798.9</v>
      </c>
    </row>
    <row r="1591" spans="1:2" x14ac:dyDescent="0.35">
      <c r="A1591" s="2">
        <v>44441</v>
      </c>
      <c r="B1591">
        <v>802.7</v>
      </c>
    </row>
    <row r="1592" spans="1:2" x14ac:dyDescent="0.35">
      <c r="A1592" s="2">
        <v>44442</v>
      </c>
      <c r="B1592">
        <v>798</v>
      </c>
    </row>
    <row r="1593" spans="1:2" x14ac:dyDescent="0.35">
      <c r="A1593" s="2">
        <v>44445</v>
      </c>
      <c r="B1593">
        <v>800.8</v>
      </c>
    </row>
    <row r="1594" spans="1:2" x14ac:dyDescent="0.35">
      <c r="A1594" s="2">
        <v>44446</v>
      </c>
      <c r="B1594">
        <v>787.85</v>
      </c>
    </row>
    <row r="1595" spans="1:2" x14ac:dyDescent="0.35">
      <c r="A1595" s="2">
        <v>44447</v>
      </c>
      <c r="B1595">
        <v>794.7</v>
      </c>
    </row>
    <row r="1596" spans="1:2" x14ac:dyDescent="0.35">
      <c r="A1596" s="2">
        <v>44448</v>
      </c>
      <c r="B1596">
        <v>790.15</v>
      </c>
    </row>
    <row r="1597" spans="1:2" x14ac:dyDescent="0.35">
      <c r="A1597" s="2">
        <v>44452</v>
      </c>
      <c r="B1597">
        <v>788.35</v>
      </c>
    </row>
    <row r="1598" spans="1:2" x14ac:dyDescent="0.35">
      <c r="A1598" s="2">
        <v>44453</v>
      </c>
      <c r="B1598">
        <v>794.4</v>
      </c>
    </row>
    <row r="1599" spans="1:2" x14ac:dyDescent="0.35">
      <c r="A1599" s="2">
        <v>44454</v>
      </c>
      <c r="B1599">
        <v>791.4</v>
      </c>
    </row>
    <row r="1600" spans="1:2" x14ac:dyDescent="0.35">
      <c r="A1600" s="2">
        <v>44455</v>
      </c>
      <c r="B1600">
        <v>802.6</v>
      </c>
    </row>
    <row r="1601" spans="1:2" x14ac:dyDescent="0.35">
      <c r="A1601" s="2">
        <v>44456</v>
      </c>
      <c r="B1601">
        <v>807.35</v>
      </c>
    </row>
    <row r="1602" spans="1:2" x14ac:dyDescent="0.35">
      <c r="A1602" s="2">
        <v>44459</v>
      </c>
      <c r="B1602">
        <v>795.85</v>
      </c>
    </row>
    <row r="1603" spans="1:2" x14ac:dyDescent="0.35">
      <c r="A1603" s="2">
        <v>44460</v>
      </c>
      <c r="B1603">
        <v>795.35</v>
      </c>
    </row>
    <row r="1604" spans="1:2" x14ac:dyDescent="0.35">
      <c r="A1604" s="2">
        <v>44461</v>
      </c>
      <c r="B1604">
        <v>788.35</v>
      </c>
    </row>
    <row r="1605" spans="1:2" x14ac:dyDescent="0.35">
      <c r="A1605" s="2">
        <v>44462</v>
      </c>
      <c r="B1605">
        <v>812.15</v>
      </c>
    </row>
    <row r="1606" spans="1:2" x14ac:dyDescent="0.35">
      <c r="A1606" s="2">
        <v>44463</v>
      </c>
      <c r="B1606">
        <v>798.05</v>
      </c>
    </row>
    <row r="1607" spans="1:2" x14ac:dyDescent="0.35">
      <c r="A1607" s="2">
        <v>44466</v>
      </c>
      <c r="B1607">
        <v>796.95</v>
      </c>
    </row>
    <row r="1608" spans="1:2" x14ac:dyDescent="0.35">
      <c r="A1608" s="2">
        <v>44467</v>
      </c>
      <c r="B1608">
        <v>789.2</v>
      </c>
    </row>
    <row r="1609" spans="1:2" x14ac:dyDescent="0.35">
      <c r="A1609" s="2">
        <v>44468</v>
      </c>
      <c r="B1609">
        <v>782.15</v>
      </c>
    </row>
    <row r="1610" spans="1:2" x14ac:dyDescent="0.35">
      <c r="A1610" s="2">
        <v>44469</v>
      </c>
      <c r="B1610">
        <v>766.55</v>
      </c>
    </row>
    <row r="1611" spans="1:2" x14ac:dyDescent="0.35">
      <c r="A1611" s="2">
        <v>44470</v>
      </c>
      <c r="B1611">
        <v>768.15</v>
      </c>
    </row>
    <row r="1612" spans="1:2" x14ac:dyDescent="0.35">
      <c r="A1612" s="2">
        <v>44473</v>
      </c>
      <c r="B1612">
        <v>779</v>
      </c>
    </row>
    <row r="1613" spans="1:2" x14ac:dyDescent="0.35">
      <c r="A1613" s="2">
        <v>44474</v>
      </c>
      <c r="B1613">
        <v>782.6</v>
      </c>
    </row>
    <row r="1614" spans="1:2" x14ac:dyDescent="0.35">
      <c r="A1614" s="2">
        <v>44475</v>
      </c>
      <c r="B1614">
        <v>778.95</v>
      </c>
    </row>
    <row r="1615" spans="1:2" x14ac:dyDescent="0.35">
      <c r="A1615" s="2">
        <v>44476</v>
      </c>
      <c r="B1615">
        <v>777.1</v>
      </c>
    </row>
    <row r="1616" spans="1:2" x14ac:dyDescent="0.35">
      <c r="A1616" s="2">
        <v>44477</v>
      </c>
      <c r="B1616">
        <v>781.95</v>
      </c>
    </row>
    <row r="1617" spans="1:2" x14ac:dyDescent="0.35">
      <c r="A1617" s="2">
        <v>44480</v>
      </c>
      <c r="B1617">
        <v>787.15</v>
      </c>
    </row>
    <row r="1618" spans="1:2" x14ac:dyDescent="0.35">
      <c r="A1618" s="2">
        <v>44481</v>
      </c>
      <c r="B1618">
        <v>797.15</v>
      </c>
    </row>
    <row r="1619" spans="1:2" x14ac:dyDescent="0.35">
      <c r="A1619" s="2">
        <v>44482</v>
      </c>
      <c r="B1619">
        <v>794.6</v>
      </c>
    </row>
    <row r="1620" spans="1:2" x14ac:dyDescent="0.35">
      <c r="A1620" s="2">
        <v>44483</v>
      </c>
      <c r="B1620">
        <v>802.05</v>
      </c>
    </row>
    <row r="1621" spans="1:2" x14ac:dyDescent="0.35">
      <c r="A1621" s="2">
        <v>44487</v>
      </c>
      <c r="B1621">
        <v>813.3</v>
      </c>
    </row>
    <row r="1622" spans="1:2" x14ac:dyDescent="0.35">
      <c r="A1622" s="2">
        <v>44488</v>
      </c>
      <c r="B1622">
        <v>801.65</v>
      </c>
    </row>
    <row r="1623" spans="1:2" x14ac:dyDescent="0.35">
      <c r="A1623" s="2">
        <v>44489</v>
      </c>
      <c r="B1623">
        <v>804.8</v>
      </c>
    </row>
    <row r="1624" spans="1:2" x14ac:dyDescent="0.35">
      <c r="A1624" s="2">
        <v>44490</v>
      </c>
      <c r="B1624">
        <v>807.8</v>
      </c>
    </row>
    <row r="1625" spans="1:2" x14ac:dyDescent="0.35">
      <c r="A1625" s="2">
        <v>44491</v>
      </c>
      <c r="B1625">
        <v>816.7</v>
      </c>
    </row>
    <row r="1626" spans="1:2" x14ac:dyDescent="0.35">
      <c r="A1626" s="2">
        <v>44494</v>
      </c>
      <c r="B1626">
        <v>845.1</v>
      </c>
    </row>
    <row r="1627" spans="1:2" x14ac:dyDescent="0.35">
      <c r="A1627" s="2">
        <v>44495</v>
      </c>
      <c r="B1627">
        <v>841.9</v>
      </c>
    </row>
    <row r="1628" spans="1:2" x14ac:dyDescent="0.35">
      <c r="A1628" s="2">
        <v>44496</v>
      </c>
      <c r="B1628">
        <v>787.5</v>
      </c>
    </row>
    <row r="1629" spans="1:2" x14ac:dyDescent="0.35">
      <c r="A1629" s="2">
        <v>44497</v>
      </c>
      <c r="B1629">
        <v>758.35</v>
      </c>
    </row>
    <row r="1630" spans="1:2" x14ac:dyDescent="0.35">
      <c r="A1630" s="2">
        <v>44498</v>
      </c>
      <c r="B1630">
        <v>742</v>
      </c>
    </row>
    <row r="1631" spans="1:2" x14ac:dyDescent="0.35">
      <c r="A1631" s="2">
        <v>44501</v>
      </c>
      <c r="B1631">
        <v>752.35</v>
      </c>
    </row>
    <row r="1632" spans="1:2" x14ac:dyDescent="0.35">
      <c r="A1632" s="2">
        <v>44502</v>
      </c>
      <c r="B1632">
        <v>755.85</v>
      </c>
    </row>
    <row r="1633" spans="1:2" x14ac:dyDescent="0.35">
      <c r="A1633" s="2">
        <v>44503</v>
      </c>
      <c r="B1633">
        <v>750.6</v>
      </c>
    </row>
    <row r="1634" spans="1:2" x14ac:dyDescent="0.35">
      <c r="A1634" s="2">
        <v>44504</v>
      </c>
      <c r="B1634">
        <v>752.95</v>
      </c>
    </row>
    <row r="1635" spans="1:2" x14ac:dyDescent="0.35">
      <c r="A1635" s="2">
        <v>44508</v>
      </c>
      <c r="B1635">
        <v>751.05</v>
      </c>
    </row>
    <row r="1636" spans="1:2" x14ac:dyDescent="0.35">
      <c r="A1636" s="2">
        <v>44509</v>
      </c>
      <c r="B1636">
        <v>745.05</v>
      </c>
    </row>
    <row r="1637" spans="1:2" x14ac:dyDescent="0.35">
      <c r="A1637" s="2">
        <v>44510</v>
      </c>
      <c r="B1637">
        <v>749.35</v>
      </c>
    </row>
    <row r="1638" spans="1:2" x14ac:dyDescent="0.35">
      <c r="A1638" s="2">
        <v>44511</v>
      </c>
      <c r="B1638">
        <v>738.05</v>
      </c>
    </row>
    <row r="1639" spans="1:2" x14ac:dyDescent="0.35">
      <c r="A1639" s="2">
        <v>44512</v>
      </c>
      <c r="B1639">
        <v>736.05</v>
      </c>
    </row>
    <row r="1640" spans="1:2" x14ac:dyDescent="0.35">
      <c r="A1640" s="2">
        <v>44515</v>
      </c>
      <c r="B1640">
        <v>733.25</v>
      </c>
    </row>
    <row r="1641" spans="1:2" x14ac:dyDescent="0.35">
      <c r="A1641" s="2">
        <v>44516</v>
      </c>
      <c r="B1641">
        <v>726.15</v>
      </c>
    </row>
    <row r="1642" spans="1:2" x14ac:dyDescent="0.35">
      <c r="A1642" s="2">
        <v>44517</v>
      </c>
      <c r="B1642">
        <v>712.35</v>
      </c>
    </row>
    <row r="1643" spans="1:2" x14ac:dyDescent="0.35">
      <c r="A1643" s="2">
        <v>44518</v>
      </c>
      <c r="B1643">
        <v>706.35</v>
      </c>
    </row>
    <row r="1644" spans="1:2" x14ac:dyDescent="0.35">
      <c r="A1644" s="2">
        <v>44522</v>
      </c>
      <c r="B1644">
        <v>686.4</v>
      </c>
    </row>
    <row r="1645" spans="1:2" x14ac:dyDescent="0.35">
      <c r="A1645" s="2">
        <v>44523</v>
      </c>
      <c r="B1645">
        <v>685.65</v>
      </c>
    </row>
    <row r="1646" spans="1:2" x14ac:dyDescent="0.35">
      <c r="A1646" s="2">
        <v>44524</v>
      </c>
      <c r="B1646">
        <v>685.15</v>
      </c>
    </row>
    <row r="1647" spans="1:2" x14ac:dyDescent="0.35">
      <c r="A1647" s="2">
        <v>44525</v>
      </c>
      <c r="B1647">
        <v>679.9</v>
      </c>
    </row>
    <row r="1648" spans="1:2" x14ac:dyDescent="0.35">
      <c r="A1648" s="2">
        <v>44526</v>
      </c>
      <c r="B1648">
        <v>661.75</v>
      </c>
    </row>
    <row r="1649" spans="1:2" x14ac:dyDescent="0.35">
      <c r="A1649" s="2">
        <v>44529</v>
      </c>
      <c r="B1649">
        <v>651.1</v>
      </c>
    </row>
    <row r="1650" spans="1:2" x14ac:dyDescent="0.35">
      <c r="A1650" s="2">
        <v>44530</v>
      </c>
      <c r="B1650">
        <v>655.65</v>
      </c>
    </row>
    <row r="1651" spans="1:2" x14ac:dyDescent="0.35">
      <c r="A1651" s="2">
        <v>44531</v>
      </c>
      <c r="B1651">
        <v>679.6</v>
      </c>
    </row>
    <row r="1652" spans="1:2" x14ac:dyDescent="0.35">
      <c r="A1652" s="2">
        <v>44532</v>
      </c>
      <c r="B1652">
        <v>676.1</v>
      </c>
    </row>
    <row r="1653" spans="1:2" x14ac:dyDescent="0.35">
      <c r="A1653" s="2">
        <v>44533</v>
      </c>
      <c r="B1653">
        <v>673</v>
      </c>
    </row>
    <row r="1654" spans="1:2" x14ac:dyDescent="0.35">
      <c r="A1654" s="2">
        <v>44536</v>
      </c>
      <c r="B1654">
        <v>663.1</v>
      </c>
    </row>
    <row r="1655" spans="1:2" x14ac:dyDescent="0.35">
      <c r="A1655" s="2">
        <v>44537</v>
      </c>
      <c r="B1655">
        <v>687</v>
      </c>
    </row>
    <row r="1656" spans="1:2" x14ac:dyDescent="0.35">
      <c r="A1656" s="2">
        <v>44538</v>
      </c>
      <c r="B1656">
        <v>697.1</v>
      </c>
    </row>
    <row r="1657" spans="1:2" x14ac:dyDescent="0.35">
      <c r="A1657" s="2">
        <v>44539</v>
      </c>
      <c r="B1657">
        <v>693.95</v>
      </c>
    </row>
    <row r="1658" spans="1:2" x14ac:dyDescent="0.35">
      <c r="A1658" s="2">
        <v>44540</v>
      </c>
      <c r="B1658">
        <v>688.05</v>
      </c>
    </row>
    <row r="1659" spans="1:2" x14ac:dyDescent="0.35">
      <c r="A1659" s="2">
        <v>44543</v>
      </c>
      <c r="B1659">
        <v>704</v>
      </c>
    </row>
    <row r="1660" spans="1:2" x14ac:dyDescent="0.35">
      <c r="A1660" s="2">
        <v>44544</v>
      </c>
      <c r="B1660">
        <v>710.9</v>
      </c>
    </row>
    <row r="1661" spans="1:2" x14ac:dyDescent="0.35">
      <c r="A1661" s="2">
        <v>44545</v>
      </c>
      <c r="B1661">
        <v>712.5</v>
      </c>
    </row>
    <row r="1662" spans="1:2" x14ac:dyDescent="0.35">
      <c r="A1662" s="2">
        <v>44546</v>
      </c>
      <c r="B1662">
        <v>709.65</v>
      </c>
    </row>
    <row r="1663" spans="1:2" x14ac:dyDescent="0.35">
      <c r="A1663" s="2">
        <v>44547</v>
      </c>
      <c r="B1663">
        <v>688.9</v>
      </c>
    </row>
    <row r="1664" spans="1:2" x14ac:dyDescent="0.35">
      <c r="A1664" s="2">
        <v>44550</v>
      </c>
      <c r="B1664">
        <v>674.35</v>
      </c>
    </row>
    <row r="1665" spans="1:2" x14ac:dyDescent="0.35">
      <c r="A1665" s="2">
        <v>44551</v>
      </c>
      <c r="B1665">
        <v>665.85</v>
      </c>
    </row>
    <row r="1666" spans="1:2" x14ac:dyDescent="0.35">
      <c r="A1666" s="2">
        <v>44552</v>
      </c>
      <c r="B1666">
        <v>669.35</v>
      </c>
    </row>
    <row r="1667" spans="1:2" x14ac:dyDescent="0.35">
      <c r="A1667" s="2">
        <v>44553</v>
      </c>
      <c r="B1667">
        <v>678.8</v>
      </c>
    </row>
    <row r="1668" spans="1:2" x14ac:dyDescent="0.35">
      <c r="A1668" s="2">
        <v>44554</v>
      </c>
      <c r="B1668">
        <v>667.5</v>
      </c>
    </row>
    <row r="1669" spans="1:2" x14ac:dyDescent="0.35">
      <c r="A1669" s="2">
        <v>44557</v>
      </c>
      <c r="B1669">
        <v>672.15</v>
      </c>
    </row>
    <row r="1670" spans="1:2" x14ac:dyDescent="0.35">
      <c r="A1670" s="2">
        <v>44558</v>
      </c>
      <c r="B1670">
        <v>675.45</v>
      </c>
    </row>
    <row r="1671" spans="1:2" x14ac:dyDescent="0.35">
      <c r="A1671" s="2">
        <v>44559</v>
      </c>
      <c r="B1671">
        <v>670.5</v>
      </c>
    </row>
    <row r="1672" spans="1:2" x14ac:dyDescent="0.35">
      <c r="A1672" s="2">
        <v>44560</v>
      </c>
      <c r="B1672">
        <v>668.85</v>
      </c>
    </row>
    <row r="1673" spans="1:2" x14ac:dyDescent="0.35">
      <c r="A1673" s="2">
        <v>44561</v>
      </c>
      <c r="B1673">
        <v>678.55</v>
      </c>
    </row>
    <row r="1674" spans="1:2" x14ac:dyDescent="0.35">
      <c r="A1674" s="2">
        <v>44564</v>
      </c>
      <c r="B1674">
        <v>696.35</v>
      </c>
    </row>
    <row r="1675" spans="1:2" x14ac:dyDescent="0.35">
      <c r="A1675" s="2">
        <v>44565</v>
      </c>
      <c r="B1675">
        <v>709.15</v>
      </c>
    </row>
    <row r="1676" spans="1:2" x14ac:dyDescent="0.35">
      <c r="A1676" s="2">
        <v>44566</v>
      </c>
      <c r="B1676">
        <v>726.9</v>
      </c>
    </row>
    <row r="1677" spans="1:2" x14ac:dyDescent="0.35">
      <c r="A1677" s="2">
        <v>44567</v>
      </c>
      <c r="B1677">
        <v>730.3</v>
      </c>
    </row>
    <row r="1678" spans="1:2" x14ac:dyDescent="0.35">
      <c r="A1678" s="2">
        <v>44568</v>
      </c>
      <c r="B1678">
        <v>730.6</v>
      </c>
    </row>
    <row r="1679" spans="1:2" x14ac:dyDescent="0.35">
      <c r="A1679" s="2">
        <v>44571</v>
      </c>
      <c r="B1679">
        <v>742.8</v>
      </c>
    </row>
    <row r="1680" spans="1:2" x14ac:dyDescent="0.35">
      <c r="A1680" s="2">
        <v>44572</v>
      </c>
      <c r="B1680">
        <v>743.25</v>
      </c>
    </row>
    <row r="1681" spans="1:2" x14ac:dyDescent="0.35">
      <c r="A1681" s="2">
        <v>44573</v>
      </c>
      <c r="B1681">
        <v>746.85</v>
      </c>
    </row>
    <row r="1682" spans="1:2" x14ac:dyDescent="0.35">
      <c r="A1682" s="2">
        <v>44574</v>
      </c>
      <c r="B1682">
        <v>740.7</v>
      </c>
    </row>
    <row r="1683" spans="1:2" x14ac:dyDescent="0.35">
      <c r="A1683" s="2">
        <v>44575</v>
      </c>
      <c r="B1683">
        <v>721.7</v>
      </c>
    </row>
    <row r="1684" spans="1:2" x14ac:dyDescent="0.35">
      <c r="A1684" s="2">
        <v>44578</v>
      </c>
      <c r="B1684">
        <v>712.65</v>
      </c>
    </row>
    <row r="1685" spans="1:2" x14ac:dyDescent="0.35">
      <c r="A1685" s="2">
        <v>44579</v>
      </c>
      <c r="B1685">
        <v>725.2</v>
      </c>
    </row>
    <row r="1686" spans="1:2" x14ac:dyDescent="0.35">
      <c r="A1686" s="2">
        <v>44580</v>
      </c>
      <c r="B1686">
        <v>729.6</v>
      </c>
    </row>
    <row r="1687" spans="1:2" x14ac:dyDescent="0.35">
      <c r="A1687" s="2">
        <v>44581</v>
      </c>
      <c r="B1687">
        <v>728.9</v>
      </c>
    </row>
    <row r="1688" spans="1:2" x14ac:dyDescent="0.35">
      <c r="A1688" s="2">
        <v>44582</v>
      </c>
      <c r="B1688">
        <v>712.5</v>
      </c>
    </row>
    <row r="1689" spans="1:2" x14ac:dyDescent="0.35">
      <c r="A1689" s="2">
        <v>44585</v>
      </c>
      <c r="B1689">
        <v>704.6</v>
      </c>
    </row>
    <row r="1690" spans="1:2" x14ac:dyDescent="0.35">
      <c r="A1690" s="2">
        <v>44586</v>
      </c>
      <c r="B1690">
        <v>752.2</v>
      </c>
    </row>
    <row r="1691" spans="1:2" x14ac:dyDescent="0.35">
      <c r="A1691" s="2">
        <v>44588</v>
      </c>
      <c r="B1691">
        <v>773.85</v>
      </c>
    </row>
    <row r="1692" spans="1:2" x14ac:dyDescent="0.35">
      <c r="A1692" s="2">
        <v>44589</v>
      </c>
      <c r="B1692">
        <v>764.7</v>
      </c>
    </row>
    <row r="1693" spans="1:2" x14ac:dyDescent="0.35">
      <c r="A1693" s="2">
        <v>44592</v>
      </c>
      <c r="B1693">
        <v>773.05</v>
      </c>
    </row>
    <row r="1694" spans="1:2" x14ac:dyDescent="0.35">
      <c r="A1694" s="2">
        <v>44593</v>
      </c>
      <c r="B1694">
        <v>781.9</v>
      </c>
    </row>
    <row r="1695" spans="1:2" x14ac:dyDescent="0.35">
      <c r="A1695" s="2">
        <v>44594</v>
      </c>
      <c r="B1695">
        <v>804.1</v>
      </c>
    </row>
    <row r="1696" spans="1:2" x14ac:dyDescent="0.35">
      <c r="A1696" s="2">
        <v>44595</v>
      </c>
      <c r="B1696">
        <v>799.55</v>
      </c>
    </row>
    <row r="1697" spans="1:2" x14ac:dyDescent="0.35">
      <c r="A1697" s="2">
        <v>44596</v>
      </c>
      <c r="B1697">
        <v>798.55</v>
      </c>
    </row>
    <row r="1698" spans="1:2" x14ac:dyDescent="0.35">
      <c r="A1698" s="2">
        <v>44599</v>
      </c>
      <c r="B1698">
        <v>789.6</v>
      </c>
    </row>
    <row r="1699" spans="1:2" x14ac:dyDescent="0.35">
      <c r="A1699" s="2">
        <v>44600</v>
      </c>
      <c r="B1699">
        <v>798.55</v>
      </c>
    </row>
    <row r="1700" spans="1:2" x14ac:dyDescent="0.35">
      <c r="A1700" s="2">
        <v>44601</v>
      </c>
      <c r="B1700">
        <v>803.85</v>
      </c>
    </row>
    <row r="1701" spans="1:2" x14ac:dyDescent="0.35">
      <c r="A1701" s="2">
        <v>44602</v>
      </c>
      <c r="B1701">
        <v>809.8</v>
      </c>
    </row>
    <row r="1702" spans="1:2" x14ac:dyDescent="0.35">
      <c r="A1702" s="2">
        <v>44603</v>
      </c>
      <c r="B1702">
        <v>803.8</v>
      </c>
    </row>
    <row r="1703" spans="1:2" x14ac:dyDescent="0.35">
      <c r="A1703" s="2">
        <v>44606</v>
      </c>
      <c r="B1703">
        <v>773.35</v>
      </c>
    </row>
    <row r="1704" spans="1:2" x14ac:dyDescent="0.35">
      <c r="A1704" s="2">
        <v>44607</v>
      </c>
      <c r="B1704">
        <v>796.95</v>
      </c>
    </row>
    <row r="1705" spans="1:2" x14ac:dyDescent="0.35">
      <c r="A1705" s="2">
        <v>44608</v>
      </c>
      <c r="B1705">
        <v>797.05</v>
      </c>
    </row>
    <row r="1706" spans="1:2" x14ac:dyDescent="0.35">
      <c r="A1706" s="2">
        <v>44609</v>
      </c>
      <c r="B1706">
        <v>782.8</v>
      </c>
    </row>
    <row r="1707" spans="1:2" x14ac:dyDescent="0.35">
      <c r="A1707" s="2">
        <v>44610</v>
      </c>
      <c r="B1707">
        <v>787.4</v>
      </c>
    </row>
    <row r="1708" spans="1:2" x14ac:dyDescent="0.35">
      <c r="A1708" s="2">
        <v>44613</v>
      </c>
      <c r="B1708">
        <v>788.85</v>
      </c>
    </row>
    <row r="1709" spans="1:2" x14ac:dyDescent="0.35">
      <c r="A1709" s="2">
        <v>44614</v>
      </c>
      <c r="B1709">
        <v>779.15</v>
      </c>
    </row>
    <row r="1710" spans="1:2" x14ac:dyDescent="0.35">
      <c r="A1710" s="2">
        <v>44615</v>
      </c>
      <c r="B1710">
        <v>777.2</v>
      </c>
    </row>
    <row r="1711" spans="1:2" x14ac:dyDescent="0.35">
      <c r="A1711" s="2">
        <v>44616</v>
      </c>
      <c r="B1711">
        <v>730.3</v>
      </c>
    </row>
    <row r="1712" spans="1:2" x14ac:dyDescent="0.35">
      <c r="A1712" s="2">
        <v>44617</v>
      </c>
      <c r="B1712">
        <v>758.05</v>
      </c>
    </row>
    <row r="1713" spans="1:2" x14ac:dyDescent="0.35">
      <c r="A1713" s="2">
        <v>44620</v>
      </c>
      <c r="B1713">
        <v>742.4</v>
      </c>
    </row>
    <row r="1714" spans="1:2" x14ac:dyDescent="0.35">
      <c r="A1714" s="2">
        <v>44622</v>
      </c>
      <c r="B1714">
        <v>750.25</v>
      </c>
    </row>
    <row r="1715" spans="1:2" x14ac:dyDescent="0.35">
      <c r="A1715" s="2">
        <v>44623</v>
      </c>
      <c r="B1715">
        <v>737.65</v>
      </c>
    </row>
    <row r="1716" spans="1:2" x14ac:dyDescent="0.35">
      <c r="A1716" s="2">
        <v>44624</v>
      </c>
      <c r="B1716">
        <v>715</v>
      </c>
    </row>
    <row r="1717" spans="1:2" x14ac:dyDescent="0.35">
      <c r="A1717" s="2">
        <v>44627</v>
      </c>
      <c r="B1717">
        <v>667.55</v>
      </c>
    </row>
    <row r="1718" spans="1:2" x14ac:dyDescent="0.35">
      <c r="A1718" s="2">
        <v>44628</v>
      </c>
      <c r="B1718">
        <v>670.4</v>
      </c>
    </row>
    <row r="1719" spans="1:2" x14ac:dyDescent="0.35">
      <c r="A1719" s="2">
        <v>44629</v>
      </c>
      <c r="B1719">
        <v>674.2</v>
      </c>
    </row>
    <row r="1720" spans="1:2" x14ac:dyDescent="0.35">
      <c r="A1720" s="2">
        <v>44630</v>
      </c>
      <c r="B1720">
        <v>694.95</v>
      </c>
    </row>
    <row r="1721" spans="1:2" x14ac:dyDescent="0.35">
      <c r="A1721" s="2">
        <v>44631</v>
      </c>
      <c r="B1721">
        <v>690.85</v>
      </c>
    </row>
    <row r="1722" spans="1:2" x14ac:dyDescent="0.35">
      <c r="A1722" s="2">
        <v>44634</v>
      </c>
      <c r="B1722">
        <v>710.05</v>
      </c>
    </row>
    <row r="1723" spans="1:2" x14ac:dyDescent="0.35">
      <c r="A1723" s="2">
        <v>44635</v>
      </c>
      <c r="B1723">
        <v>698.15</v>
      </c>
    </row>
    <row r="1724" spans="1:2" x14ac:dyDescent="0.35">
      <c r="A1724" s="2">
        <v>44636</v>
      </c>
      <c r="B1724">
        <v>723.85</v>
      </c>
    </row>
    <row r="1725" spans="1:2" x14ac:dyDescent="0.35">
      <c r="A1725" s="2">
        <v>44637</v>
      </c>
      <c r="B1725">
        <v>739.25</v>
      </c>
    </row>
    <row r="1726" spans="1:2" x14ac:dyDescent="0.35">
      <c r="A1726" s="2">
        <v>44641</v>
      </c>
      <c r="B1726">
        <v>725.9</v>
      </c>
    </row>
    <row r="1727" spans="1:2" x14ac:dyDescent="0.35">
      <c r="A1727" s="2">
        <v>44642</v>
      </c>
      <c r="B1727">
        <v>731.4</v>
      </c>
    </row>
    <row r="1728" spans="1:2" x14ac:dyDescent="0.35">
      <c r="A1728" s="2">
        <v>44643</v>
      </c>
      <c r="B1728">
        <v>726.75</v>
      </c>
    </row>
    <row r="1729" spans="1:2" x14ac:dyDescent="0.35">
      <c r="A1729" s="2">
        <v>44644</v>
      </c>
      <c r="B1729">
        <v>722.25</v>
      </c>
    </row>
    <row r="1730" spans="1:2" x14ac:dyDescent="0.35">
      <c r="A1730" s="2">
        <v>44645</v>
      </c>
      <c r="B1730">
        <v>721.25</v>
      </c>
    </row>
    <row r="1731" spans="1:2" x14ac:dyDescent="0.35">
      <c r="A1731" s="2">
        <v>44648</v>
      </c>
      <c r="B1731">
        <v>736</v>
      </c>
    </row>
    <row r="1732" spans="1:2" x14ac:dyDescent="0.35">
      <c r="A1732" s="2">
        <v>44649</v>
      </c>
      <c r="B1732">
        <v>737.8</v>
      </c>
    </row>
    <row r="1733" spans="1:2" x14ac:dyDescent="0.35">
      <c r="A1733" s="2">
        <v>44650</v>
      </c>
      <c r="B1733">
        <v>750.45</v>
      </c>
    </row>
    <row r="1734" spans="1:2" x14ac:dyDescent="0.35">
      <c r="A1734" s="3"/>
    </row>
    <row r="1735" spans="1:2" x14ac:dyDescent="0.35">
      <c r="B1735" s="4">
        <f>SUM(B2:B1733)</f>
        <v>1017341.0999999999</v>
      </c>
    </row>
    <row r="1737" spans="1:2" x14ac:dyDescent="0.35">
      <c r="B1737" s="4" t="s">
        <v>0</v>
      </c>
    </row>
    <row r="1738" spans="1:2" x14ac:dyDescent="0.35">
      <c r="B1738" s="4" t="s">
        <v>1</v>
      </c>
    </row>
    <row r="1739" spans="1:2" x14ac:dyDescent="0.35">
      <c r="B1739" s="4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6AA9-BF7A-4E52-BA3B-77483371577B}">
  <dimension ref="A1:I85"/>
  <sheetViews>
    <sheetView workbookViewId="0">
      <selection activeCell="F5" sqref="F5"/>
    </sheetView>
  </sheetViews>
  <sheetFormatPr defaultRowHeight="14.5" x14ac:dyDescent="0.35"/>
  <sheetData>
    <row r="1" spans="1:9" x14ac:dyDescent="0.35">
      <c r="A1" t="s">
        <v>28</v>
      </c>
      <c r="B1" t="s">
        <v>29</v>
      </c>
      <c r="C1" t="s">
        <v>30</v>
      </c>
      <c r="D1" t="s">
        <v>31</v>
      </c>
      <c r="E1" t="s">
        <v>33</v>
      </c>
      <c r="F1" t="s">
        <v>32</v>
      </c>
    </row>
    <row r="2" spans="1:9" x14ac:dyDescent="0.35">
      <c r="A2" s="9">
        <v>45031</v>
      </c>
      <c r="B2" s="8">
        <v>548.38421052631577</v>
      </c>
    </row>
    <row r="3" spans="1:9" x14ac:dyDescent="0.35">
      <c r="A3" s="9">
        <v>45061</v>
      </c>
      <c r="B3" s="8">
        <v>559.79999999999995</v>
      </c>
    </row>
    <row r="4" spans="1:9" x14ac:dyDescent="0.35">
      <c r="A4" s="9">
        <v>45092</v>
      </c>
      <c r="B4" s="8">
        <v>558.47499999999991</v>
      </c>
      <c r="C4">
        <f>AVERAGE(AVERAGE(B2:B5),AVERAGE(B3:B6))</f>
        <v>561.79125871744577</v>
      </c>
      <c r="D4">
        <f>B4-C4</f>
        <v>-3.3162587174458622</v>
      </c>
      <c r="E4">
        <f>D4*D4</f>
        <v>10.997571881035675</v>
      </c>
      <c r="F4">
        <f>ABS(D4)/B4*100</f>
        <v>0.59380611799021665</v>
      </c>
      <c r="H4" t="s">
        <v>38</v>
      </c>
      <c r="I4">
        <f>SUM(E:E)/84</f>
        <v>557.24846473099217</v>
      </c>
    </row>
    <row r="5" spans="1:9" x14ac:dyDescent="0.35">
      <c r="A5" s="9">
        <v>45122</v>
      </c>
      <c r="B5" s="8">
        <v>581.22173913043491</v>
      </c>
      <c r="C5">
        <f>AVERAGE(AVERAGE(B3:B6),AVERAGE(B4:B7))</f>
        <v>553.11415502070395</v>
      </c>
      <c r="D5">
        <f>B5-C5</f>
        <v>28.107584109730965</v>
      </c>
      <c r="E5">
        <f>D5*D5</f>
        <v>790.03628448560062</v>
      </c>
      <c r="F5">
        <f>ABS(D5)/B5*100</f>
        <v>4.8359485231544657</v>
      </c>
      <c r="H5" t="s">
        <v>37</v>
      </c>
      <c r="I5">
        <f>SQRT(I4)</f>
        <v>23.606110749782399</v>
      </c>
    </row>
    <row r="6" spans="1:9" x14ac:dyDescent="0.35">
      <c r="A6" s="9">
        <v>45153</v>
      </c>
      <c r="B6" s="8">
        <v>546.95238095238096</v>
      </c>
      <c r="C6">
        <f t="shared" ref="C6:C69" si="0">AVERAGE(AVERAGE(B4:B7),AVERAGE(B5:B8))</f>
        <v>537.27540502070394</v>
      </c>
      <c r="D6">
        <f t="shared" ref="D6:D69" si="1">B6-C6</f>
        <v>9.6769759316770205</v>
      </c>
      <c r="E6">
        <f t="shared" ref="E6:E69" si="2">D6*D6</f>
        <v>93.643863182256339</v>
      </c>
      <c r="F6">
        <f t="shared" ref="F6:F69" si="3">ABS(D6)/B6*100</f>
        <v>1.7692538269651528</v>
      </c>
      <c r="H6" t="s">
        <v>39</v>
      </c>
      <c r="I6">
        <f>SUM(F:F)/84</f>
        <v>2.9425446071363957</v>
      </c>
    </row>
    <row r="7" spans="1:9" x14ac:dyDescent="0.35">
      <c r="A7" s="9">
        <v>45184</v>
      </c>
      <c r="B7" s="8">
        <v>491.81499999999994</v>
      </c>
      <c r="C7">
        <f t="shared" si="0"/>
        <v>516.02186526097853</v>
      </c>
      <c r="D7">
        <f t="shared" si="1"/>
        <v>-24.206865260978589</v>
      </c>
      <c r="E7">
        <f t="shared" si="2"/>
        <v>585.97232576317197</v>
      </c>
      <c r="F7">
        <f t="shared" si="3"/>
        <v>4.9219452967027424</v>
      </c>
      <c r="H7" s="8" t="s">
        <v>35</v>
      </c>
      <c r="I7" s="8">
        <f>100-I6</f>
        <v>97.057455392863602</v>
      </c>
    </row>
    <row r="8" spans="1:9" x14ac:dyDescent="0.35">
      <c r="A8" s="9">
        <v>45214</v>
      </c>
      <c r="B8" s="8">
        <v>499.74999999999989</v>
      </c>
      <c r="C8">
        <f t="shared" si="0"/>
        <v>489.93194833675091</v>
      </c>
      <c r="D8">
        <f t="shared" si="1"/>
        <v>9.8180516632489798</v>
      </c>
      <c r="E8">
        <f t="shared" si="2"/>
        <v>96.394138462226053</v>
      </c>
      <c r="F8">
        <f t="shared" si="3"/>
        <v>1.9645926289642786</v>
      </c>
    </row>
    <row r="9" spans="1:9" x14ac:dyDescent="0.35">
      <c r="A9" s="9">
        <v>45245</v>
      </c>
      <c r="B9" s="8">
        <v>469.91842105263163</v>
      </c>
      <c r="C9">
        <f t="shared" si="0"/>
        <v>467.59463367224879</v>
      </c>
      <c r="D9">
        <f t="shared" si="1"/>
        <v>2.3237873803828393</v>
      </c>
      <c r="E9">
        <f t="shared" si="2"/>
        <v>5.3999877892265387</v>
      </c>
      <c r="F9">
        <f t="shared" si="3"/>
        <v>0.49450867986351427</v>
      </c>
    </row>
    <row r="10" spans="1:9" x14ac:dyDescent="0.35">
      <c r="A10" s="9">
        <v>45275</v>
      </c>
      <c r="B10" s="8">
        <v>449.53636363636366</v>
      </c>
      <c r="C10">
        <f t="shared" si="0"/>
        <v>444.07122593415357</v>
      </c>
      <c r="D10">
        <f t="shared" si="1"/>
        <v>5.465137702210086</v>
      </c>
      <c r="E10">
        <f t="shared" si="2"/>
        <v>29.867730104118138</v>
      </c>
      <c r="F10">
        <f t="shared" si="3"/>
        <v>1.215727612779044</v>
      </c>
    </row>
    <row r="11" spans="1:9" x14ac:dyDescent="0.35">
      <c r="A11" s="9">
        <v>44942</v>
      </c>
      <c r="B11" s="8">
        <v>410.53249999999991</v>
      </c>
      <c r="C11">
        <f t="shared" si="0"/>
        <v>424.93082806447939</v>
      </c>
      <c r="D11">
        <f t="shared" si="1"/>
        <v>-14.398328064479472</v>
      </c>
      <c r="E11">
        <f t="shared" si="2"/>
        <v>207.31185105237716</v>
      </c>
      <c r="F11">
        <f t="shared" si="3"/>
        <v>3.5072322080418661</v>
      </c>
    </row>
    <row r="12" spans="1:9" x14ac:dyDescent="0.35">
      <c r="A12" s="9">
        <v>44973</v>
      </c>
      <c r="B12" s="8">
        <v>392.84523809523807</v>
      </c>
      <c r="C12">
        <f t="shared" si="0"/>
        <v>419.27189664502163</v>
      </c>
      <c r="D12">
        <f t="shared" si="1"/>
        <v>-26.426658549783554</v>
      </c>
      <c r="E12">
        <f t="shared" si="2"/>
        <v>698.36828210684814</v>
      </c>
      <c r="F12">
        <f t="shared" si="3"/>
        <v>6.726989660843719</v>
      </c>
    </row>
    <row r="13" spans="1:9" x14ac:dyDescent="0.35">
      <c r="A13" s="9">
        <v>45001</v>
      </c>
      <c r="B13" s="8">
        <v>423.7</v>
      </c>
      <c r="C13">
        <f t="shared" si="0"/>
        <v>429.3444439935065</v>
      </c>
      <c r="D13">
        <f t="shared" si="1"/>
        <v>-5.6444439935065134</v>
      </c>
      <c r="E13">
        <f t="shared" si="2"/>
        <v>31.859747995831757</v>
      </c>
      <c r="F13">
        <f t="shared" si="3"/>
        <v>1.3321793706647425</v>
      </c>
    </row>
    <row r="14" spans="1:9" x14ac:dyDescent="0.35">
      <c r="A14" s="9">
        <v>45032</v>
      </c>
      <c r="B14" s="8">
        <v>450.48333333333335</v>
      </c>
      <c r="C14">
        <f t="shared" si="0"/>
        <v>455.99722673160181</v>
      </c>
      <c r="D14">
        <f t="shared" si="1"/>
        <v>-5.5138933982684648</v>
      </c>
      <c r="E14">
        <f t="shared" si="2"/>
        <v>30.40302040746856</v>
      </c>
      <c r="F14">
        <f t="shared" si="3"/>
        <v>1.2239949827818559</v>
      </c>
    </row>
    <row r="15" spans="1:9" x14ac:dyDescent="0.35">
      <c r="A15" s="9">
        <v>45062</v>
      </c>
      <c r="B15" s="8">
        <v>490.16590909090917</v>
      </c>
      <c r="C15">
        <f t="shared" si="0"/>
        <v>488.50770833333337</v>
      </c>
      <c r="D15">
        <f t="shared" si="1"/>
        <v>1.6582007575757984</v>
      </c>
      <c r="E15">
        <f t="shared" si="2"/>
        <v>2.7496297524249518</v>
      </c>
      <c r="F15">
        <f t="shared" si="3"/>
        <v>0.33829377498961449</v>
      </c>
    </row>
    <row r="16" spans="1:9" x14ac:dyDescent="0.35">
      <c r="A16" s="9">
        <v>45093</v>
      </c>
      <c r="B16" s="8">
        <v>526.43409090909086</v>
      </c>
      <c r="C16">
        <f t="shared" si="0"/>
        <v>520.10547348484852</v>
      </c>
      <c r="D16">
        <f t="shared" si="1"/>
        <v>6.3286174242423385</v>
      </c>
      <c r="E16">
        <f t="shared" si="2"/>
        <v>40.05139850242373</v>
      </c>
      <c r="F16">
        <f t="shared" si="3"/>
        <v>1.2021670962291875</v>
      </c>
    </row>
    <row r="17" spans="1:6" x14ac:dyDescent="0.35">
      <c r="A17" s="9">
        <v>45123</v>
      </c>
      <c r="B17" s="8">
        <v>550.19499999999994</v>
      </c>
      <c r="C17">
        <f t="shared" si="0"/>
        <v>547.9815625</v>
      </c>
      <c r="D17">
        <f t="shared" si="1"/>
        <v>2.2134374999999409</v>
      </c>
      <c r="E17">
        <f t="shared" si="2"/>
        <v>4.8993055664059879</v>
      </c>
      <c r="F17">
        <f t="shared" si="3"/>
        <v>0.40230054798752096</v>
      </c>
    </row>
    <row r="18" spans="1:6" x14ac:dyDescent="0.35">
      <c r="A18" s="9">
        <v>45154</v>
      </c>
      <c r="B18" s="8">
        <v>576.77045454545453</v>
      </c>
      <c r="C18">
        <f t="shared" si="0"/>
        <v>559.53361842105267</v>
      </c>
      <c r="D18">
        <f t="shared" si="1"/>
        <v>17.236836124401862</v>
      </c>
      <c r="E18">
        <f t="shared" si="2"/>
        <v>297.10851957948501</v>
      </c>
      <c r="F18">
        <f t="shared" si="3"/>
        <v>2.9885088579972416</v>
      </c>
    </row>
    <row r="19" spans="1:6" x14ac:dyDescent="0.35">
      <c r="A19" s="9">
        <v>45185</v>
      </c>
      <c r="B19" s="8">
        <v>586.88750000000005</v>
      </c>
      <c r="C19">
        <f t="shared" si="0"/>
        <v>549.98270762132609</v>
      </c>
      <c r="D19">
        <f t="shared" si="1"/>
        <v>36.90479237867396</v>
      </c>
      <c r="E19">
        <f t="shared" si="2"/>
        <v>1361.9637005130317</v>
      </c>
      <c r="F19">
        <f t="shared" si="3"/>
        <v>6.2882225943939769</v>
      </c>
    </row>
    <row r="20" spans="1:6" x14ac:dyDescent="0.35">
      <c r="A20" s="9">
        <v>45215</v>
      </c>
      <c r="B20" s="8">
        <v>522.12894736842111</v>
      </c>
      <c r="C20">
        <f t="shared" si="0"/>
        <v>525.62476930963771</v>
      </c>
      <c r="D20">
        <f t="shared" si="1"/>
        <v>-3.4958219412166045</v>
      </c>
      <c r="E20">
        <f t="shared" si="2"/>
        <v>12.220771044691428</v>
      </c>
      <c r="F20">
        <f t="shared" si="3"/>
        <v>0.66953229826384364</v>
      </c>
    </row>
    <row r="21" spans="1:6" x14ac:dyDescent="0.35">
      <c r="A21" s="9">
        <v>45246</v>
      </c>
      <c r="B21" s="8">
        <v>478.0928571428571</v>
      </c>
      <c r="C21">
        <f t="shared" si="0"/>
        <v>494.71092325985421</v>
      </c>
      <c r="D21">
        <f t="shared" si="1"/>
        <v>-16.618066116997113</v>
      </c>
      <c r="E21">
        <f t="shared" si="2"/>
        <v>276.1601214688875</v>
      </c>
      <c r="F21">
        <f t="shared" si="3"/>
        <v>3.4759076335732693</v>
      </c>
    </row>
    <row r="22" spans="1:6" x14ac:dyDescent="0.35">
      <c r="A22" s="9">
        <v>45276</v>
      </c>
      <c r="B22" s="8">
        <v>454.00909090909096</v>
      </c>
      <c r="C22">
        <f t="shared" si="0"/>
        <v>475.74751082251078</v>
      </c>
      <c r="D22">
        <f t="shared" si="1"/>
        <v>-21.738419913419818</v>
      </c>
      <c r="E22">
        <f t="shared" si="2"/>
        <v>472.5589003321673</v>
      </c>
      <c r="F22">
        <f t="shared" si="3"/>
        <v>4.7881023417155841</v>
      </c>
    </row>
    <row r="23" spans="1:6" x14ac:dyDescent="0.35">
      <c r="A23" s="9">
        <v>44943</v>
      </c>
      <c r="B23" s="8">
        <v>462.33809523809515</v>
      </c>
      <c r="C23">
        <f t="shared" si="0"/>
        <v>475.64400774663932</v>
      </c>
      <c r="D23">
        <f t="shared" si="1"/>
        <v>-13.305912508544168</v>
      </c>
      <c r="E23">
        <f t="shared" si="2"/>
        <v>177.04730768503214</v>
      </c>
      <c r="F23">
        <f t="shared" si="3"/>
        <v>2.8779615276331234</v>
      </c>
    </row>
    <row r="24" spans="1:6" x14ac:dyDescent="0.35">
      <c r="A24" s="9">
        <v>44974</v>
      </c>
      <c r="B24" s="8">
        <v>494.97105263157897</v>
      </c>
      <c r="C24">
        <f t="shared" si="0"/>
        <v>485.27681348256999</v>
      </c>
      <c r="D24">
        <f t="shared" si="1"/>
        <v>9.694239149008979</v>
      </c>
      <c r="E24">
        <f t="shared" si="2"/>
        <v>93.978272678178328</v>
      </c>
      <c r="F24">
        <f t="shared" si="3"/>
        <v>1.9585466862088754</v>
      </c>
    </row>
    <row r="25" spans="1:6" x14ac:dyDescent="0.35">
      <c r="A25" s="9">
        <v>45002</v>
      </c>
      <c r="B25" s="8">
        <v>504.42272727272717</v>
      </c>
      <c r="C25">
        <f t="shared" si="0"/>
        <v>497.23691900205051</v>
      </c>
      <c r="D25">
        <f t="shared" si="1"/>
        <v>7.1858082706766595</v>
      </c>
      <c r="E25">
        <f t="shared" si="2"/>
        <v>51.635840502925085</v>
      </c>
      <c r="F25">
        <f t="shared" si="3"/>
        <v>1.424560766626896</v>
      </c>
    </row>
    <row r="26" spans="1:6" x14ac:dyDescent="0.35">
      <c r="A26" s="9">
        <v>45033</v>
      </c>
      <c r="B26" s="8">
        <v>504.74166666666656</v>
      </c>
      <c r="C26">
        <f t="shared" si="0"/>
        <v>504.63288049669626</v>
      </c>
      <c r="D26">
        <f t="shared" si="1"/>
        <v>0.10878616997030122</v>
      </c>
      <c r="E26">
        <f t="shared" si="2"/>
        <v>1.1834430776807266E-2</v>
      </c>
      <c r="F26">
        <f t="shared" si="3"/>
        <v>2.1552841216523549E-2</v>
      </c>
    </row>
    <row r="27" spans="1:6" x14ac:dyDescent="0.35">
      <c r="A27" s="9">
        <v>45063</v>
      </c>
      <c r="B27" s="8">
        <v>507.28636363636366</v>
      </c>
      <c r="C27">
        <f t="shared" si="0"/>
        <v>508.21907467532469</v>
      </c>
      <c r="D27">
        <f t="shared" si="1"/>
        <v>-0.93271103896103114</v>
      </c>
      <c r="E27">
        <f t="shared" si="2"/>
        <v>0.8699498821997661</v>
      </c>
      <c r="F27">
        <f t="shared" si="3"/>
        <v>0.183862824988062</v>
      </c>
    </row>
    <row r="28" spans="1:6" x14ac:dyDescent="0.35">
      <c r="A28" s="9">
        <v>45094</v>
      </c>
      <c r="B28" s="8">
        <v>509.19047619047626</v>
      </c>
      <c r="C28">
        <f t="shared" si="0"/>
        <v>509.52858495671001</v>
      </c>
      <c r="D28">
        <f t="shared" si="1"/>
        <v>-0.33810876623374497</v>
      </c>
      <c r="E28">
        <f t="shared" si="2"/>
        <v>0.11431753780410521</v>
      </c>
      <c r="F28">
        <f t="shared" si="3"/>
        <v>6.64012353026152E-2</v>
      </c>
    </row>
    <row r="29" spans="1:6" x14ac:dyDescent="0.35">
      <c r="A29" s="9">
        <v>45124</v>
      </c>
      <c r="B29" s="8">
        <v>518.89285714285711</v>
      </c>
      <c r="C29">
        <f t="shared" si="0"/>
        <v>508.98311688311691</v>
      </c>
      <c r="D29">
        <f t="shared" si="1"/>
        <v>9.9097402597402038</v>
      </c>
      <c r="E29">
        <f t="shared" si="2"/>
        <v>98.202952015515848</v>
      </c>
      <c r="F29">
        <f t="shared" si="3"/>
        <v>1.9097854447844016</v>
      </c>
    </row>
    <row r="30" spans="1:6" x14ac:dyDescent="0.35">
      <c r="A30" s="9">
        <v>45155</v>
      </c>
      <c r="B30" s="8">
        <v>500.74761904761897</v>
      </c>
      <c r="C30">
        <f t="shared" si="0"/>
        <v>507.29778273809524</v>
      </c>
      <c r="D30">
        <f t="shared" si="1"/>
        <v>-6.5501636904762677</v>
      </c>
      <c r="E30">
        <f t="shared" si="2"/>
        <v>42.90464437203368</v>
      </c>
      <c r="F30">
        <f t="shared" si="3"/>
        <v>1.3080768517550105</v>
      </c>
    </row>
    <row r="31" spans="1:6" x14ac:dyDescent="0.35">
      <c r="A31" s="9">
        <v>45186</v>
      </c>
      <c r="B31" s="8">
        <v>506.91666666666657</v>
      </c>
      <c r="C31">
        <f t="shared" si="0"/>
        <v>508.62659902597397</v>
      </c>
      <c r="D31">
        <f t="shared" si="1"/>
        <v>-1.7099323593074018</v>
      </c>
      <c r="E31">
        <f t="shared" si="2"/>
        <v>2.9238686734065777</v>
      </c>
      <c r="F31">
        <f t="shared" si="3"/>
        <v>0.33732020897071885</v>
      </c>
    </row>
    <row r="32" spans="1:6" x14ac:dyDescent="0.35">
      <c r="A32" s="9">
        <v>45216</v>
      </c>
      <c r="B32" s="8">
        <v>496.07749999999999</v>
      </c>
      <c r="C32">
        <f t="shared" si="0"/>
        <v>517.11108495670987</v>
      </c>
      <c r="D32">
        <f t="shared" si="1"/>
        <v>-21.033584956709888</v>
      </c>
      <c r="E32">
        <f t="shared" si="2"/>
        <v>442.41169613113249</v>
      </c>
      <c r="F32">
        <f t="shared" si="3"/>
        <v>4.239979631551499</v>
      </c>
    </row>
    <row r="33" spans="1:6" x14ac:dyDescent="0.35">
      <c r="A33" s="9">
        <v>45247</v>
      </c>
      <c r="B33" s="8">
        <v>542.63636363636351</v>
      </c>
      <c r="C33">
        <f t="shared" si="0"/>
        <v>531.69827651515152</v>
      </c>
      <c r="D33">
        <f t="shared" si="1"/>
        <v>10.938087121211993</v>
      </c>
      <c r="E33">
        <f t="shared" si="2"/>
        <v>119.64174987122367</v>
      </c>
      <c r="F33">
        <f t="shared" si="3"/>
        <v>2.0157305802200027</v>
      </c>
    </row>
    <row r="34" spans="1:6" x14ac:dyDescent="0.35">
      <c r="A34" s="9">
        <v>45277</v>
      </c>
      <c r="B34" s="8">
        <v>544.88</v>
      </c>
      <c r="C34">
        <f t="shared" si="0"/>
        <v>547.55561453349287</v>
      </c>
      <c r="D34">
        <f t="shared" si="1"/>
        <v>-2.675614533492876</v>
      </c>
      <c r="E34">
        <f t="shared" si="2"/>
        <v>7.1589131318383004</v>
      </c>
      <c r="F34">
        <f t="shared" si="3"/>
        <v>0.49104656685745052</v>
      </c>
    </row>
    <row r="35" spans="1:6" x14ac:dyDescent="0.35">
      <c r="A35" s="9">
        <v>44944</v>
      </c>
      <c r="B35" s="8">
        <v>579.4818181818182</v>
      </c>
      <c r="C35">
        <f t="shared" si="0"/>
        <v>551.38019736842102</v>
      </c>
      <c r="D35">
        <f t="shared" si="1"/>
        <v>28.101620813397176</v>
      </c>
      <c r="E35">
        <f t="shared" si="2"/>
        <v>789.70109233995731</v>
      </c>
      <c r="F35">
        <f t="shared" si="3"/>
        <v>4.849439608229436</v>
      </c>
    </row>
    <row r="36" spans="1:6" x14ac:dyDescent="0.35">
      <c r="A36" s="9">
        <v>44975</v>
      </c>
      <c r="B36" s="8">
        <v>550.37105263157889</v>
      </c>
      <c r="C36">
        <f t="shared" si="0"/>
        <v>544.97505041011618</v>
      </c>
      <c r="D36">
        <f t="shared" si="1"/>
        <v>5.3960022214627088</v>
      </c>
      <c r="E36">
        <f t="shared" si="2"/>
        <v>29.116839974030487</v>
      </c>
      <c r="F36">
        <f t="shared" si="3"/>
        <v>0.98042987465672904</v>
      </c>
    </row>
    <row r="37" spans="1:6" x14ac:dyDescent="0.35">
      <c r="A37" s="9">
        <v>45003</v>
      </c>
      <c r="B37" s="8">
        <v>518.9394736842105</v>
      </c>
      <c r="C37">
        <f t="shared" si="0"/>
        <v>536.449060150376</v>
      </c>
      <c r="D37">
        <f t="shared" si="1"/>
        <v>-17.509586466165501</v>
      </c>
      <c r="E37">
        <f t="shared" si="2"/>
        <v>306.58561821612608</v>
      </c>
      <c r="F37">
        <f t="shared" si="3"/>
        <v>3.3741095742546237</v>
      </c>
    </row>
    <row r="38" spans="1:6" x14ac:dyDescent="0.35">
      <c r="A38" s="9">
        <v>45034</v>
      </c>
      <c r="B38" s="8">
        <v>517.33571428571429</v>
      </c>
      <c r="C38">
        <f t="shared" si="0"/>
        <v>528.31079545454543</v>
      </c>
      <c r="D38">
        <f t="shared" si="1"/>
        <v>-10.975081168831139</v>
      </c>
      <c r="E38">
        <f t="shared" si="2"/>
        <v>120.45240666243187</v>
      </c>
      <c r="F38">
        <f t="shared" si="3"/>
        <v>2.1214621116936496</v>
      </c>
    </row>
    <row r="39" spans="1:6" x14ac:dyDescent="0.35">
      <c r="A39" s="9">
        <v>45064</v>
      </c>
      <c r="B39" s="8">
        <v>538.81818181818176</v>
      </c>
      <c r="C39">
        <f t="shared" si="0"/>
        <v>526.86333518455228</v>
      </c>
      <c r="D39">
        <f t="shared" si="1"/>
        <v>11.954846633629472</v>
      </c>
      <c r="E39">
        <f t="shared" si="2"/>
        <v>142.91835803360192</v>
      </c>
      <c r="F39">
        <f t="shared" si="3"/>
        <v>2.218716264044613</v>
      </c>
    </row>
    <row r="40" spans="1:6" x14ac:dyDescent="0.35">
      <c r="A40" s="9">
        <v>45095</v>
      </c>
      <c r="B40" s="8">
        <v>525.92857142857156</v>
      </c>
      <c r="C40">
        <f t="shared" si="0"/>
        <v>540.95600649350649</v>
      </c>
      <c r="D40">
        <f t="shared" si="1"/>
        <v>-15.027435064934934</v>
      </c>
      <c r="E40">
        <f t="shared" si="2"/>
        <v>225.82380463083601</v>
      </c>
      <c r="F40">
        <f t="shared" si="3"/>
        <v>2.8573148296766133</v>
      </c>
    </row>
    <row r="41" spans="1:6" x14ac:dyDescent="0.35">
      <c r="A41" s="9">
        <v>45125</v>
      </c>
      <c r="B41" s="8">
        <v>531.80227272727268</v>
      </c>
      <c r="C41">
        <f t="shared" si="0"/>
        <v>564.24029130591634</v>
      </c>
      <c r="D41">
        <f t="shared" si="1"/>
        <v>-32.438018578643664</v>
      </c>
      <c r="E41">
        <f t="shared" si="2"/>
        <v>1052.2250493084316</v>
      </c>
      <c r="F41">
        <f t="shared" si="3"/>
        <v>6.0996389527050869</v>
      </c>
    </row>
    <row r="42" spans="1:6" x14ac:dyDescent="0.35">
      <c r="A42" s="9">
        <v>45156</v>
      </c>
      <c r="B42" s="8">
        <v>617.21428571428567</v>
      </c>
      <c r="C42">
        <f t="shared" si="0"/>
        <v>580.65731421356429</v>
      </c>
      <c r="D42">
        <f t="shared" si="1"/>
        <v>36.556971500721374</v>
      </c>
      <c r="E42">
        <f t="shared" si="2"/>
        <v>1336.4121653045547</v>
      </c>
      <c r="F42">
        <f t="shared" si="3"/>
        <v>5.9228978244427646</v>
      </c>
    </row>
    <row r="43" spans="1:6" x14ac:dyDescent="0.35">
      <c r="A43" s="9">
        <v>45187</v>
      </c>
      <c r="B43" s="8">
        <v>625.21388888888896</v>
      </c>
      <c r="C43">
        <f t="shared" si="0"/>
        <v>597.0489646464647</v>
      </c>
      <c r="D43">
        <f t="shared" si="1"/>
        <v>28.164924242424263</v>
      </c>
      <c r="E43">
        <f t="shared" si="2"/>
        <v>793.26295758149797</v>
      </c>
      <c r="F43">
        <f t="shared" si="3"/>
        <v>4.5048462203035999</v>
      </c>
    </row>
    <row r="44" spans="1:6" x14ac:dyDescent="0.35">
      <c r="A44" s="9">
        <v>45217</v>
      </c>
      <c r="B44" s="8">
        <v>570.86904761904782</v>
      </c>
      <c r="C44">
        <f t="shared" si="0"/>
        <v>607.85783234126984</v>
      </c>
      <c r="D44">
        <f t="shared" si="1"/>
        <v>-36.988784722222022</v>
      </c>
      <c r="E44">
        <f t="shared" si="2"/>
        <v>1368.1701952268852</v>
      </c>
      <c r="F44">
        <f t="shared" si="3"/>
        <v>6.4793817209906557</v>
      </c>
    </row>
    <row r="45" spans="1:6" x14ac:dyDescent="0.35">
      <c r="A45" s="9">
        <v>45248</v>
      </c>
      <c r="B45" s="8">
        <v>617.995</v>
      </c>
      <c r="C45">
        <f t="shared" si="0"/>
        <v>612.00038388543828</v>
      </c>
      <c r="D45">
        <f t="shared" si="1"/>
        <v>5.9946161145617225</v>
      </c>
      <c r="E45">
        <f t="shared" si="2"/>
        <v>35.935422360963081</v>
      </c>
      <c r="F45">
        <f t="shared" si="3"/>
        <v>0.97001045551529086</v>
      </c>
    </row>
    <row r="46" spans="1:6" x14ac:dyDescent="0.35">
      <c r="A46" s="9">
        <v>45278</v>
      </c>
      <c r="B46" s="8">
        <v>617.49249999999995</v>
      </c>
      <c r="C46">
        <f t="shared" si="0"/>
        <v>633.28484019151142</v>
      </c>
      <c r="D46">
        <f t="shared" si="1"/>
        <v>-15.792340191511471</v>
      </c>
      <c r="E46">
        <f t="shared" si="2"/>
        <v>249.39800872442856</v>
      </c>
      <c r="F46">
        <f t="shared" si="3"/>
        <v>2.557495061318392</v>
      </c>
    </row>
    <row r="47" spans="1:6" x14ac:dyDescent="0.35">
      <c r="A47" s="9">
        <v>44945</v>
      </c>
      <c r="B47" s="8">
        <v>658.07608695652186</v>
      </c>
      <c r="C47">
        <f t="shared" si="0"/>
        <v>666.3588572654462</v>
      </c>
      <c r="D47">
        <f t="shared" si="1"/>
        <v>-8.2827703089243414</v>
      </c>
      <c r="E47">
        <f t="shared" si="2"/>
        <v>68.604283990398628</v>
      </c>
      <c r="F47">
        <f t="shared" si="3"/>
        <v>1.2586341417191735</v>
      </c>
    </row>
    <row r="48" spans="1:6" x14ac:dyDescent="0.35">
      <c r="A48" s="9">
        <v>44976</v>
      </c>
      <c r="B48" s="8">
        <v>708.28250000000003</v>
      </c>
      <c r="C48">
        <f t="shared" si="0"/>
        <v>700.12719608123575</v>
      </c>
      <c r="D48">
        <f t="shared" si="1"/>
        <v>8.1553039187642753</v>
      </c>
      <c r="E48">
        <f t="shared" si="2"/>
        <v>66.508982007411944</v>
      </c>
      <c r="F48">
        <f t="shared" si="3"/>
        <v>1.1514196551184415</v>
      </c>
    </row>
    <row r="49" spans="1:6" x14ac:dyDescent="0.35">
      <c r="A49" s="9">
        <v>45004</v>
      </c>
      <c r="B49" s="8">
        <v>745.1736842105264</v>
      </c>
      <c r="C49">
        <f t="shared" si="0"/>
        <v>731.27079077387157</v>
      </c>
      <c r="D49">
        <f t="shared" si="1"/>
        <v>13.902893436654836</v>
      </c>
      <c r="E49">
        <f t="shared" si="2"/>
        <v>193.29044591098011</v>
      </c>
      <c r="F49">
        <f t="shared" si="3"/>
        <v>1.865725230405076</v>
      </c>
    </row>
    <row r="50" spans="1:6" x14ac:dyDescent="0.35">
      <c r="A50" s="9">
        <v>45035</v>
      </c>
      <c r="B50" s="8">
        <v>760.46052631578959</v>
      </c>
      <c r="C50">
        <f t="shared" si="0"/>
        <v>755.47978020334938</v>
      </c>
      <c r="D50">
        <f t="shared" si="1"/>
        <v>4.9807461124402153</v>
      </c>
      <c r="E50">
        <f t="shared" si="2"/>
        <v>24.807831836588317</v>
      </c>
      <c r="F50">
        <f t="shared" si="3"/>
        <v>0.65496445115573365</v>
      </c>
    </row>
    <row r="51" spans="1:6" x14ac:dyDescent="0.35">
      <c r="A51" s="9">
        <v>45065</v>
      </c>
      <c r="B51" s="8">
        <v>764.25681818181829</v>
      </c>
      <c r="C51">
        <f t="shared" si="0"/>
        <v>767.56566335552327</v>
      </c>
      <c r="D51">
        <f t="shared" si="1"/>
        <v>-3.3088451737049809</v>
      </c>
      <c r="E51">
        <f t="shared" si="2"/>
        <v>10.948456383550745</v>
      </c>
      <c r="F51">
        <f t="shared" si="3"/>
        <v>0.43294938232632157</v>
      </c>
    </row>
    <row r="52" spans="1:6" x14ac:dyDescent="0.35">
      <c r="A52" s="9">
        <v>45096</v>
      </c>
      <c r="B52" s="8">
        <v>795.77368421052631</v>
      </c>
      <c r="C52">
        <f t="shared" si="0"/>
        <v>757.22477019190762</v>
      </c>
      <c r="D52">
        <f t="shared" si="1"/>
        <v>38.548914018618689</v>
      </c>
      <c r="E52">
        <f t="shared" si="2"/>
        <v>1486.0187720148565</v>
      </c>
      <c r="F52">
        <f t="shared" si="3"/>
        <v>4.844205681023797</v>
      </c>
    </row>
    <row r="53" spans="1:6" x14ac:dyDescent="0.35">
      <c r="A53" s="9">
        <v>45126</v>
      </c>
      <c r="B53" s="8">
        <v>754.36956521739114</v>
      </c>
      <c r="C53">
        <f t="shared" si="0"/>
        <v>734.36511857707501</v>
      </c>
      <c r="D53">
        <f t="shared" si="1"/>
        <v>20.004446640316132</v>
      </c>
      <c r="E53">
        <f t="shared" si="2"/>
        <v>400.17788538525537</v>
      </c>
      <c r="F53">
        <f t="shared" si="3"/>
        <v>2.6518098771059688</v>
      </c>
    </row>
    <row r="54" spans="1:6" x14ac:dyDescent="0.35">
      <c r="A54" s="9">
        <v>45157</v>
      </c>
      <c r="B54" s="8">
        <v>668.53750000000002</v>
      </c>
      <c r="C54">
        <f t="shared" si="0"/>
        <v>710.85132222540039</v>
      </c>
      <c r="D54">
        <f t="shared" si="1"/>
        <v>-42.313822225400372</v>
      </c>
      <c r="E54">
        <f t="shared" si="2"/>
        <v>1790.4595513227864</v>
      </c>
      <c r="F54">
        <f t="shared" si="3"/>
        <v>6.3293117028439498</v>
      </c>
    </row>
    <row r="55" spans="1:6" x14ac:dyDescent="0.35">
      <c r="A55" s="9">
        <v>45188</v>
      </c>
      <c r="B55" s="8">
        <v>673.30263157894728</v>
      </c>
      <c r="C55">
        <f t="shared" si="0"/>
        <v>696.61497854691072</v>
      </c>
      <c r="D55">
        <f t="shared" si="1"/>
        <v>-23.312346967963435</v>
      </c>
      <c r="E55">
        <f t="shared" si="2"/>
        <v>543.465521154714</v>
      </c>
      <c r="F55">
        <f t="shared" si="3"/>
        <v>3.4623876210455555</v>
      </c>
    </row>
    <row r="56" spans="1:6" x14ac:dyDescent="0.35">
      <c r="A56" s="9">
        <v>45218</v>
      </c>
      <c r="B56" s="8">
        <v>698.61750000000006</v>
      </c>
      <c r="C56">
        <f t="shared" si="0"/>
        <v>703.26876801378444</v>
      </c>
      <c r="D56">
        <f t="shared" si="1"/>
        <v>-4.6512680137843745</v>
      </c>
      <c r="E56">
        <f t="shared" si="2"/>
        <v>21.63429413605364</v>
      </c>
      <c r="F56">
        <f t="shared" si="3"/>
        <v>0.66578177812384798</v>
      </c>
    </row>
    <row r="57" spans="1:6" x14ac:dyDescent="0.35">
      <c r="A57" s="9">
        <v>45249</v>
      </c>
      <c r="B57" s="8">
        <v>737.63499999999988</v>
      </c>
      <c r="C57">
        <f t="shared" si="0"/>
        <v>719.72356005502888</v>
      </c>
      <c r="D57">
        <f t="shared" si="1"/>
        <v>17.911439944970994</v>
      </c>
      <c r="E57">
        <f t="shared" si="2"/>
        <v>320.81968090230254</v>
      </c>
      <c r="F57">
        <f t="shared" si="3"/>
        <v>2.4282253343416453</v>
      </c>
    </row>
    <row r="58" spans="1:6" x14ac:dyDescent="0.35">
      <c r="A58" s="9">
        <v>45279</v>
      </c>
      <c r="B58" s="8">
        <v>738.50238095238092</v>
      </c>
      <c r="C58">
        <f t="shared" si="0"/>
        <v>731.62617947722561</v>
      </c>
      <c r="D58">
        <f t="shared" si="1"/>
        <v>6.8762014751553124</v>
      </c>
      <c r="E58">
        <f t="shared" si="2"/>
        <v>47.282146726928097</v>
      </c>
      <c r="F58">
        <f t="shared" si="3"/>
        <v>0.93110078620026737</v>
      </c>
    </row>
    <row r="59" spans="1:6" x14ac:dyDescent="0.35">
      <c r="A59" s="9">
        <v>44946</v>
      </c>
      <c r="B59" s="8">
        <v>734.97608695652173</v>
      </c>
      <c r="C59">
        <f t="shared" si="0"/>
        <v>705.86375388198758</v>
      </c>
      <c r="D59">
        <f t="shared" si="1"/>
        <v>29.112333074534149</v>
      </c>
      <c r="E59">
        <f t="shared" si="2"/>
        <v>847.52793704261489</v>
      </c>
      <c r="F59">
        <f t="shared" si="3"/>
        <v>3.9609905126418514</v>
      </c>
    </row>
    <row r="60" spans="1:6" x14ac:dyDescent="0.35">
      <c r="A60" s="9">
        <v>44977</v>
      </c>
      <c r="B60" s="8">
        <v>732.16499999999985</v>
      </c>
      <c r="C60">
        <f t="shared" si="0"/>
        <v>635.89057927881299</v>
      </c>
      <c r="D60">
        <f t="shared" si="1"/>
        <v>96.274420721186857</v>
      </c>
      <c r="E60">
        <f t="shared" si="2"/>
        <v>9268.7640852000932</v>
      </c>
      <c r="F60">
        <f t="shared" si="3"/>
        <v>13.149279291032331</v>
      </c>
    </row>
    <row r="61" spans="1:6" x14ac:dyDescent="0.35">
      <c r="A61" s="9">
        <v>45005</v>
      </c>
      <c r="B61" s="8">
        <v>497.98809523809524</v>
      </c>
      <c r="C61">
        <f t="shared" si="0"/>
        <v>551.40323058552167</v>
      </c>
      <c r="D61">
        <f t="shared" si="1"/>
        <v>-53.415135347426428</v>
      </c>
      <c r="E61">
        <f t="shared" si="2"/>
        <v>2853.1766841838844</v>
      </c>
      <c r="F61">
        <f t="shared" si="3"/>
        <v>10.726187203709737</v>
      </c>
    </row>
    <row r="62" spans="1:6" x14ac:dyDescent="0.35">
      <c r="A62" s="9">
        <v>45036</v>
      </c>
      <c r="B62" s="8">
        <v>418.36388888888882</v>
      </c>
      <c r="C62">
        <f t="shared" si="0"/>
        <v>466.86200021834884</v>
      </c>
      <c r="D62">
        <f t="shared" si="1"/>
        <v>-48.498111329460016</v>
      </c>
      <c r="E62">
        <f t="shared" si="2"/>
        <v>2352.0668025246978</v>
      </c>
      <c r="F62">
        <f t="shared" si="3"/>
        <v>11.592327305844599</v>
      </c>
    </row>
    <row r="63" spans="1:6" x14ac:dyDescent="0.35">
      <c r="A63" s="9">
        <v>45066</v>
      </c>
      <c r="B63" s="8">
        <v>379.2157894736842</v>
      </c>
      <c r="C63">
        <f t="shared" si="0"/>
        <v>419.36756687089917</v>
      </c>
      <c r="D63">
        <f t="shared" si="1"/>
        <v>-40.151777397214971</v>
      </c>
      <c r="E63">
        <f t="shared" si="2"/>
        <v>1612.165228155503</v>
      </c>
      <c r="F63">
        <f t="shared" si="3"/>
        <v>10.588108014421515</v>
      </c>
    </row>
    <row r="64" spans="1:6" x14ac:dyDescent="0.35">
      <c r="A64" s="9">
        <v>45097</v>
      </c>
      <c r="B64" s="8">
        <v>411.59545454545446</v>
      </c>
      <c r="C64">
        <f t="shared" si="0"/>
        <v>415.63336440368045</v>
      </c>
      <c r="D64">
        <f t="shared" si="1"/>
        <v>-4.0379098582259871</v>
      </c>
      <c r="E64">
        <f t="shared" si="2"/>
        <v>16.304716023158612</v>
      </c>
      <c r="F64">
        <f t="shared" si="3"/>
        <v>0.98103849632772389</v>
      </c>
    </row>
    <row r="65" spans="1:6" x14ac:dyDescent="0.35">
      <c r="A65" s="9">
        <v>45127</v>
      </c>
      <c r="B65" s="8">
        <v>438.60217391304343</v>
      </c>
      <c r="C65">
        <f t="shared" si="0"/>
        <v>427.11531478151903</v>
      </c>
      <c r="D65">
        <f t="shared" si="1"/>
        <v>11.486859131524398</v>
      </c>
      <c r="E65">
        <f t="shared" si="2"/>
        <v>131.94793270748545</v>
      </c>
      <c r="F65">
        <f t="shared" si="3"/>
        <v>2.6189699492464813</v>
      </c>
    </row>
    <row r="66" spans="1:6" x14ac:dyDescent="0.35">
      <c r="A66" s="9">
        <v>45158</v>
      </c>
      <c r="B66" s="8">
        <v>447.87619047619046</v>
      </c>
      <c r="C66">
        <f t="shared" si="0"/>
        <v>443.24778373800109</v>
      </c>
      <c r="D66">
        <f t="shared" si="1"/>
        <v>4.6284067381893692</v>
      </c>
      <c r="E66">
        <f t="shared" si="2"/>
        <v>21.422148934116755</v>
      </c>
      <c r="F66">
        <f t="shared" si="3"/>
        <v>1.0334120983900394</v>
      </c>
    </row>
    <row r="67" spans="1:6" x14ac:dyDescent="0.35">
      <c r="A67" s="9">
        <v>45189</v>
      </c>
      <c r="B67" s="8">
        <v>441.55909090909086</v>
      </c>
      <c r="C67">
        <f t="shared" si="0"/>
        <v>470.24456827592695</v>
      </c>
      <c r="D67">
        <f t="shared" si="1"/>
        <v>-28.685477366836096</v>
      </c>
      <c r="E67">
        <f t="shared" si="2"/>
        <v>822.85661176326596</v>
      </c>
      <c r="F67">
        <f t="shared" si="3"/>
        <v>6.4964073795373238</v>
      </c>
    </row>
    <row r="68" spans="1:6" x14ac:dyDescent="0.35">
      <c r="A68" s="9">
        <v>45219</v>
      </c>
      <c r="B68" s="8">
        <v>478.31190476190483</v>
      </c>
      <c r="C68">
        <f t="shared" si="0"/>
        <v>509.36982954545454</v>
      </c>
      <c r="D68">
        <f t="shared" si="1"/>
        <v>-31.057924783549709</v>
      </c>
      <c r="E68">
        <f t="shared" si="2"/>
        <v>964.5946918606312</v>
      </c>
      <c r="F68">
        <f t="shared" si="3"/>
        <v>6.4932368344479725</v>
      </c>
    </row>
    <row r="69" spans="1:6" x14ac:dyDescent="0.35">
      <c r="A69" s="9">
        <v>45250</v>
      </c>
      <c r="B69" s="8">
        <v>587.86</v>
      </c>
      <c r="C69">
        <f t="shared" si="0"/>
        <v>557.38203869047629</v>
      </c>
      <c r="D69">
        <f t="shared" si="1"/>
        <v>30.477961309523721</v>
      </c>
      <c r="E69">
        <f t="shared" si="2"/>
        <v>928.90612558482485</v>
      </c>
      <c r="F69">
        <f t="shared" si="3"/>
        <v>5.1845611726471814</v>
      </c>
    </row>
    <row r="70" spans="1:6" x14ac:dyDescent="0.35">
      <c r="A70" s="9">
        <v>45280</v>
      </c>
      <c r="B70" s="8">
        <v>611.62045454545466</v>
      </c>
      <c r="C70">
        <f t="shared" ref="C70:C83" si="4">AVERAGE(AVERAGE(B68:B71),AVERAGE(B69:B72))</f>
        <v>618.12785173160182</v>
      </c>
      <c r="D70">
        <f t="shared" ref="D70:D83" si="5">B70-C70</f>
        <v>-6.5073971861471591</v>
      </c>
      <c r="E70">
        <f t="shared" ref="E70:E83" si="6">D70*D70</f>
        <v>42.346218138275965</v>
      </c>
      <c r="F70">
        <f t="shared" ref="F70:F83" si="7">ABS(D70)/B70*100</f>
        <v>1.063960032367351</v>
      </c>
    </row>
    <row r="71" spans="1:6" x14ac:dyDescent="0.35">
      <c r="A71" s="9">
        <v>44947</v>
      </c>
      <c r="B71" s="8">
        <v>661.91250000000002</v>
      </c>
      <c r="C71">
        <f t="shared" si="4"/>
        <v>668.77079816017317</v>
      </c>
      <c r="D71">
        <f t="shared" si="5"/>
        <v>-6.858298160173149</v>
      </c>
      <c r="E71">
        <f t="shared" si="6"/>
        <v>47.0362536538344</v>
      </c>
      <c r="F71">
        <f t="shared" si="7"/>
        <v>1.036133652132744</v>
      </c>
    </row>
    <row r="72" spans="1:6" x14ac:dyDescent="0.35">
      <c r="A72" s="9">
        <v>44978</v>
      </c>
      <c r="B72" s="8">
        <v>743.92499999999995</v>
      </c>
      <c r="C72">
        <f t="shared" si="4"/>
        <v>694.76777455001138</v>
      </c>
      <c r="D72">
        <f t="shared" si="5"/>
        <v>49.157225449988573</v>
      </c>
      <c r="E72">
        <f t="shared" si="6"/>
        <v>2416.432813941004</v>
      </c>
      <c r="F72">
        <f t="shared" si="7"/>
        <v>6.6078200692258724</v>
      </c>
    </row>
    <row r="73" spans="1:6" x14ac:dyDescent="0.35">
      <c r="A73" s="9">
        <v>45006</v>
      </c>
      <c r="B73" s="8">
        <v>727.39047619047631</v>
      </c>
      <c r="C73">
        <f t="shared" si="4"/>
        <v>710.42750391604011</v>
      </c>
      <c r="D73">
        <f t="shared" si="5"/>
        <v>16.962972274436197</v>
      </c>
      <c r="E73">
        <f t="shared" si="6"/>
        <v>287.74242838329116</v>
      </c>
      <c r="F73">
        <f t="shared" si="7"/>
        <v>2.3320311207916102</v>
      </c>
    </row>
    <row r="74" spans="1:6" x14ac:dyDescent="0.35">
      <c r="A74" s="9">
        <v>45037</v>
      </c>
      <c r="B74" s="8">
        <v>680.06578947368416</v>
      </c>
      <c r="C74">
        <f t="shared" si="4"/>
        <v>717.59775959785827</v>
      </c>
      <c r="D74">
        <f t="shared" si="5"/>
        <v>-37.531970124174109</v>
      </c>
      <c r="E74">
        <f t="shared" si="6"/>
        <v>1408.6487814018978</v>
      </c>
      <c r="F74">
        <f t="shared" si="7"/>
        <v>5.518873424469831</v>
      </c>
    </row>
    <row r="75" spans="1:6" x14ac:dyDescent="0.35">
      <c r="A75" s="9">
        <v>45067</v>
      </c>
      <c r="B75" s="8">
        <v>718.745</v>
      </c>
      <c r="C75">
        <f t="shared" si="4"/>
        <v>720.55145277967642</v>
      </c>
      <c r="D75">
        <f t="shared" si="5"/>
        <v>-1.8064527796764196</v>
      </c>
      <c r="E75">
        <f t="shared" si="6"/>
        <v>3.2632716452006632</v>
      </c>
      <c r="F75">
        <f t="shared" si="7"/>
        <v>0.25133430906321708</v>
      </c>
    </row>
    <row r="76" spans="1:6" x14ac:dyDescent="0.35">
      <c r="A76" s="9">
        <v>45098</v>
      </c>
      <c r="B76" s="8">
        <v>744.45454545454538</v>
      </c>
      <c r="C76">
        <f t="shared" si="4"/>
        <v>732.4962052859421</v>
      </c>
      <c r="D76">
        <f t="shared" si="5"/>
        <v>11.958340168603286</v>
      </c>
      <c r="E76">
        <f t="shared" si="6"/>
        <v>143.00189958803085</v>
      </c>
      <c r="F76">
        <f t="shared" si="7"/>
        <v>1.606322406333327</v>
      </c>
    </row>
    <row r="77" spans="1:6" x14ac:dyDescent="0.35">
      <c r="A77" s="9">
        <v>45128</v>
      </c>
      <c r="B77" s="8">
        <v>750.4904761904761</v>
      </c>
      <c r="C77">
        <f t="shared" si="4"/>
        <v>751.00676136363631</v>
      </c>
      <c r="D77">
        <f t="shared" si="5"/>
        <v>-0.51628517316021316</v>
      </c>
      <c r="E77">
        <f t="shared" si="6"/>
        <v>0.26655038002507131</v>
      </c>
      <c r="F77">
        <f t="shared" si="7"/>
        <v>6.8793034627288044E-2</v>
      </c>
    </row>
    <row r="78" spans="1:6" x14ac:dyDescent="0.35">
      <c r="A78" s="9">
        <v>45159</v>
      </c>
      <c r="B78" s="8">
        <v>752.52380952380952</v>
      </c>
      <c r="C78">
        <f t="shared" si="4"/>
        <v>766.5769967532467</v>
      </c>
      <c r="D78">
        <f t="shared" si="5"/>
        <v>-14.053187229437185</v>
      </c>
      <c r="E78">
        <f t="shared" si="6"/>
        <v>197.49207130561638</v>
      </c>
      <c r="F78">
        <f t="shared" si="7"/>
        <v>1.8674740987039227</v>
      </c>
    </row>
    <row r="79" spans="1:6" x14ac:dyDescent="0.35">
      <c r="A79" s="9">
        <v>45190</v>
      </c>
      <c r="B79" s="8">
        <v>794.37142857142851</v>
      </c>
      <c r="C79">
        <f t="shared" si="4"/>
        <v>768.35136904761907</v>
      </c>
      <c r="D79">
        <f t="shared" si="5"/>
        <v>26.020059523809437</v>
      </c>
      <c r="E79">
        <f t="shared" si="6"/>
        <v>677.04349762258619</v>
      </c>
      <c r="F79">
        <f t="shared" si="7"/>
        <v>3.2755532976057635</v>
      </c>
    </row>
    <row r="80" spans="1:6" x14ac:dyDescent="0.35">
      <c r="A80" s="9">
        <v>45220</v>
      </c>
      <c r="B80" s="8">
        <v>793.39</v>
      </c>
      <c r="C80">
        <f t="shared" si="4"/>
        <v>755.29768115942034</v>
      </c>
      <c r="D80">
        <f t="shared" si="5"/>
        <v>38.092318840579651</v>
      </c>
      <c r="E80">
        <f t="shared" si="6"/>
        <v>1451.0247546523794</v>
      </c>
      <c r="F80">
        <f t="shared" si="7"/>
        <v>4.8012098514702295</v>
      </c>
    </row>
    <row r="81" spans="1:6" x14ac:dyDescent="0.35">
      <c r="A81" s="9">
        <v>45251</v>
      </c>
      <c r="B81" s="8">
        <v>715.75</v>
      </c>
      <c r="C81">
        <f t="shared" si="4"/>
        <v>738.95168672360251</v>
      </c>
      <c r="D81">
        <f t="shared" si="5"/>
        <v>-23.201686723602506</v>
      </c>
      <c r="E81">
        <f t="shared" si="6"/>
        <v>538.31826682019278</v>
      </c>
      <c r="F81">
        <f t="shared" si="7"/>
        <v>3.2415908800003503</v>
      </c>
    </row>
    <row r="82" spans="1:6" x14ac:dyDescent="0.35">
      <c r="A82" s="9">
        <v>45281</v>
      </c>
      <c r="B82" s="8">
        <v>682.83478260869572</v>
      </c>
      <c r="C82">
        <f t="shared" si="4"/>
        <v>730.28807065217393</v>
      </c>
      <c r="D82">
        <f t="shared" si="5"/>
        <v>-47.45328804347821</v>
      </c>
      <c r="E82">
        <f t="shared" si="6"/>
        <v>2251.8145461373119</v>
      </c>
      <c r="F82">
        <f t="shared" si="7"/>
        <v>6.9494538433130346</v>
      </c>
    </row>
    <row r="83" spans="1:6" x14ac:dyDescent="0.35">
      <c r="A83" s="9">
        <v>44948</v>
      </c>
      <c r="B83" s="8">
        <v>733.29250000000002</v>
      </c>
      <c r="C83">
        <f t="shared" si="4"/>
        <v>729.31525815217378</v>
      </c>
      <c r="D83">
        <f t="shared" si="5"/>
        <v>3.9772418478262352</v>
      </c>
      <c r="E83">
        <f t="shared" si="6"/>
        <v>15.818452716100246</v>
      </c>
      <c r="F83">
        <f t="shared" si="7"/>
        <v>0.54238136184758945</v>
      </c>
    </row>
    <row r="84" spans="1:6" x14ac:dyDescent="0.35">
      <c r="A84" s="9">
        <v>44979</v>
      </c>
      <c r="B84" s="8">
        <v>785.16</v>
      </c>
    </row>
    <row r="85" spans="1:6" x14ac:dyDescent="0.35">
      <c r="A85" s="9">
        <v>45007</v>
      </c>
      <c r="B85" s="8">
        <v>716.19749999999999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7BA1-19B6-4B56-B7CA-36F252640386}">
  <dimension ref="A1:J85"/>
  <sheetViews>
    <sheetView workbookViewId="0">
      <selection activeCell="L7" sqref="L7"/>
    </sheetView>
  </sheetViews>
  <sheetFormatPr defaultRowHeight="14.5" x14ac:dyDescent="0.35"/>
  <sheetData>
    <row r="1" spans="1:10" x14ac:dyDescent="0.35">
      <c r="A1" t="s">
        <v>28</v>
      </c>
      <c r="B1" t="s">
        <v>4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10" x14ac:dyDescent="0.35">
      <c r="A2" s="9">
        <v>45031</v>
      </c>
      <c r="B2">
        <v>548.38421052631577</v>
      </c>
    </row>
    <row r="3" spans="1:10" x14ac:dyDescent="0.35">
      <c r="A3" s="9">
        <v>45061</v>
      </c>
      <c r="B3">
        <v>559.79999999999995</v>
      </c>
      <c r="I3" t="s">
        <v>54</v>
      </c>
      <c r="J3">
        <f>SUM(E:E)/84</f>
        <v>790.20753609098858</v>
      </c>
    </row>
    <row r="4" spans="1:10" x14ac:dyDescent="0.35">
      <c r="A4" s="9">
        <v>45092</v>
      </c>
      <c r="B4">
        <v>558.47499999999991</v>
      </c>
      <c r="C4">
        <f>AVERAGE(B2:B6)</f>
        <v>558.96666612182639</v>
      </c>
      <c r="D4">
        <f>B4-C4</f>
        <v>-0.4916661218264835</v>
      </c>
      <c r="E4">
        <f t="shared" ref="E4:E67" si="0">D4*D4</f>
        <v>0.24173557535189452</v>
      </c>
      <c r="F4">
        <f t="shared" ref="F4:F67" si="1">ABS(D4)</f>
        <v>0.4916661218264835</v>
      </c>
      <c r="G4">
        <f>(F4/B4)*100</f>
        <v>8.8037266095435524E-2</v>
      </c>
      <c r="I4" t="s">
        <v>55</v>
      </c>
      <c r="J4">
        <f>SQRT(J3)</f>
        <v>28.110630304050257</v>
      </c>
    </row>
    <row r="5" spans="1:10" x14ac:dyDescent="0.35">
      <c r="A5" s="9">
        <v>45122</v>
      </c>
      <c r="B5">
        <v>581.22173913043491</v>
      </c>
      <c r="C5">
        <f t="shared" ref="C5:C68" si="2">AVERAGE(B3:B7)</f>
        <v>547.65282401656327</v>
      </c>
      <c r="D5">
        <f t="shared" ref="D5:D68" si="3">B5-C5</f>
        <v>33.56891511387164</v>
      </c>
      <c r="E5">
        <f t="shared" si="0"/>
        <v>1126.8720619223197</v>
      </c>
      <c r="F5">
        <f t="shared" si="1"/>
        <v>33.56891511387164</v>
      </c>
      <c r="G5">
        <f t="shared" ref="G5:G68" si="4">(F5/B5)*100</f>
        <v>5.775578037410309</v>
      </c>
      <c r="I5" t="s">
        <v>56</v>
      </c>
      <c r="J5">
        <f>SUM(G:G)/84</f>
        <v>3.5194060484427006</v>
      </c>
    </row>
    <row r="6" spans="1:10" x14ac:dyDescent="0.35">
      <c r="A6" s="9">
        <v>45153</v>
      </c>
      <c r="B6">
        <v>546.95238095238096</v>
      </c>
      <c r="C6">
        <f t="shared" si="2"/>
        <v>535.64282401656305</v>
      </c>
      <c r="D6">
        <f t="shared" si="3"/>
        <v>11.309556935817909</v>
      </c>
      <c r="E6">
        <f t="shared" si="0"/>
        <v>127.90607808450697</v>
      </c>
      <c r="F6">
        <f t="shared" si="1"/>
        <v>11.309556935817909</v>
      </c>
      <c r="G6">
        <f t="shared" si="4"/>
        <v>2.0677406899893445</v>
      </c>
      <c r="I6">
        <f>COUNT(B2:B85)</f>
        <v>84</v>
      </c>
    </row>
    <row r="7" spans="1:10" x14ac:dyDescent="0.35">
      <c r="A7" s="9">
        <v>45184</v>
      </c>
      <c r="B7">
        <v>491.81499999999994</v>
      </c>
      <c r="C7">
        <f t="shared" si="2"/>
        <v>517.93150822708958</v>
      </c>
      <c r="D7">
        <f t="shared" si="3"/>
        <v>-26.116508227089639</v>
      </c>
      <c r="E7">
        <f t="shared" si="0"/>
        <v>682.07200197564077</v>
      </c>
      <c r="F7">
        <f t="shared" si="1"/>
        <v>26.116508227089639</v>
      </c>
      <c r="G7">
        <f t="shared" si="4"/>
        <v>5.3102301123572166</v>
      </c>
      <c r="I7" s="8" t="s">
        <v>58</v>
      </c>
      <c r="J7" s="8">
        <f>100-J5</f>
        <v>96.480593951557296</v>
      </c>
    </row>
    <row r="8" spans="1:10" x14ac:dyDescent="0.35">
      <c r="A8" s="9">
        <v>45214</v>
      </c>
      <c r="B8">
        <v>499.74999999999989</v>
      </c>
      <c r="C8">
        <f t="shared" si="2"/>
        <v>491.59443312827523</v>
      </c>
      <c r="D8">
        <f t="shared" si="3"/>
        <v>8.155566871724659</v>
      </c>
      <c r="E8">
        <f t="shared" si="0"/>
        <v>66.513270999172747</v>
      </c>
      <c r="F8">
        <f t="shared" si="1"/>
        <v>8.155566871724659</v>
      </c>
      <c r="G8">
        <f t="shared" si="4"/>
        <v>1.6319293390144394</v>
      </c>
    </row>
    <row r="9" spans="1:10" x14ac:dyDescent="0.35">
      <c r="A9" s="9">
        <v>45245</v>
      </c>
      <c r="B9">
        <v>469.91842105263163</v>
      </c>
      <c r="C9">
        <f t="shared" si="2"/>
        <v>464.31045693779896</v>
      </c>
      <c r="D9">
        <f t="shared" si="3"/>
        <v>5.6079641148326687</v>
      </c>
      <c r="E9">
        <f t="shared" si="0"/>
        <v>31.449261513250956</v>
      </c>
      <c r="F9">
        <f t="shared" si="1"/>
        <v>5.6079641148326687</v>
      </c>
      <c r="G9">
        <f t="shared" si="4"/>
        <v>1.1933909937539069</v>
      </c>
    </row>
    <row r="10" spans="1:10" x14ac:dyDescent="0.35">
      <c r="A10" s="9">
        <v>45275</v>
      </c>
      <c r="B10">
        <v>449.53636363636366</v>
      </c>
      <c r="C10">
        <f t="shared" si="2"/>
        <v>444.51650455684666</v>
      </c>
      <c r="D10">
        <f t="shared" si="3"/>
        <v>5.0198590795170048</v>
      </c>
      <c r="E10">
        <f t="shared" si="0"/>
        <v>25.198985178209313</v>
      </c>
      <c r="F10">
        <f t="shared" si="1"/>
        <v>5.0198590795170048</v>
      </c>
      <c r="G10">
        <f t="shared" si="4"/>
        <v>1.1166747532748296</v>
      </c>
    </row>
    <row r="11" spans="1:10" x14ac:dyDescent="0.35">
      <c r="A11" s="9">
        <v>44942</v>
      </c>
      <c r="B11">
        <v>410.53249999999991</v>
      </c>
      <c r="C11">
        <f t="shared" si="2"/>
        <v>429.30650455684662</v>
      </c>
      <c r="D11">
        <f t="shared" si="3"/>
        <v>-18.774004556846705</v>
      </c>
      <c r="E11">
        <f t="shared" si="0"/>
        <v>352.46324710050084</v>
      </c>
      <c r="F11">
        <f t="shared" si="1"/>
        <v>18.774004556846705</v>
      </c>
      <c r="G11">
        <f t="shared" si="4"/>
        <v>4.5730860667174245</v>
      </c>
    </row>
    <row r="12" spans="1:10" x14ac:dyDescent="0.35">
      <c r="A12" s="9">
        <v>44973</v>
      </c>
      <c r="B12">
        <v>392.84523809523807</v>
      </c>
      <c r="C12">
        <f t="shared" si="2"/>
        <v>425.41948701298696</v>
      </c>
      <c r="D12">
        <f t="shared" si="3"/>
        <v>-32.574248917748889</v>
      </c>
      <c r="E12">
        <f t="shared" si="0"/>
        <v>1061.0816925554648</v>
      </c>
      <c r="F12">
        <f t="shared" si="1"/>
        <v>32.574248917748889</v>
      </c>
      <c r="G12">
        <f t="shared" si="4"/>
        <v>8.2918782662835451</v>
      </c>
    </row>
    <row r="13" spans="1:10" x14ac:dyDescent="0.35">
      <c r="A13" s="9">
        <v>45001</v>
      </c>
      <c r="B13">
        <v>423.7</v>
      </c>
      <c r="C13">
        <f t="shared" si="2"/>
        <v>433.54539610389611</v>
      </c>
      <c r="D13">
        <f t="shared" si="3"/>
        <v>-9.8453961038961211</v>
      </c>
      <c r="E13">
        <f t="shared" si="0"/>
        <v>96.931824442612921</v>
      </c>
      <c r="F13">
        <f t="shared" si="1"/>
        <v>9.8453961038961211</v>
      </c>
      <c r="G13">
        <f t="shared" si="4"/>
        <v>2.3236714901808169</v>
      </c>
    </row>
    <row r="14" spans="1:10" x14ac:dyDescent="0.35">
      <c r="A14" s="9">
        <v>45032</v>
      </c>
      <c r="B14">
        <v>450.48333333333335</v>
      </c>
      <c r="C14">
        <f t="shared" si="2"/>
        <v>456.72571428571428</v>
      </c>
      <c r="D14">
        <f t="shared" si="3"/>
        <v>-6.2423809523809268</v>
      </c>
      <c r="E14">
        <f t="shared" si="0"/>
        <v>38.967319954648204</v>
      </c>
      <c r="F14">
        <f t="shared" si="1"/>
        <v>6.2423809523809268</v>
      </c>
      <c r="G14">
        <f t="shared" si="4"/>
        <v>1.3857074147872861</v>
      </c>
    </row>
    <row r="15" spans="1:10" x14ac:dyDescent="0.35">
      <c r="A15" s="9">
        <v>45062</v>
      </c>
      <c r="B15">
        <v>490.16590909090917</v>
      </c>
      <c r="C15">
        <f t="shared" si="2"/>
        <v>488.19566666666668</v>
      </c>
      <c r="D15">
        <f t="shared" si="3"/>
        <v>1.9702424242424854</v>
      </c>
      <c r="E15">
        <f t="shared" si="0"/>
        <v>3.8818552102849058</v>
      </c>
      <c r="F15">
        <f t="shared" si="1"/>
        <v>1.9702424242424854</v>
      </c>
      <c r="G15">
        <f t="shared" si="4"/>
        <v>0.4019541929989815</v>
      </c>
    </row>
    <row r="16" spans="1:10" x14ac:dyDescent="0.35">
      <c r="A16" s="9">
        <v>45093</v>
      </c>
      <c r="B16">
        <v>526.43409090909086</v>
      </c>
      <c r="C16">
        <f t="shared" si="2"/>
        <v>518.80975757575766</v>
      </c>
      <c r="D16">
        <f t="shared" si="3"/>
        <v>7.6243333333331975</v>
      </c>
      <c r="E16">
        <f t="shared" si="0"/>
        <v>58.130458777775708</v>
      </c>
      <c r="F16">
        <f t="shared" si="1"/>
        <v>7.6243333333331975</v>
      </c>
      <c r="G16">
        <f t="shared" si="4"/>
        <v>1.4482977954879128</v>
      </c>
    </row>
    <row r="17" spans="1:7" x14ac:dyDescent="0.35">
      <c r="A17" s="9">
        <v>45123</v>
      </c>
      <c r="B17">
        <v>550.19499999999994</v>
      </c>
      <c r="C17">
        <f t="shared" si="2"/>
        <v>546.09059090909091</v>
      </c>
      <c r="D17">
        <f t="shared" si="3"/>
        <v>4.1044090909090301</v>
      </c>
      <c r="E17">
        <f t="shared" si="0"/>
        <v>16.846173985536691</v>
      </c>
      <c r="F17">
        <f t="shared" si="1"/>
        <v>4.1044090909090301</v>
      </c>
      <c r="G17">
        <f t="shared" si="4"/>
        <v>0.7459917103770537</v>
      </c>
    </row>
    <row r="18" spans="1:7" x14ac:dyDescent="0.35">
      <c r="A18" s="9">
        <v>45154</v>
      </c>
      <c r="B18">
        <v>576.77045454545453</v>
      </c>
      <c r="C18">
        <f t="shared" si="2"/>
        <v>552.48319856459329</v>
      </c>
      <c r="D18">
        <f t="shared" si="3"/>
        <v>24.287255980861232</v>
      </c>
      <c r="E18">
        <f t="shared" si="0"/>
        <v>589.87080307987969</v>
      </c>
      <c r="F18">
        <f t="shared" si="1"/>
        <v>24.287255980861232</v>
      </c>
      <c r="G18">
        <f t="shared" si="4"/>
        <v>4.2109050124631837</v>
      </c>
    </row>
    <row r="19" spans="1:7" x14ac:dyDescent="0.35">
      <c r="A19" s="9">
        <v>45185</v>
      </c>
      <c r="B19">
        <v>586.88750000000005</v>
      </c>
      <c r="C19">
        <f t="shared" si="2"/>
        <v>542.81495181134665</v>
      </c>
      <c r="D19">
        <f t="shared" si="3"/>
        <v>44.0725481886534</v>
      </c>
      <c r="E19">
        <f t="shared" si="0"/>
        <v>1942.3895038411761</v>
      </c>
      <c r="F19">
        <f t="shared" si="1"/>
        <v>44.0725481886534</v>
      </c>
      <c r="G19">
        <f t="shared" si="4"/>
        <v>7.5095394242769524</v>
      </c>
    </row>
    <row r="20" spans="1:7" x14ac:dyDescent="0.35">
      <c r="A20" s="9">
        <v>45215</v>
      </c>
      <c r="B20">
        <v>522.12894736842111</v>
      </c>
      <c r="C20">
        <f t="shared" si="2"/>
        <v>523.57776999316479</v>
      </c>
      <c r="D20">
        <f t="shared" si="3"/>
        <v>-1.4488226247436842</v>
      </c>
      <c r="E20">
        <f t="shared" si="0"/>
        <v>2.0990869979691782</v>
      </c>
      <c r="F20">
        <f t="shared" si="1"/>
        <v>1.4488226247436842</v>
      </c>
      <c r="G20">
        <f t="shared" si="4"/>
        <v>0.27748368138673141</v>
      </c>
    </row>
    <row r="21" spans="1:7" x14ac:dyDescent="0.35">
      <c r="A21" s="9">
        <v>45246</v>
      </c>
      <c r="B21">
        <v>478.0928571428571</v>
      </c>
      <c r="C21">
        <f t="shared" si="2"/>
        <v>500.69129813169292</v>
      </c>
      <c r="D21">
        <f t="shared" si="3"/>
        <v>-22.598440988835819</v>
      </c>
      <c r="E21">
        <f t="shared" si="0"/>
        <v>510.68953512589479</v>
      </c>
      <c r="F21">
        <f t="shared" si="1"/>
        <v>22.598440988835819</v>
      </c>
      <c r="G21">
        <f t="shared" si="4"/>
        <v>4.7267890852599086</v>
      </c>
    </row>
    <row r="22" spans="1:7" x14ac:dyDescent="0.35">
      <c r="A22" s="9">
        <v>45276</v>
      </c>
      <c r="B22">
        <v>454.00909090909096</v>
      </c>
      <c r="C22">
        <f t="shared" si="2"/>
        <v>482.30800865800865</v>
      </c>
      <c r="D22">
        <f t="shared" si="3"/>
        <v>-28.298917748917688</v>
      </c>
      <c r="E22">
        <f t="shared" si="0"/>
        <v>800.82874576000859</v>
      </c>
      <c r="F22">
        <f t="shared" si="1"/>
        <v>28.298917748917688</v>
      </c>
      <c r="G22">
        <f t="shared" si="4"/>
        <v>6.2331169828015964</v>
      </c>
    </row>
    <row r="23" spans="1:7" x14ac:dyDescent="0.35">
      <c r="A23" s="9">
        <v>44943</v>
      </c>
      <c r="B23">
        <v>462.33809523809515</v>
      </c>
      <c r="C23">
        <f t="shared" si="2"/>
        <v>478.76676463886986</v>
      </c>
      <c r="D23">
        <f t="shared" si="3"/>
        <v>-16.428669400774709</v>
      </c>
      <c r="E23">
        <f t="shared" si="0"/>
        <v>269.90117827995124</v>
      </c>
      <c r="F23">
        <f t="shared" si="1"/>
        <v>16.428669400774709</v>
      </c>
      <c r="G23">
        <f t="shared" si="4"/>
        <v>3.5533886499909255</v>
      </c>
    </row>
    <row r="24" spans="1:7" x14ac:dyDescent="0.35">
      <c r="A24" s="9">
        <v>44974</v>
      </c>
      <c r="B24">
        <v>494.97105263157897</v>
      </c>
      <c r="C24">
        <f t="shared" si="2"/>
        <v>484.0965265436318</v>
      </c>
      <c r="D24">
        <f t="shared" si="3"/>
        <v>10.874526087947174</v>
      </c>
      <c r="E24">
        <f t="shared" si="0"/>
        <v>118.25531763744368</v>
      </c>
      <c r="F24">
        <f t="shared" si="1"/>
        <v>10.874526087947174</v>
      </c>
      <c r="G24">
        <f t="shared" si="4"/>
        <v>2.1970024368357142</v>
      </c>
    </row>
    <row r="25" spans="1:7" x14ac:dyDescent="0.35">
      <c r="A25" s="9">
        <v>45002</v>
      </c>
      <c r="B25">
        <v>504.42272727272717</v>
      </c>
      <c r="C25">
        <f t="shared" si="2"/>
        <v>494.75198108908637</v>
      </c>
      <c r="D25">
        <f t="shared" si="3"/>
        <v>9.6707461836408015</v>
      </c>
      <c r="E25">
        <f t="shared" si="0"/>
        <v>93.523331748403123</v>
      </c>
      <c r="F25">
        <f t="shared" si="1"/>
        <v>9.6707461836408015</v>
      </c>
      <c r="G25">
        <f t="shared" si="4"/>
        <v>1.9171908125408674</v>
      </c>
    </row>
    <row r="26" spans="1:7" x14ac:dyDescent="0.35">
      <c r="A26" s="9">
        <v>45033</v>
      </c>
      <c r="B26">
        <v>504.74166666666656</v>
      </c>
      <c r="C26">
        <f t="shared" si="2"/>
        <v>504.12245727956252</v>
      </c>
      <c r="D26">
        <f t="shared" si="3"/>
        <v>0.61920938710403561</v>
      </c>
      <c r="E26">
        <f t="shared" si="0"/>
        <v>0.38342026507775545</v>
      </c>
      <c r="F26">
        <f t="shared" si="1"/>
        <v>0.61920938710403561</v>
      </c>
      <c r="G26">
        <f t="shared" si="4"/>
        <v>0.12267847653500022</v>
      </c>
    </row>
    <row r="27" spans="1:7" x14ac:dyDescent="0.35">
      <c r="A27" s="9">
        <v>45063</v>
      </c>
      <c r="B27">
        <v>507.28636363636366</v>
      </c>
      <c r="C27">
        <f t="shared" si="2"/>
        <v>508.90681818181821</v>
      </c>
      <c r="D27">
        <f t="shared" si="3"/>
        <v>-1.6204545454545496</v>
      </c>
      <c r="E27">
        <f t="shared" si="0"/>
        <v>2.625872933884311</v>
      </c>
      <c r="F27">
        <f t="shared" si="1"/>
        <v>1.6204545454545496</v>
      </c>
      <c r="G27">
        <f t="shared" si="4"/>
        <v>0.31943585745902969</v>
      </c>
    </row>
    <row r="28" spans="1:7" x14ac:dyDescent="0.35">
      <c r="A28" s="9">
        <v>45094</v>
      </c>
      <c r="B28">
        <v>509.19047619047626</v>
      </c>
      <c r="C28">
        <f t="shared" si="2"/>
        <v>508.17179653679648</v>
      </c>
      <c r="D28">
        <f t="shared" si="3"/>
        <v>1.0186796536797829</v>
      </c>
      <c r="E28">
        <f t="shared" si="0"/>
        <v>1.0377082368211623</v>
      </c>
      <c r="F28">
        <f t="shared" si="1"/>
        <v>1.0186796536797829</v>
      </c>
      <c r="G28">
        <f t="shared" si="4"/>
        <v>0.20005866199640363</v>
      </c>
    </row>
    <row r="29" spans="1:7" x14ac:dyDescent="0.35">
      <c r="A29" s="9">
        <v>45124</v>
      </c>
      <c r="B29">
        <v>518.89285714285711</v>
      </c>
      <c r="C29">
        <f t="shared" si="2"/>
        <v>508.60679653679654</v>
      </c>
      <c r="D29">
        <f t="shared" si="3"/>
        <v>10.286060606060573</v>
      </c>
      <c r="E29">
        <f t="shared" si="0"/>
        <v>105.80304279155121</v>
      </c>
      <c r="F29">
        <f t="shared" si="1"/>
        <v>10.286060606060573</v>
      </c>
      <c r="G29">
        <f t="shared" si="4"/>
        <v>1.9823091538970063</v>
      </c>
    </row>
    <row r="30" spans="1:7" x14ac:dyDescent="0.35">
      <c r="A30" s="9">
        <v>45155</v>
      </c>
      <c r="B30">
        <v>500.74761904761897</v>
      </c>
      <c r="C30">
        <f t="shared" si="2"/>
        <v>506.36502380952379</v>
      </c>
      <c r="D30">
        <f t="shared" si="3"/>
        <v>-5.6174047619048224</v>
      </c>
      <c r="E30">
        <f t="shared" si="0"/>
        <v>31.555236259070973</v>
      </c>
      <c r="F30">
        <f t="shared" si="1"/>
        <v>5.6174047619048224</v>
      </c>
      <c r="G30">
        <f t="shared" si="4"/>
        <v>1.1218035889194375</v>
      </c>
    </row>
    <row r="31" spans="1:7" x14ac:dyDescent="0.35">
      <c r="A31" s="9">
        <v>45186</v>
      </c>
      <c r="B31">
        <v>506.91666666666657</v>
      </c>
      <c r="C31">
        <f t="shared" si="2"/>
        <v>513.05420129870129</v>
      </c>
      <c r="D31">
        <f t="shared" si="3"/>
        <v>-6.1375346320347148</v>
      </c>
      <c r="E31">
        <f t="shared" si="0"/>
        <v>37.669331359425506</v>
      </c>
      <c r="F31">
        <f t="shared" si="1"/>
        <v>6.1375346320347148</v>
      </c>
      <c r="G31">
        <f t="shared" si="4"/>
        <v>1.2107581059414203</v>
      </c>
    </row>
    <row r="32" spans="1:7" x14ac:dyDescent="0.35">
      <c r="A32" s="9">
        <v>45216</v>
      </c>
      <c r="B32">
        <v>496.07749999999999</v>
      </c>
      <c r="C32">
        <f t="shared" si="2"/>
        <v>518.25162987012982</v>
      </c>
      <c r="D32">
        <f t="shared" si="3"/>
        <v>-22.174129870129832</v>
      </c>
      <c r="E32">
        <f t="shared" si="0"/>
        <v>491.69203549738404</v>
      </c>
      <c r="F32">
        <f t="shared" si="1"/>
        <v>22.174129870129832</v>
      </c>
      <c r="G32">
        <f t="shared" si="4"/>
        <v>4.4698922789543634</v>
      </c>
    </row>
    <row r="33" spans="1:7" x14ac:dyDescent="0.35">
      <c r="A33" s="9">
        <v>45247</v>
      </c>
      <c r="B33">
        <v>542.63636363636351</v>
      </c>
      <c r="C33">
        <f t="shared" si="2"/>
        <v>533.99846969696966</v>
      </c>
      <c r="D33">
        <f t="shared" si="3"/>
        <v>8.6378939393938481</v>
      </c>
      <c r="E33">
        <f t="shared" si="0"/>
        <v>74.613211708216966</v>
      </c>
      <c r="F33">
        <f t="shared" si="1"/>
        <v>8.6378939393938481</v>
      </c>
      <c r="G33">
        <f t="shared" si="4"/>
        <v>1.5918383872228572</v>
      </c>
    </row>
    <row r="34" spans="1:7" x14ac:dyDescent="0.35">
      <c r="A34" s="9">
        <v>45277</v>
      </c>
      <c r="B34">
        <v>544.88</v>
      </c>
      <c r="C34">
        <f t="shared" si="2"/>
        <v>542.68934688995216</v>
      </c>
      <c r="D34">
        <f t="shared" si="3"/>
        <v>2.1906531100478333</v>
      </c>
      <c r="E34">
        <f t="shared" si="0"/>
        <v>4.7989610485622443</v>
      </c>
      <c r="F34">
        <f t="shared" si="1"/>
        <v>2.1906531100478333</v>
      </c>
      <c r="G34">
        <f t="shared" si="4"/>
        <v>0.4020432223696655</v>
      </c>
    </row>
    <row r="35" spans="1:7" x14ac:dyDescent="0.35">
      <c r="A35" s="9">
        <v>44944</v>
      </c>
      <c r="B35">
        <v>579.4818181818182</v>
      </c>
      <c r="C35">
        <f t="shared" si="2"/>
        <v>547.26174162679422</v>
      </c>
      <c r="D35">
        <f t="shared" si="3"/>
        <v>32.220076555023979</v>
      </c>
      <c r="E35">
        <f t="shared" si="0"/>
        <v>1038.133333211606</v>
      </c>
      <c r="F35">
        <f t="shared" si="1"/>
        <v>32.220076555023979</v>
      </c>
      <c r="G35">
        <f t="shared" si="4"/>
        <v>5.5601531478791983</v>
      </c>
    </row>
    <row r="36" spans="1:7" x14ac:dyDescent="0.35">
      <c r="A36" s="9">
        <v>44975</v>
      </c>
      <c r="B36">
        <v>550.37105263157889</v>
      </c>
      <c r="C36">
        <f t="shared" si="2"/>
        <v>542.20161175666442</v>
      </c>
      <c r="D36">
        <f t="shared" si="3"/>
        <v>8.1694408749144714</v>
      </c>
      <c r="E36">
        <f t="shared" si="0"/>
        <v>66.739764208723329</v>
      </c>
      <c r="F36">
        <f t="shared" si="1"/>
        <v>8.1694408749144714</v>
      </c>
      <c r="G36">
        <f t="shared" si="4"/>
        <v>1.484351481759913</v>
      </c>
    </row>
    <row r="37" spans="1:7" x14ac:dyDescent="0.35">
      <c r="A37" s="9">
        <v>45003</v>
      </c>
      <c r="B37">
        <v>518.9394736842105</v>
      </c>
      <c r="C37">
        <f t="shared" si="2"/>
        <v>540.98924812030077</v>
      </c>
      <c r="D37">
        <f t="shared" si="3"/>
        <v>-22.049774436090274</v>
      </c>
      <c r="E37">
        <f t="shared" si="0"/>
        <v>486.19255268246019</v>
      </c>
      <c r="F37">
        <f t="shared" si="1"/>
        <v>22.049774436090274</v>
      </c>
      <c r="G37">
        <f t="shared" si="4"/>
        <v>4.2490069756204738</v>
      </c>
    </row>
    <row r="38" spans="1:7" x14ac:dyDescent="0.35">
      <c r="A38" s="9">
        <v>45034</v>
      </c>
      <c r="B38">
        <v>517.33571428571429</v>
      </c>
      <c r="C38">
        <f t="shared" si="2"/>
        <v>530.27859876965135</v>
      </c>
      <c r="D38">
        <f t="shared" si="3"/>
        <v>-12.942884483937064</v>
      </c>
      <c r="E38">
        <f t="shared" si="0"/>
        <v>167.51825876453881</v>
      </c>
      <c r="F38">
        <f t="shared" si="1"/>
        <v>12.942884483937064</v>
      </c>
      <c r="G38">
        <f t="shared" si="4"/>
        <v>2.5018347132301337</v>
      </c>
    </row>
    <row r="39" spans="1:7" x14ac:dyDescent="0.35">
      <c r="A39" s="9">
        <v>45064</v>
      </c>
      <c r="B39">
        <v>538.81818181818176</v>
      </c>
      <c r="C39">
        <f t="shared" si="2"/>
        <v>526.5648427887902</v>
      </c>
      <c r="D39">
        <f t="shared" si="3"/>
        <v>12.253339029391555</v>
      </c>
      <c r="E39">
        <f t="shared" si="0"/>
        <v>150.14431736921037</v>
      </c>
      <c r="F39">
        <f t="shared" si="1"/>
        <v>12.253339029391555</v>
      </c>
      <c r="G39">
        <f t="shared" si="4"/>
        <v>2.2741138741911104</v>
      </c>
    </row>
    <row r="40" spans="1:7" x14ac:dyDescent="0.35">
      <c r="A40" s="9">
        <v>45095</v>
      </c>
      <c r="B40">
        <v>525.92857142857156</v>
      </c>
      <c r="C40">
        <f t="shared" si="2"/>
        <v>546.21980519480519</v>
      </c>
      <c r="D40">
        <f t="shared" si="3"/>
        <v>-20.291233766233631</v>
      </c>
      <c r="E40">
        <f t="shared" si="0"/>
        <v>411.73416775593989</v>
      </c>
      <c r="F40">
        <f t="shared" si="1"/>
        <v>20.291233766233631</v>
      </c>
      <c r="G40">
        <f t="shared" si="4"/>
        <v>3.8581729285246604</v>
      </c>
    </row>
    <row r="41" spans="1:7" x14ac:dyDescent="0.35">
      <c r="A41" s="9">
        <v>45125</v>
      </c>
      <c r="B41">
        <v>531.80227272727268</v>
      </c>
      <c r="C41">
        <f t="shared" si="2"/>
        <v>567.7954401154401</v>
      </c>
      <c r="D41">
        <f t="shared" si="3"/>
        <v>-35.993167388167421</v>
      </c>
      <c r="E41">
        <f t="shared" si="0"/>
        <v>1295.5080986326388</v>
      </c>
      <c r="F41">
        <f t="shared" si="1"/>
        <v>35.993167388167421</v>
      </c>
      <c r="G41">
        <f t="shared" si="4"/>
        <v>6.7681484705925676</v>
      </c>
    </row>
    <row r="42" spans="1:7" x14ac:dyDescent="0.35">
      <c r="A42" s="9">
        <v>45156</v>
      </c>
      <c r="B42">
        <v>617.21428571428567</v>
      </c>
      <c r="C42">
        <f t="shared" si="2"/>
        <v>574.20561327561336</v>
      </c>
      <c r="D42">
        <f t="shared" si="3"/>
        <v>43.008672438672306</v>
      </c>
      <c r="E42">
        <f t="shared" si="0"/>
        <v>1849.7459049370109</v>
      </c>
      <c r="F42">
        <f t="shared" si="1"/>
        <v>43.008672438672306</v>
      </c>
      <c r="G42">
        <f t="shared" si="4"/>
        <v>6.9681913452310189</v>
      </c>
    </row>
    <row r="43" spans="1:7" x14ac:dyDescent="0.35">
      <c r="A43" s="9">
        <v>45187</v>
      </c>
      <c r="B43">
        <v>625.21388888888896</v>
      </c>
      <c r="C43">
        <f t="shared" si="2"/>
        <v>592.61889898989898</v>
      </c>
      <c r="D43">
        <f t="shared" si="3"/>
        <v>32.594989898989979</v>
      </c>
      <c r="E43">
        <f t="shared" si="0"/>
        <v>1062.4333665152587</v>
      </c>
      <c r="F43">
        <f t="shared" si="1"/>
        <v>32.594989898989979</v>
      </c>
      <c r="G43">
        <f t="shared" si="4"/>
        <v>5.2134142376326285</v>
      </c>
    </row>
    <row r="44" spans="1:7" x14ac:dyDescent="0.35">
      <c r="A44" s="9">
        <v>45217</v>
      </c>
      <c r="B44">
        <v>570.86904761904782</v>
      </c>
      <c r="C44">
        <f t="shared" si="2"/>
        <v>609.75694444444446</v>
      </c>
      <c r="D44">
        <f t="shared" si="3"/>
        <v>-38.887896825396638</v>
      </c>
      <c r="E44">
        <f t="shared" si="0"/>
        <v>1512.2685195026938</v>
      </c>
      <c r="F44">
        <f t="shared" si="1"/>
        <v>38.887896825396638</v>
      </c>
      <c r="G44">
        <f t="shared" si="4"/>
        <v>6.81205207877154</v>
      </c>
    </row>
    <row r="45" spans="1:7" x14ac:dyDescent="0.35">
      <c r="A45" s="9">
        <v>45248</v>
      </c>
      <c r="B45">
        <v>617.995</v>
      </c>
      <c r="C45">
        <f t="shared" si="2"/>
        <v>617.92930469289172</v>
      </c>
      <c r="D45">
        <f t="shared" si="3"/>
        <v>6.5695307108285306E-2</v>
      </c>
      <c r="E45">
        <f t="shared" si="0"/>
        <v>4.3158733760519218E-3</v>
      </c>
      <c r="F45">
        <f t="shared" si="1"/>
        <v>6.5695307108285306E-2</v>
      </c>
      <c r="G45">
        <f t="shared" si="4"/>
        <v>1.0630394600002476E-2</v>
      </c>
    </row>
    <row r="46" spans="1:7" x14ac:dyDescent="0.35">
      <c r="A46" s="9">
        <v>45278</v>
      </c>
      <c r="B46">
        <v>617.49249999999995</v>
      </c>
      <c r="C46">
        <f t="shared" si="2"/>
        <v>634.54302691511407</v>
      </c>
      <c r="D46">
        <f t="shared" si="3"/>
        <v>-17.050526915114119</v>
      </c>
      <c r="E46">
        <f t="shared" si="0"/>
        <v>290.72046808303099</v>
      </c>
      <c r="F46">
        <f t="shared" si="1"/>
        <v>17.050526915114119</v>
      </c>
      <c r="G46">
        <f t="shared" si="4"/>
        <v>2.7612524711011259</v>
      </c>
    </row>
    <row r="47" spans="1:7" x14ac:dyDescent="0.35">
      <c r="A47" s="9">
        <v>44945</v>
      </c>
      <c r="B47">
        <v>658.07608695652186</v>
      </c>
      <c r="C47">
        <f t="shared" si="2"/>
        <v>669.40395423340965</v>
      </c>
      <c r="D47">
        <f t="shared" si="3"/>
        <v>-11.327867276887787</v>
      </c>
      <c r="E47">
        <f t="shared" si="0"/>
        <v>128.32057704278512</v>
      </c>
      <c r="F47">
        <f t="shared" si="1"/>
        <v>11.327867276887787</v>
      </c>
      <c r="G47">
        <f t="shared" si="4"/>
        <v>1.7213613290944885</v>
      </c>
    </row>
    <row r="48" spans="1:7" x14ac:dyDescent="0.35">
      <c r="A48" s="9">
        <v>44976</v>
      </c>
      <c r="B48">
        <v>708.28250000000003</v>
      </c>
      <c r="C48">
        <f t="shared" si="2"/>
        <v>697.89705949656752</v>
      </c>
      <c r="D48">
        <f t="shared" si="3"/>
        <v>10.385440503432505</v>
      </c>
      <c r="E48">
        <f t="shared" si="0"/>
        <v>107.85737445033641</v>
      </c>
      <c r="F48">
        <f t="shared" si="1"/>
        <v>10.385440503432505</v>
      </c>
      <c r="G48">
        <f t="shared" si="4"/>
        <v>1.4662850632950137</v>
      </c>
    </row>
    <row r="49" spans="1:7" x14ac:dyDescent="0.35">
      <c r="A49" s="9">
        <v>45004</v>
      </c>
      <c r="B49">
        <v>745.1736842105264</v>
      </c>
      <c r="C49">
        <f t="shared" si="2"/>
        <v>727.24992313293126</v>
      </c>
      <c r="D49">
        <f t="shared" si="3"/>
        <v>17.923761077595145</v>
      </c>
      <c r="E49">
        <f t="shared" si="0"/>
        <v>321.2612111667147</v>
      </c>
      <c r="F49">
        <f t="shared" si="1"/>
        <v>17.923761077595145</v>
      </c>
      <c r="G49">
        <f t="shared" si="4"/>
        <v>2.4053132118567038</v>
      </c>
    </row>
    <row r="50" spans="1:7" x14ac:dyDescent="0.35">
      <c r="A50" s="9">
        <v>45035</v>
      </c>
      <c r="B50">
        <v>760.46052631578959</v>
      </c>
      <c r="C50">
        <f t="shared" si="2"/>
        <v>754.78944258373213</v>
      </c>
      <c r="D50">
        <f t="shared" si="3"/>
        <v>5.6710837320574683</v>
      </c>
      <c r="E50">
        <f t="shared" si="0"/>
        <v>32.161190696006862</v>
      </c>
      <c r="F50">
        <f t="shared" si="1"/>
        <v>5.6710837320574683</v>
      </c>
      <c r="G50">
        <f t="shared" si="4"/>
        <v>0.74574334049029756</v>
      </c>
    </row>
    <row r="51" spans="1:7" x14ac:dyDescent="0.35">
      <c r="A51" s="9">
        <v>45065</v>
      </c>
      <c r="B51">
        <v>764.25681818181829</v>
      </c>
      <c r="C51">
        <f t="shared" si="2"/>
        <v>764.00685562721037</v>
      </c>
      <c r="D51">
        <f t="shared" si="3"/>
        <v>0.24996255460791872</v>
      </c>
      <c r="E51">
        <f t="shared" si="0"/>
        <v>6.248127870611675E-2</v>
      </c>
      <c r="F51">
        <f t="shared" si="1"/>
        <v>0.24996255460791872</v>
      </c>
      <c r="G51">
        <f t="shared" si="4"/>
        <v>3.2706617548088672E-2</v>
      </c>
    </row>
    <row r="52" spans="1:7" x14ac:dyDescent="0.35">
      <c r="A52" s="9">
        <v>45096</v>
      </c>
      <c r="B52">
        <v>795.77368421052631</v>
      </c>
      <c r="C52">
        <f t="shared" si="2"/>
        <v>748.67961878510505</v>
      </c>
      <c r="D52">
        <f t="shared" si="3"/>
        <v>47.094065425421263</v>
      </c>
      <c r="E52">
        <f t="shared" si="0"/>
        <v>2217.8509982938585</v>
      </c>
      <c r="F52">
        <f t="shared" si="1"/>
        <v>47.094065425421263</v>
      </c>
      <c r="G52">
        <f t="shared" si="4"/>
        <v>5.9180224679259776</v>
      </c>
    </row>
    <row r="53" spans="1:7" x14ac:dyDescent="0.35">
      <c r="A53" s="9">
        <v>45126</v>
      </c>
      <c r="B53">
        <v>754.36956521739114</v>
      </c>
      <c r="C53">
        <f t="shared" si="2"/>
        <v>731.24803983773654</v>
      </c>
      <c r="D53">
        <f t="shared" si="3"/>
        <v>23.121525379654599</v>
      </c>
      <c r="E53">
        <f t="shared" si="0"/>
        <v>534.60493588201177</v>
      </c>
      <c r="F53">
        <f t="shared" si="1"/>
        <v>23.121525379654599</v>
      </c>
      <c r="G53">
        <f t="shared" si="4"/>
        <v>3.0650130182533983</v>
      </c>
    </row>
    <row r="54" spans="1:7" x14ac:dyDescent="0.35">
      <c r="A54" s="9">
        <v>45157</v>
      </c>
      <c r="B54">
        <v>668.53750000000002</v>
      </c>
      <c r="C54">
        <f t="shared" si="2"/>
        <v>718.12017620137306</v>
      </c>
      <c r="D54">
        <f t="shared" si="3"/>
        <v>-49.582676201373033</v>
      </c>
      <c r="E54">
        <f t="shared" si="0"/>
        <v>2458.4417792902036</v>
      </c>
      <c r="F54">
        <f t="shared" si="1"/>
        <v>49.582676201373033</v>
      </c>
      <c r="G54">
        <f t="shared" si="4"/>
        <v>7.4165886283675988</v>
      </c>
    </row>
    <row r="55" spans="1:7" x14ac:dyDescent="0.35">
      <c r="A55" s="9">
        <v>45188</v>
      </c>
      <c r="B55">
        <v>673.30263157894728</v>
      </c>
      <c r="C55">
        <f t="shared" si="2"/>
        <v>706.49243935926756</v>
      </c>
      <c r="D55">
        <f t="shared" si="3"/>
        <v>-33.18980778032028</v>
      </c>
      <c r="E55">
        <f t="shared" si="0"/>
        <v>1101.5633404946086</v>
      </c>
      <c r="F55">
        <f t="shared" si="1"/>
        <v>33.18980778032028</v>
      </c>
      <c r="G55">
        <f t="shared" si="4"/>
        <v>4.9294041377036635</v>
      </c>
    </row>
    <row r="56" spans="1:7" x14ac:dyDescent="0.35">
      <c r="A56" s="9">
        <v>45218</v>
      </c>
      <c r="B56">
        <v>698.61750000000006</v>
      </c>
      <c r="C56">
        <f t="shared" si="2"/>
        <v>703.31900250626563</v>
      </c>
      <c r="D56">
        <f t="shared" si="3"/>
        <v>-4.7015025062655695</v>
      </c>
      <c r="E56">
        <f t="shared" si="0"/>
        <v>22.104125816421433</v>
      </c>
      <c r="F56">
        <f t="shared" si="1"/>
        <v>4.7015025062655695</v>
      </c>
      <c r="G56">
        <f t="shared" si="4"/>
        <v>0.672972335543494</v>
      </c>
    </row>
    <row r="57" spans="1:7" x14ac:dyDescent="0.35">
      <c r="A57" s="9">
        <v>45249</v>
      </c>
      <c r="B57">
        <v>737.63499999999988</v>
      </c>
      <c r="C57">
        <f t="shared" si="2"/>
        <v>716.60671989756997</v>
      </c>
      <c r="D57">
        <f t="shared" si="3"/>
        <v>21.028280102429903</v>
      </c>
      <c r="E57">
        <f t="shared" si="0"/>
        <v>442.1885640662494</v>
      </c>
      <c r="F57">
        <f t="shared" si="1"/>
        <v>21.028280102429903</v>
      </c>
      <c r="G57">
        <f t="shared" si="4"/>
        <v>2.8507703813444194</v>
      </c>
    </row>
    <row r="58" spans="1:7" x14ac:dyDescent="0.35">
      <c r="A58" s="9">
        <v>45279</v>
      </c>
      <c r="B58">
        <v>738.50238095238092</v>
      </c>
      <c r="C58">
        <f t="shared" si="2"/>
        <v>728.37919358178056</v>
      </c>
      <c r="D58">
        <f t="shared" si="3"/>
        <v>10.123187370600363</v>
      </c>
      <c r="E58">
        <f t="shared" si="0"/>
        <v>102.47892254028268</v>
      </c>
      <c r="F58">
        <f t="shared" si="1"/>
        <v>10.123187370600363</v>
      </c>
      <c r="G58">
        <f t="shared" si="4"/>
        <v>1.3707724757157027</v>
      </c>
    </row>
    <row r="59" spans="1:7" x14ac:dyDescent="0.35">
      <c r="A59" s="9">
        <v>44946</v>
      </c>
      <c r="B59">
        <v>734.97608695652173</v>
      </c>
      <c r="C59">
        <f t="shared" si="2"/>
        <v>688.25331262939949</v>
      </c>
      <c r="D59">
        <f t="shared" si="3"/>
        <v>46.722774327122238</v>
      </c>
      <c r="E59">
        <f t="shared" si="0"/>
        <v>2183.0176408231928</v>
      </c>
      <c r="F59">
        <f t="shared" si="1"/>
        <v>46.722774327122238</v>
      </c>
      <c r="G59">
        <f t="shared" si="4"/>
        <v>6.3570468694563358</v>
      </c>
    </row>
    <row r="60" spans="1:7" x14ac:dyDescent="0.35">
      <c r="A60" s="9">
        <v>44977</v>
      </c>
      <c r="B60">
        <v>732.16499999999985</v>
      </c>
      <c r="C60">
        <f t="shared" si="2"/>
        <v>624.39909040717737</v>
      </c>
      <c r="D60">
        <f t="shared" si="3"/>
        <v>107.76590959282248</v>
      </c>
      <c r="E60">
        <f t="shared" si="0"/>
        <v>11613.491270368388</v>
      </c>
      <c r="F60">
        <f t="shared" si="1"/>
        <v>107.76590959282248</v>
      </c>
      <c r="G60">
        <f t="shared" si="4"/>
        <v>14.71880103430545</v>
      </c>
    </row>
    <row r="61" spans="1:7" x14ac:dyDescent="0.35">
      <c r="A61" s="9">
        <v>45005</v>
      </c>
      <c r="B61">
        <v>497.98809523809524</v>
      </c>
      <c r="C61">
        <f t="shared" si="2"/>
        <v>552.54177211143792</v>
      </c>
      <c r="D61">
        <f t="shared" si="3"/>
        <v>-54.553676873342681</v>
      </c>
      <c r="E61">
        <f t="shared" si="0"/>
        <v>2976.1036604010842</v>
      </c>
      <c r="F61">
        <f t="shared" si="1"/>
        <v>54.553676873342681</v>
      </c>
      <c r="G61">
        <f t="shared" si="4"/>
        <v>10.954815465470071</v>
      </c>
    </row>
    <row r="62" spans="1:7" x14ac:dyDescent="0.35">
      <c r="A62" s="9">
        <v>45036</v>
      </c>
      <c r="B62">
        <v>418.36388888888882</v>
      </c>
      <c r="C62">
        <f t="shared" si="2"/>
        <v>487.8656456292245</v>
      </c>
      <c r="D62">
        <f t="shared" si="3"/>
        <v>-69.501756740335679</v>
      </c>
      <c r="E62">
        <f t="shared" si="0"/>
        <v>4830.4941899927962</v>
      </c>
      <c r="F62">
        <f t="shared" si="1"/>
        <v>69.501756740335679</v>
      </c>
      <c r="G62">
        <f t="shared" si="4"/>
        <v>16.612752339816382</v>
      </c>
    </row>
    <row r="63" spans="1:7" x14ac:dyDescent="0.35">
      <c r="A63" s="9">
        <v>45066</v>
      </c>
      <c r="B63">
        <v>379.2157894736842</v>
      </c>
      <c r="C63">
        <f t="shared" si="2"/>
        <v>429.15308041183323</v>
      </c>
      <c r="D63">
        <f t="shared" si="3"/>
        <v>-49.937290938149033</v>
      </c>
      <c r="E63">
        <f t="shared" si="0"/>
        <v>2493.7330262413416</v>
      </c>
      <c r="F63">
        <f t="shared" si="1"/>
        <v>49.937290938149033</v>
      </c>
      <c r="G63">
        <f t="shared" si="4"/>
        <v>13.168568483779985</v>
      </c>
    </row>
    <row r="64" spans="1:7" x14ac:dyDescent="0.35">
      <c r="A64" s="9">
        <v>45097</v>
      </c>
      <c r="B64">
        <v>411.59545454545446</v>
      </c>
      <c r="C64">
        <f t="shared" si="2"/>
        <v>419.13069945945227</v>
      </c>
      <c r="D64">
        <f t="shared" si="3"/>
        <v>-7.5352449139978148</v>
      </c>
      <c r="E64">
        <f t="shared" si="0"/>
        <v>56.779915913929933</v>
      </c>
      <c r="F64">
        <f t="shared" si="1"/>
        <v>7.5352449139978148</v>
      </c>
      <c r="G64">
        <f t="shared" si="4"/>
        <v>1.8307405562384951</v>
      </c>
    </row>
    <row r="65" spans="1:7" x14ac:dyDescent="0.35">
      <c r="A65" s="9">
        <v>45127</v>
      </c>
      <c r="B65">
        <v>438.60217391304343</v>
      </c>
      <c r="C65">
        <f t="shared" si="2"/>
        <v>423.76973986349276</v>
      </c>
      <c r="D65">
        <f t="shared" si="3"/>
        <v>14.83243404955067</v>
      </c>
      <c r="E65">
        <f t="shared" si="0"/>
        <v>220.00109983427009</v>
      </c>
      <c r="F65">
        <f t="shared" si="1"/>
        <v>14.83243404955067</v>
      </c>
      <c r="G65">
        <f t="shared" si="4"/>
        <v>3.3817511475652937</v>
      </c>
    </row>
    <row r="66" spans="1:7" x14ac:dyDescent="0.35">
      <c r="A66" s="9">
        <v>45158</v>
      </c>
      <c r="B66">
        <v>447.87619047619046</v>
      </c>
      <c r="C66">
        <f t="shared" si="2"/>
        <v>443.58896292113684</v>
      </c>
      <c r="D66">
        <f t="shared" si="3"/>
        <v>4.2872275550536187</v>
      </c>
      <c r="E66">
        <f t="shared" si="0"/>
        <v>18.380320108811031</v>
      </c>
      <c r="F66">
        <f t="shared" si="1"/>
        <v>4.2872275550536187</v>
      </c>
      <c r="G66">
        <f t="shared" si="4"/>
        <v>0.95723497837546501</v>
      </c>
    </row>
    <row r="67" spans="1:7" x14ac:dyDescent="0.35">
      <c r="A67" s="9">
        <v>45189</v>
      </c>
      <c r="B67">
        <v>441.55909090909086</v>
      </c>
      <c r="C67">
        <f t="shared" si="2"/>
        <v>478.84187201204594</v>
      </c>
      <c r="D67">
        <f t="shared" si="3"/>
        <v>-37.282781102955084</v>
      </c>
      <c r="E67">
        <f t="shared" si="0"/>
        <v>1390.0057667708647</v>
      </c>
      <c r="F67">
        <f t="shared" si="1"/>
        <v>37.282781102955084</v>
      </c>
      <c r="G67">
        <f t="shared" si="4"/>
        <v>8.443440950609018</v>
      </c>
    </row>
    <row r="68" spans="1:7" x14ac:dyDescent="0.35">
      <c r="A68" s="9">
        <v>45219</v>
      </c>
      <c r="B68">
        <v>478.31190476190483</v>
      </c>
      <c r="C68">
        <f t="shared" si="2"/>
        <v>513.44552813852818</v>
      </c>
      <c r="D68">
        <f t="shared" si="3"/>
        <v>-35.133623376623348</v>
      </c>
      <c r="E68">
        <f t="shared" ref="E68:E83" si="5">D68*D68</f>
        <v>1234.3714915704145</v>
      </c>
      <c r="F68">
        <f t="shared" ref="F68:F83" si="6">ABS(D68)</f>
        <v>35.133623376623348</v>
      </c>
      <c r="G68">
        <f t="shared" si="4"/>
        <v>7.3453374308365253</v>
      </c>
    </row>
    <row r="69" spans="1:7" x14ac:dyDescent="0.35">
      <c r="A69" s="9">
        <v>45250</v>
      </c>
      <c r="B69">
        <v>587.86</v>
      </c>
      <c r="C69">
        <f t="shared" ref="C69:C83" si="7">AVERAGE(B67:B71)</f>
        <v>556.25279004329002</v>
      </c>
      <c r="D69">
        <f t="shared" ref="D69:D83" si="8">B69-C69</f>
        <v>31.607209956709994</v>
      </c>
      <c r="E69">
        <f t="shared" si="5"/>
        <v>999.01572124754739</v>
      </c>
      <c r="F69">
        <f t="shared" si="6"/>
        <v>31.607209956709994</v>
      </c>
      <c r="G69">
        <f t="shared" ref="G69:G83" si="9">(F69/B69)*100</f>
        <v>5.3766559991681682</v>
      </c>
    </row>
    <row r="70" spans="1:7" x14ac:dyDescent="0.35">
      <c r="A70" s="9">
        <v>45280</v>
      </c>
      <c r="B70">
        <v>611.62045454545466</v>
      </c>
      <c r="C70">
        <f t="shared" si="7"/>
        <v>616.72597186147198</v>
      </c>
      <c r="D70">
        <f t="shared" si="8"/>
        <v>-5.1055173160173126</v>
      </c>
      <c r="E70">
        <f t="shared" si="5"/>
        <v>26.066307064152625</v>
      </c>
      <c r="F70">
        <f t="shared" si="6"/>
        <v>5.1055173160173126</v>
      </c>
      <c r="G70">
        <f t="shared" si="9"/>
        <v>0.83475254597422544</v>
      </c>
    </row>
    <row r="71" spans="1:7" x14ac:dyDescent="0.35">
      <c r="A71" s="9">
        <v>44947</v>
      </c>
      <c r="B71">
        <v>661.91250000000002</v>
      </c>
      <c r="C71">
        <f t="shared" si="7"/>
        <v>666.54168614718628</v>
      </c>
      <c r="D71">
        <f t="shared" si="8"/>
        <v>-4.6291861471862603</v>
      </c>
      <c r="E71">
        <f t="shared" si="5"/>
        <v>21.429364385301174</v>
      </c>
      <c r="F71">
        <f t="shared" si="6"/>
        <v>4.6291861471862603</v>
      </c>
      <c r="G71">
        <f t="shared" si="9"/>
        <v>0.69936527066436427</v>
      </c>
    </row>
    <row r="72" spans="1:7" x14ac:dyDescent="0.35">
      <c r="A72" s="9">
        <v>44978</v>
      </c>
      <c r="B72">
        <v>743.92499999999995</v>
      </c>
      <c r="C72">
        <f t="shared" si="7"/>
        <v>684.98284404192304</v>
      </c>
      <c r="D72">
        <f t="shared" si="8"/>
        <v>58.94215595807691</v>
      </c>
      <c r="E72">
        <f t="shared" si="5"/>
        <v>3474.1777489862616</v>
      </c>
      <c r="F72">
        <f t="shared" si="6"/>
        <v>58.94215595807691</v>
      </c>
      <c r="G72">
        <f t="shared" si="9"/>
        <v>7.923131492835557</v>
      </c>
    </row>
    <row r="73" spans="1:7" x14ac:dyDescent="0.35">
      <c r="A73" s="9">
        <v>45006</v>
      </c>
      <c r="B73">
        <v>727.39047619047631</v>
      </c>
      <c r="C73">
        <f t="shared" si="7"/>
        <v>706.40775313283211</v>
      </c>
      <c r="D73">
        <f t="shared" si="8"/>
        <v>20.982723057644193</v>
      </c>
      <c r="E73">
        <f t="shared" si="5"/>
        <v>440.27466691379328</v>
      </c>
      <c r="F73">
        <f t="shared" si="6"/>
        <v>20.982723057644193</v>
      </c>
      <c r="G73">
        <f t="shared" si="9"/>
        <v>2.8846573806596836</v>
      </c>
    </row>
    <row r="74" spans="1:7" x14ac:dyDescent="0.35">
      <c r="A74" s="9">
        <v>45037</v>
      </c>
      <c r="B74">
        <v>680.06578947368416</v>
      </c>
      <c r="C74">
        <f t="shared" si="7"/>
        <v>722.91616222374114</v>
      </c>
      <c r="D74">
        <f t="shared" si="8"/>
        <v>-42.850372750056977</v>
      </c>
      <c r="E74">
        <f t="shared" si="5"/>
        <v>1836.1544448188256</v>
      </c>
      <c r="F74">
        <f t="shared" si="6"/>
        <v>42.850372750056977</v>
      </c>
      <c r="G74">
        <f t="shared" si="9"/>
        <v>6.30091579569378</v>
      </c>
    </row>
    <row r="75" spans="1:7" x14ac:dyDescent="0.35">
      <c r="A75" s="9">
        <v>45067</v>
      </c>
      <c r="B75">
        <v>718.745</v>
      </c>
      <c r="C75">
        <f t="shared" si="7"/>
        <v>724.22925746183648</v>
      </c>
      <c r="D75">
        <f t="shared" si="8"/>
        <v>-5.4842574618364779</v>
      </c>
      <c r="E75">
        <f t="shared" si="5"/>
        <v>30.077079907709088</v>
      </c>
      <c r="F75">
        <f t="shared" si="6"/>
        <v>5.4842574618364779</v>
      </c>
      <c r="G75">
        <f t="shared" si="9"/>
        <v>0.76303243317678426</v>
      </c>
    </row>
    <row r="76" spans="1:7" x14ac:dyDescent="0.35">
      <c r="A76" s="9">
        <v>45098</v>
      </c>
      <c r="B76">
        <v>744.45454545454538</v>
      </c>
      <c r="C76">
        <f t="shared" si="7"/>
        <v>729.25592412850301</v>
      </c>
      <c r="D76">
        <f t="shared" si="8"/>
        <v>15.198621326042371</v>
      </c>
      <c r="E76">
        <f t="shared" si="5"/>
        <v>230.99809021242996</v>
      </c>
      <c r="F76">
        <f t="shared" si="6"/>
        <v>15.198621326042371</v>
      </c>
      <c r="G76">
        <f t="shared" si="9"/>
        <v>2.04157814857084</v>
      </c>
    </row>
    <row r="77" spans="1:7" x14ac:dyDescent="0.35">
      <c r="A77" s="9">
        <v>45128</v>
      </c>
      <c r="B77">
        <v>750.4904761904761</v>
      </c>
      <c r="C77">
        <f t="shared" si="7"/>
        <v>752.11705194805188</v>
      </c>
      <c r="D77">
        <f t="shared" si="8"/>
        <v>-1.6265757575757789</v>
      </c>
      <c r="E77">
        <f t="shared" si="5"/>
        <v>2.6457486951332192</v>
      </c>
      <c r="F77">
        <f t="shared" si="6"/>
        <v>1.6265757575757789</v>
      </c>
      <c r="G77">
        <f t="shared" si="9"/>
        <v>0.21673502984772725</v>
      </c>
    </row>
    <row r="78" spans="1:7" x14ac:dyDescent="0.35">
      <c r="A78" s="9">
        <v>45159</v>
      </c>
      <c r="B78">
        <v>752.52380952380952</v>
      </c>
      <c r="C78">
        <f t="shared" si="7"/>
        <v>767.04605194805185</v>
      </c>
      <c r="D78">
        <f t="shared" si="8"/>
        <v>-14.522242424242336</v>
      </c>
      <c r="E78">
        <f t="shared" si="5"/>
        <v>210.89552502846391</v>
      </c>
      <c r="F78">
        <f t="shared" si="6"/>
        <v>14.522242424242336</v>
      </c>
      <c r="G78">
        <f t="shared" si="9"/>
        <v>1.9298050427709237</v>
      </c>
    </row>
    <row r="79" spans="1:7" x14ac:dyDescent="0.35">
      <c r="A79" s="9">
        <v>45190</v>
      </c>
      <c r="B79">
        <v>794.37142857142851</v>
      </c>
      <c r="C79">
        <f t="shared" si="7"/>
        <v>761.30514285714276</v>
      </c>
      <c r="D79">
        <f t="shared" si="8"/>
        <v>33.066285714285755</v>
      </c>
      <c r="E79">
        <f t="shared" si="5"/>
        <v>1093.3792509387781</v>
      </c>
      <c r="F79">
        <f t="shared" si="6"/>
        <v>33.066285714285755</v>
      </c>
      <c r="G79">
        <f t="shared" si="9"/>
        <v>4.1625723842750837</v>
      </c>
    </row>
    <row r="80" spans="1:7" x14ac:dyDescent="0.35">
      <c r="A80" s="9">
        <v>45220</v>
      </c>
      <c r="B80">
        <v>793.39</v>
      </c>
      <c r="C80">
        <f t="shared" si="7"/>
        <v>747.7740041407867</v>
      </c>
      <c r="D80">
        <f t="shared" si="8"/>
        <v>45.615995859213285</v>
      </c>
      <c r="E80">
        <f t="shared" si="5"/>
        <v>2080.8190782277634</v>
      </c>
      <c r="F80">
        <f t="shared" si="6"/>
        <v>45.615995859213285</v>
      </c>
      <c r="G80">
        <f t="shared" si="9"/>
        <v>5.7495047655268268</v>
      </c>
    </row>
    <row r="81" spans="1:7" x14ac:dyDescent="0.35">
      <c r="A81" s="9">
        <v>45251</v>
      </c>
      <c r="B81">
        <v>715.75</v>
      </c>
      <c r="C81">
        <f t="shared" si="7"/>
        <v>743.92774223602487</v>
      </c>
      <c r="D81">
        <f t="shared" si="8"/>
        <v>-28.177742236024869</v>
      </c>
      <c r="E81">
        <f t="shared" si="5"/>
        <v>793.98515751985985</v>
      </c>
      <c r="F81">
        <f t="shared" si="6"/>
        <v>28.177742236024869</v>
      </c>
      <c r="G81">
        <f t="shared" si="9"/>
        <v>3.9368134454802473</v>
      </c>
    </row>
    <row r="82" spans="1:7" x14ac:dyDescent="0.35">
      <c r="A82" s="9">
        <v>45281</v>
      </c>
      <c r="B82">
        <v>682.83478260869572</v>
      </c>
      <c r="C82">
        <f t="shared" si="7"/>
        <v>742.08545652173905</v>
      </c>
      <c r="D82">
        <f t="shared" si="8"/>
        <v>-59.250673913043329</v>
      </c>
      <c r="E82">
        <f t="shared" si="5"/>
        <v>3510.6423591497933</v>
      </c>
      <c r="F82">
        <f t="shared" si="6"/>
        <v>59.250673913043329</v>
      </c>
      <c r="G82">
        <f t="shared" si="9"/>
        <v>8.6771610676718307</v>
      </c>
    </row>
    <row r="83" spans="1:7" x14ac:dyDescent="0.35">
      <c r="A83" s="9">
        <v>44948</v>
      </c>
      <c r="B83">
        <v>733.29250000000002</v>
      </c>
      <c r="C83">
        <f t="shared" si="7"/>
        <v>726.64695652173907</v>
      </c>
      <c r="D83">
        <f t="shared" si="8"/>
        <v>6.6455434782609473</v>
      </c>
      <c r="E83">
        <f t="shared" si="5"/>
        <v>44.163248121456611</v>
      </c>
      <c r="F83">
        <f t="shared" si="6"/>
        <v>6.6455434782609473</v>
      </c>
      <c r="G83">
        <f t="shared" si="9"/>
        <v>0.90626093656500595</v>
      </c>
    </row>
    <row r="84" spans="1:7" x14ac:dyDescent="0.35">
      <c r="A84" s="9">
        <v>44979</v>
      </c>
      <c r="B84">
        <v>785.16</v>
      </c>
    </row>
    <row r="85" spans="1:7" x14ac:dyDescent="0.35">
      <c r="A85" s="9">
        <v>45007</v>
      </c>
      <c r="B85">
        <v>716.19749999999999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DC63-F8D3-4356-BC2D-B0E55FCE0718}">
  <dimension ref="A1:M85"/>
  <sheetViews>
    <sheetView workbookViewId="0">
      <selection activeCell="C4" sqref="C4"/>
    </sheetView>
  </sheetViews>
  <sheetFormatPr defaultRowHeight="14.5" x14ac:dyDescent="0.35"/>
  <sheetData>
    <row r="1" spans="1:13" x14ac:dyDescent="0.35">
      <c r="A1" t="s">
        <v>28</v>
      </c>
      <c r="B1" s="8" t="s">
        <v>29</v>
      </c>
      <c r="C1" s="8" t="s">
        <v>30</v>
      </c>
      <c r="D1" t="s">
        <v>50</v>
      </c>
      <c r="E1" t="s">
        <v>51</v>
      </c>
      <c r="F1" t="s">
        <v>52</v>
      </c>
      <c r="G1" t="s">
        <v>53</v>
      </c>
    </row>
    <row r="2" spans="1:13" x14ac:dyDescent="0.35">
      <c r="A2" s="9">
        <v>45031</v>
      </c>
      <c r="B2">
        <v>548.38421052631577</v>
      </c>
    </row>
    <row r="3" spans="1:13" x14ac:dyDescent="0.35">
      <c r="A3" s="9">
        <v>45061</v>
      </c>
      <c r="B3">
        <v>559.79999999999995</v>
      </c>
      <c r="C3">
        <f>B2*0.1+B3*0.3+B4*0.6</f>
        <v>557.86342105263145</v>
      </c>
      <c r="D3">
        <f>B3-C3</f>
        <v>1.9365789473685027</v>
      </c>
      <c r="E3">
        <f t="shared" ref="E3:E68" si="0">D3*D3</f>
        <v>3.7503380193908979</v>
      </c>
      <c r="F3">
        <f t="shared" ref="F3:F68" si="1">ABS(D3)</f>
        <v>1.9365789473685027</v>
      </c>
      <c r="G3">
        <f t="shared" ref="G3:G68" si="2">(F3/B3)*100</f>
        <v>0.34594121960852137</v>
      </c>
      <c r="I3" t="s">
        <v>54</v>
      </c>
      <c r="J3">
        <f>SUM(E:E)/84</f>
        <v>654.65433726119943</v>
      </c>
      <c r="M3">
        <v>0.1</v>
      </c>
    </row>
    <row r="4" spans="1:13" x14ac:dyDescent="0.35">
      <c r="A4" s="9">
        <v>45092</v>
      </c>
      <c r="B4">
        <v>558.47499999999991</v>
      </c>
      <c r="C4">
        <f>B3*0.1+B4*0.3+B5*0.6</f>
        <v>572.25554347826085</v>
      </c>
      <c r="D4">
        <f>B4-C4</f>
        <v>-13.780543478260938</v>
      </c>
      <c r="E4">
        <f t="shared" si="0"/>
        <v>189.90337855624009</v>
      </c>
      <c r="F4">
        <f t="shared" si="1"/>
        <v>13.780543478260938</v>
      </c>
      <c r="G4">
        <f t="shared" si="2"/>
        <v>2.4675309509397807</v>
      </c>
      <c r="I4" t="s">
        <v>55</v>
      </c>
      <c r="J4">
        <f>SQRT(J3)</f>
        <v>25.586213812543651</v>
      </c>
      <c r="M4">
        <v>0.2</v>
      </c>
    </row>
    <row r="5" spans="1:13" x14ac:dyDescent="0.35">
      <c r="A5" s="9">
        <v>45122</v>
      </c>
      <c r="B5">
        <v>581.22173913043491</v>
      </c>
      <c r="C5">
        <f t="shared" ref="C5:C68" si="3">B4*0.1+B5*0.3+B6*0.6</f>
        <v>558.38545031055901</v>
      </c>
      <c r="D5">
        <f t="shared" ref="D5:D68" si="4">B5-C5</f>
        <v>22.836288819875904</v>
      </c>
      <c r="E5">
        <f t="shared" si="0"/>
        <v>521.49608706478921</v>
      </c>
      <c r="F5">
        <f t="shared" si="1"/>
        <v>22.836288819875904</v>
      </c>
      <c r="G5">
        <f t="shared" si="2"/>
        <v>3.9290149150376319</v>
      </c>
      <c r="I5" t="s">
        <v>56</v>
      </c>
      <c r="J5">
        <f>SUM(G:G)/84</f>
        <v>2.974201233815009</v>
      </c>
      <c r="M5">
        <v>0.6</v>
      </c>
    </row>
    <row r="6" spans="1:13" x14ac:dyDescent="0.35">
      <c r="A6" s="9">
        <v>45153</v>
      </c>
      <c r="B6">
        <v>546.95238095238096</v>
      </c>
      <c r="C6">
        <f t="shared" si="3"/>
        <v>517.29688819875776</v>
      </c>
      <c r="D6">
        <f t="shared" si="4"/>
        <v>29.655492753623207</v>
      </c>
      <c r="E6">
        <f t="shared" si="0"/>
        <v>879.44825046019855</v>
      </c>
      <c r="F6">
        <f t="shared" si="1"/>
        <v>29.655492753623207</v>
      </c>
      <c r="G6">
        <f t="shared" si="2"/>
        <v>5.4219514872548089</v>
      </c>
      <c r="I6">
        <f>COUNT(B2:B85)</f>
        <v>84</v>
      </c>
    </row>
    <row r="7" spans="1:13" x14ac:dyDescent="0.35">
      <c r="A7" s="9">
        <v>45184</v>
      </c>
      <c r="B7">
        <v>491.81499999999994</v>
      </c>
      <c r="C7">
        <f t="shared" si="3"/>
        <v>502.08973809523798</v>
      </c>
      <c r="D7">
        <f t="shared" si="4"/>
        <v>-10.274738095238035</v>
      </c>
      <c r="E7">
        <f t="shared" si="0"/>
        <v>105.57024292573573</v>
      </c>
      <c r="F7">
        <f t="shared" si="1"/>
        <v>10.274738095238035</v>
      </c>
      <c r="G7">
        <f t="shared" si="2"/>
        <v>2.0891469546959804</v>
      </c>
      <c r="I7" s="8" t="s">
        <v>58</v>
      </c>
      <c r="J7" s="8">
        <f>100-J5</f>
        <v>97.025798766184991</v>
      </c>
    </row>
    <row r="8" spans="1:13" x14ac:dyDescent="0.35">
      <c r="A8" s="9">
        <v>45214</v>
      </c>
      <c r="B8">
        <v>499.74999999999989</v>
      </c>
      <c r="C8">
        <f t="shared" si="3"/>
        <v>481.05755263157891</v>
      </c>
      <c r="D8">
        <f t="shared" si="4"/>
        <v>18.692447368420972</v>
      </c>
      <c r="E8">
        <f t="shared" si="0"/>
        <v>349.4075886211881</v>
      </c>
      <c r="F8">
        <f t="shared" si="1"/>
        <v>18.692447368420972</v>
      </c>
      <c r="G8">
        <f t="shared" si="2"/>
        <v>3.7403596535109509</v>
      </c>
    </row>
    <row r="9" spans="1:13" x14ac:dyDescent="0.35">
      <c r="A9" s="9">
        <v>45245</v>
      </c>
      <c r="B9">
        <v>469.91842105263163</v>
      </c>
      <c r="C9">
        <f t="shared" si="3"/>
        <v>460.6723444976077</v>
      </c>
      <c r="D9">
        <f t="shared" si="4"/>
        <v>9.246076555023933</v>
      </c>
      <c r="E9">
        <f t="shared" si="0"/>
        <v>85.489931661363244</v>
      </c>
      <c r="F9">
        <f t="shared" si="1"/>
        <v>9.246076555023933</v>
      </c>
      <c r="G9">
        <f t="shared" si="2"/>
        <v>1.967591850158255</v>
      </c>
    </row>
    <row r="10" spans="1:13" x14ac:dyDescent="0.35">
      <c r="A10" s="9">
        <v>45275</v>
      </c>
      <c r="B10">
        <v>449.53636363636366</v>
      </c>
      <c r="C10">
        <f t="shared" si="3"/>
        <v>428.17225119617223</v>
      </c>
      <c r="D10">
        <f t="shared" si="4"/>
        <v>21.364112440191434</v>
      </c>
      <c r="E10">
        <f t="shared" si="0"/>
        <v>456.42530035714236</v>
      </c>
      <c r="F10">
        <f t="shared" si="1"/>
        <v>21.364112440191434</v>
      </c>
      <c r="G10">
        <f t="shared" si="2"/>
        <v>4.7524770337540847</v>
      </c>
    </row>
    <row r="11" spans="1:13" x14ac:dyDescent="0.35">
      <c r="A11" s="9">
        <v>44942</v>
      </c>
      <c r="B11">
        <v>410.53249999999991</v>
      </c>
      <c r="C11">
        <f t="shared" si="3"/>
        <v>403.82052922077918</v>
      </c>
      <c r="D11">
        <f t="shared" si="4"/>
        <v>6.711970779220735</v>
      </c>
      <c r="E11">
        <f t="shared" si="0"/>
        <v>45.050551741113004</v>
      </c>
      <c r="F11">
        <f t="shared" si="1"/>
        <v>6.711970779220735</v>
      </c>
      <c r="G11">
        <f t="shared" si="2"/>
        <v>1.6349426121490349</v>
      </c>
    </row>
    <row r="12" spans="1:13" x14ac:dyDescent="0.35">
      <c r="A12" s="9">
        <v>44973</v>
      </c>
      <c r="B12">
        <v>392.84523809523807</v>
      </c>
      <c r="C12">
        <f t="shared" si="3"/>
        <v>413.12682142857136</v>
      </c>
      <c r="D12">
        <f t="shared" si="4"/>
        <v>-20.281583333333288</v>
      </c>
      <c r="E12">
        <f t="shared" si="0"/>
        <v>411.34262250694258</v>
      </c>
      <c r="F12">
        <f t="shared" si="1"/>
        <v>20.281583333333288</v>
      </c>
      <c r="G12">
        <f t="shared" si="2"/>
        <v>5.1627412951907523</v>
      </c>
    </row>
    <row r="13" spans="1:13" x14ac:dyDescent="0.35">
      <c r="A13" s="9">
        <v>45001</v>
      </c>
      <c r="B13">
        <v>423.7</v>
      </c>
      <c r="C13">
        <f t="shared" si="3"/>
        <v>436.68452380952385</v>
      </c>
      <c r="D13">
        <f t="shared" si="4"/>
        <v>-12.984523809523864</v>
      </c>
      <c r="E13">
        <f t="shared" si="0"/>
        <v>168.59785856009213</v>
      </c>
      <c r="F13">
        <f t="shared" si="1"/>
        <v>12.984523809523864</v>
      </c>
      <c r="G13">
        <f t="shared" si="2"/>
        <v>3.0645560088562345</v>
      </c>
    </row>
    <row r="14" spans="1:13" x14ac:dyDescent="0.35">
      <c r="A14" s="9">
        <v>45032</v>
      </c>
      <c r="B14">
        <v>450.48333333333335</v>
      </c>
      <c r="C14">
        <f t="shared" si="3"/>
        <v>471.61454545454546</v>
      </c>
      <c r="D14">
        <f t="shared" si="4"/>
        <v>-21.131212121212116</v>
      </c>
      <c r="E14">
        <f t="shared" si="0"/>
        <v>446.52812571166186</v>
      </c>
      <c r="F14">
        <f t="shared" si="1"/>
        <v>21.131212121212116</v>
      </c>
      <c r="G14">
        <f t="shared" si="2"/>
        <v>4.6907866634826556</v>
      </c>
    </row>
    <row r="15" spans="1:13" x14ac:dyDescent="0.35">
      <c r="A15" s="9">
        <v>45062</v>
      </c>
      <c r="B15">
        <v>490.16590909090917</v>
      </c>
      <c r="C15">
        <f t="shared" si="3"/>
        <v>507.95856060606059</v>
      </c>
      <c r="D15">
        <f t="shared" si="4"/>
        <v>-17.79265151515142</v>
      </c>
      <c r="E15">
        <f t="shared" si="0"/>
        <v>316.5784479396201</v>
      </c>
      <c r="F15">
        <f t="shared" si="1"/>
        <v>17.79265151515142</v>
      </c>
      <c r="G15">
        <f t="shared" si="2"/>
        <v>3.6299243144327864</v>
      </c>
    </row>
    <row r="16" spans="1:13" x14ac:dyDescent="0.35">
      <c r="A16" s="9">
        <v>45093</v>
      </c>
      <c r="B16">
        <v>526.43409090909086</v>
      </c>
      <c r="C16">
        <f t="shared" si="3"/>
        <v>537.06381818181808</v>
      </c>
      <c r="D16">
        <f t="shared" si="4"/>
        <v>-10.629727272727223</v>
      </c>
      <c r="E16">
        <f t="shared" si="0"/>
        <v>112.99110189256092</v>
      </c>
      <c r="F16">
        <f t="shared" si="1"/>
        <v>10.629727272727223</v>
      </c>
      <c r="G16">
        <f t="shared" si="2"/>
        <v>2.0191943220035222</v>
      </c>
    </row>
    <row r="17" spans="1:7" x14ac:dyDescent="0.35">
      <c r="A17" s="9">
        <v>45123</v>
      </c>
      <c r="B17">
        <v>550.19499999999994</v>
      </c>
      <c r="C17">
        <f t="shared" si="3"/>
        <v>563.76418181818178</v>
      </c>
      <c r="D17">
        <f t="shared" si="4"/>
        <v>-13.569181818181846</v>
      </c>
      <c r="E17">
        <f t="shared" si="0"/>
        <v>184.12269521487679</v>
      </c>
      <c r="F17">
        <f t="shared" si="1"/>
        <v>13.569181818181846</v>
      </c>
      <c r="G17">
        <f t="shared" si="2"/>
        <v>2.4662495693675601</v>
      </c>
    </row>
    <row r="18" spans="1:7" x14ac:dyDescent="0.35">
      <c r="A18" s="9">
        <v>45154</v>
      </c>
      <c r="B18">
        <v>576.77045454545453</v>
      </c>
      <c r="C18">
        <f t="shared" si="3"/>
        <v>580.18313636363632</v>
      </c>
      <c r="D18">
        <f t="shared" si="4"/>
        <v>-3.4126818181817953</v>
      </c>
      <c r="E18">
        <f t="shared" si="0"/>
        <v>11.646397192148603</v>
      </c>
      <c r="F18">
        <f t="shared" si="1"/>
        <v>3.4126818181817953</v>
      </c>
      <c r="G18">
        <f t="shared" si="2"/>
        <v>0.591688043533937</v>
      </c>
    </row>
    <row r="19" spans="1:7" x14ac:dyDescent="0.35">
      <c r="A19" s="9">
        <v>45185</v>
      </c>
      <c r="B19">
        <v>586.88750000000005</v>
      </c>
      <c r="C19">
        <f t="shared" si="3"/>
        <v>547.02066387559807</v>
      </c>
      <c r="D19">
        <f t="shared" si="4"/>
        <v>39.866836124401971</v>
      </c>
      <c r="E19">
        <f t="shared" si="0"/>
        <v>1589.3646225699219</v>
      </c>
      <c r="F19">
        <f t="shared" si="1"/>
        <v>39.866836124401971</v>
      </c>
      <c r="G19">
        <f t="shared" si="2"/>
        <v>6.7929264338398703</v>
      </c>
    </row>
    <row r="20" spans="1:7" x14ac:dyDescent="0.35">
      <c r="A20" s="9">
        <v>45215</v>
      </c>
      <c r="B20">
        <v>522.12894736842111</v>
      </c>
      <c r="C20">
        <f t="shared" si="3"/>
        <v>502.18314849624062</v>
      </c>
      <c r="D20">
        <f t="shared" si="4"/>
        <v>19.94579887218049</v>
      </c>
      <c r="E20">
        <f t="shared" si="0"/>
        <v>397.8348926494765</v>
      </c>
      <c r="F20">
        <f t="shared" si="1"/>
        <v>19.94579887218049</v>
      </c>
      <c r="G20">
        <f t="shared" si="2"/>
        <v>3.820090606488912</v>
      </c>
    </row>
    <row r="21" spans="1:7" x14ac:dyDescent="0.35">
      <c r="A21" s="9">
        <v>45246</v>
      </c>
      <c r="B21">
        <v>478.0928571428571</v>
      </c>
      <c r="C21">
        <f t="shared" si="3"/>
        <v>468.04620642515385</v>
      </c>
      <c r="D21">
        <f t="shared" si="4"/>
        <v>10.046650717703244</v>
      </c>
      <c r="E21">
        <f t="shared" si="0"/>
        <v>100.93519064352711</v>
      </c>
      <c r="F21">
        <f t="shared" si="1"/>
        <v>10.046650717703244</v>
      </c>
      <c r="G21">
        <f t="shared" si="2"/>
        <v>2.1014015515193618</v>
      </c>
    </row>
    <row r="22" spans="1:7" x14ac:dyDescent="0.35">
      <c r="A22" s="9">
        <v>45276</v>
      </c>
      <c r="B22">
        <v>454.00909090909096</v>
      </c>
      <c r="C22">
        <f t="shared" si="3"/>
        <v>461.41487012987011</v>
      </c>
      <c r="D22">
        <f t="shared" si="4"/>
        <v>-7.4057792207791522</v>
      </c>
      <c r="E22">
        <f t="shared" si="0"/>
        <v>54.845565866924268</v>
      </c>
      <c r="F22">
        <f t="shared" si="1"/>
        <v>7.4057792207791522</v>
      </c>
      <c r="G22">
        <f t="shared" si="2"/>
        <v>1.6311962401347722</v>
      </c>
    </row>
    <row r="23" spans="1:7" x14ac:dyDescent="0.35">
      <c r="A23" s="9">
        <v>44943</v>
      </c>
      <c r="B23">
        <v>462.33809523809515</v>
      </c>
      <c r="C23">
        <f t="shared" si="3"/>
        <v>481.08496924128497</v>
      </c>
      <c r="D23">
        <f t="shared" si="4"/>
        <v>-18.746874003189816</v>
      </c>
      <c r="E23">
        <f t="shared" si="0"/>
        <v>351.44528489147416</v>
      </c>
      <c r="F23">
        <f t="shared" si="1"/>
        <v>18.746874003189816</v>
      </c>
      <c r="G23">
        <f t="shared" si="2"/>
        <v>4.0547976029393684</v>
      </c>
    </row>
    <row r="24" spans="1:7" x14ac:dyDescent="0.35">
      <c r="A24" s="9">
        <v>44974</v>
      </c>
      <c r="B24">
        <v>494.97105263157897</v>
      </c>
      <c r="C24">
        <f t="shared" si="3"/>
        <v>497.37876167691945</v>
      </c>
      <c r="D24">
        <f t="shared" si="4"/>
        <v>-2.4077090453404821</v>
      </c>
      <c r="E24">
        <f t="shared" si="0"/>
        <v>5.7970628470143755</v>
      </c>
      <c r="F24">
        <f t="shared" si="1"/>
        <v>2.4077090453404821</v>
      </c>
      <c r="G24">
        <f t="shared" si="2"/>
        <v>0.4864343141966746</v>
      </c>
    </row>
    <row r="25" spans="1:7" x14ac:dyDescent="0.35">
      <c r="A25" s="9">
        <v>45002</v>
      </c>
      <c r="B25">
        <v>504.42272727272717</v>
      </c>
      <c r="C25">
        <f t="shared" si="3"/>
        <v>503.66892344497592</v>
      </c>
      <c r="D25">
        <f t="shared" si="4"/>
        <v>0.75380382775125554</v>
      </c>
      <c r="E25">
        <f t="shared" si="0"/>
        <v>0.56822021073244455</v>
      </c>
      <c r="F25">
        <f t="shared" si="1"/>
        <v>0.75380382775125554</v>
      </c>
      <c r="G25">
        <f t="shared" si="2"/>
        <v>0.14943891046045096</v>
      </c>
    </row>
    <row r="26" spans="1:7" x14ac:dyDescent="0.35">
      <c r="A26" s="9">
        <v>45033</v>
      </c>
      <c r="B26">
        <v>504.74166666666656</v>
      </c>
      <c r="C26">
        <f t="shared" si="3"/>
        <v>506.23659090909086</v>
      </c>
      <c r="D26">
        <f t="shared" si="4"/>
        <v>-1.4949242424243039</v>
      </c>
      <c r="E26">
        <f t="shared" si="0"/>
        <v>2.2347984905878788</v>
      </c>
      <c r="F26">
        <f t="shared" si="1"/>
        <v>1.4949242424243039</v>
      </c>
      <c r="G26">
        <f t="shared" si="2"/>
        <v>0.29617611169231206</v>
      </c>
    </row>
    <row r="27" spans="1:7" x14ac:dyDescent="0.35">
      <c r="A27" s="9">
        <v>45063</v>
      </c>
      <c r="B27">
        <v>507.28636363636366</v>
      </c>
      <c r="C27">
        <f t="shared" si="3"/>
        <v>508.17436147186152</v>
      </c>
      <c r="D27">
        <f t="shared" si="4"/>
        <v>-0.88799783549785616</v>
      </c>
      <c r="E27">
        <f t="shared" si="0"/>
        <v>0.7885401558488776</v>
      </c>
      <c r="F27">
        <f t="shared" si="1"/>
        <v>0.88799783549785616</v>
      </c>
      <c r="G27">
        <f t="shared" si="2"/>
        <v>0.17504863113852526</v>
      </c>
    </row>
    <row r="28" spans="1:7" x14ac:dyDescent="0.35">
      <c r="A28" s="9">
        <v>45094</v>
      </c>
      <c r="B28">
        <v>509.19047619047626</v>
      </c>
      <c r="C28">
        <f t="shared" si="3"/>
        <v>514.82149350649343</v>
      </c>
      <c r="D28">
        <f t="shared" si="4"/>
        <v>-5.6310173160171644</v>
      </c>
      <c r="E28">
        <f t="shared" si="0"/>
        <v>31.708356013285151</v>
      </c>
      <c r="F28">
        <f t="shared" si="1"/>
        <v>5.6310173160171644</v>
      </c>
      <c r="G28">
        <f t="shared" si="2"/>
        <v>1.1058764017241227</v>
      </c>
    </row>
    <row r="29" spans="1:7" x14ac:dyDescent="0.35">
      <c r="A29" s="9">
        <v>45124</v>
      </c>
      <c r="B29">
        <v>518.89285714285711</v>
      </c>
      <c r="C29">
        <f t="shared" si="3"/>
        <v>507.03547619047612</v>
      </c>
      <c r="D29">
        <f t="shared" si="4"/>
        <v>11.857380952380993</v>
      </c>
      <c r="E29">
        <f t="shared" si="0"/>
        <v>140.59748304988759</v>
      </c>
      <c r="F29">
        <f t="shared" si="1"/>
        <v>11.857380952380993</v>
      </c>
      <c r="G29">
        <f t="shared" si="2"/>
        <v>2.2851308876499954</v>
      </c>
    </row>
    <row r="30" spans="1:7" x14ac:dyDescent="0.35">
      <c r="A30" s="9">
        <v>45155</v>
      </c>
      <c r="B30">
        <v>500.74761904761897</v>
      </c>
      <c r="C30">
        <f t="shared" si="3"/>
        <v>506.26357142857131</v>
      </c>
      <c r="D30">
        <f t="shared" si="4"/>
        <v>-5.5159523809523421</v>
      </c>
      <c r="E30">
        <f t="shared" si="0"/>
        <v>30.425730668933813</v>
      </c>
      <c r="F30">
        <f t="shared" si="1"/>
        <v>5.5159523809523421</v>
      </c>
      <c r="G30">
        <f t="shared" si="2"/>
        <v>1.1015434065254732</v>
      </c>
    </row>
    <row r="31" spans="1:7" x14ac:dyDescent="0.35">
      <c r="A31" s="9">
        <v>45186</v>
      </c>
      <c r="B31">
        <v>506.91666666666657</v>
      </c>
      <c r="C31">
        <f t="shared" si="3"/>
        <v>499.79626190476188</v>
      </c>
      <c r="D31">
        <f t="shared" si="4"/>
        <v>7.1204047619046946</v>
      </c>
      <c r="E31">
        <f t="shared" si="0"/>
        <v>50.700163973355053</v>
      </c>
      <c r="F31">
        <f t="shared" si="1"/>
        <v>7.1204047619046946</v>
      </c>
      <c r="G31">
        <f t="shared" si="2"/>
        <v>1.4046499612503098</v>
      </c>
    </row>
    <row r="32" spans="1:7" x14ac:dyDescent="0.35">
      <c r="A32" s="9">
        <v>45216</v>
      </c>
      <c r="B32">
        <v>496.07749999999999</v>
      </c>
      <c r="C32">
        <f t="shared" si="3"/>
        <v>525.09673484848474</v>
      </c>
      <c r="D32">
        <f t="shared" si="4"/>
        <v>-29.019234848484757</v>
      </c>
      <c r="E32">
        <f t="shared" si="0"/>
        <v>842.11599119151219</v>
      </c>
      <c r="F32">
        <f t="shared" si="1"/>
        <v>29.019234848484757</v>
      </c>
      <c r="G32">
        <f t="shared" si="2"/>
        <v>5.8497381656061318</v>
      </c>
    </row>
    <row r="33" spans="1:7" x14ac:dyDescent="0.35">
      <c r="A33" s="9">
        <v>45247</v>
      </c>
      <c r="B33">
        <v>542.63636363636351</v>
      </c>
      <c r="C33">
        <f t="shared" si="3"/>
        <v>539.32665909090906</v>
      </c>
      <c r="D33">
        <f t="shared" si="4"/>
        <v>3.3097045454544514</v>
      </c>
      <c r="E33">
        <f t="shared" si="0"/>
        <v>10.954144178201856</v>
      </c>
      <c r="F33">
        <f t="shared" si="1"/>
        <v>3.3097045454544514</v>
      </c>
      <c r="G33">
        <f t="shared" si="2"/>
        <v>0.60993047411625023</v>
      </c>
    </row>
    <row r="34" spans="1:7" x14ac:dyDescent="0.35">
      <c r="A34" s="9">
        <v>45277</v>
      </c>
      <c r="B34">
        <v>544.88</v>
      </c>
      <c r="C34">
        <f t="shared" si="3"/>
        <v>565.41672727272726</v>
      </c>
      <c r="D34">
        <f t="shared" si="4"/>
        <v>-20.536727272727262</v>
      </c>
      <c r="E34">
        <f t="shared" si="0"/>
        <v>421.75716707437971</v>
      </c>
      <c r="F34">
        <f t="shared" si="1"/>
        <v>20.536727272727262</v>
      </c>
      <c r="G34">
        <f t="shared" si="2"/>
        <v>3.7690367186770048</v>
      </c>
    </row>
    <row r="35" spans="1:7" x14ac:dyDescent="0.35">
      <c r="A35" s="9">
        <v>44944</v>
      </c>
      <c r="B35">
        <v>579.4818181818182</v>
      </c>
      <c r="C35">
        <f t="shared" si="3"/>
        <v>558.55517703349278</v>
      </c>
      <c r="D35">
        <f t="shared" si="4"/>
        <v>20.926641148325416</v>
      </c>
      <c r="E35">
        <f t="shared" si="0"/>
        <v>437.92430975078651</v>
      </c>
      <c r="F35">
        <f t="shared" si="1"/>
        <v>20.926641148325416</v>
      </c>
      <c r="G35">
        <f t="shared" si="2"/>
        <v>3.6112679452109187</v>
      </c>
    </row>
    <row r="36" spans="1:7" x14ac:dyDescent="0.35">
      <c r="A36" s="9">
        <v>44975</v>
      </c>
      <c r="B36">
        <v>550.37105263157889</v>
      </c>
      <c r="C36">
        <f t="shared" si="3"/>
        <v>534.42318181818177</v>
      </c>
      <c r="D36">
        <f t="shared" si="4"/>
        <v>15.947870813397117</v>
      </c>
      <c r="E36">
        <f t="shared" si="0"/>
        <v>254.33458348080362</v>
      </c>
      <c r="F36">
        <f t="shared" si="1"/>
        <v>15.947870813397117</v>
      </c>
      <c r="G36">
        <f t="shared" si="2"/>
        <v>2.8976579958453414</v>
      </c>
    </row>
    <row r="37" spans="1:7" x14ac:dyDescent="0.35">
      <c r="A37" s="9">
        <v>45003</v>
      </c>
      <c r="B37">
        <v>518.9394736842105</v>
      </c>
      <c r="C37">
        <f t="shared" si="3"/>
        <v>521.12037593984951</v>
      </c>
      <c r="D37">
        <f t="shared" si="4"/>
        <v>-2.1809022556390119</v>
      </c>
      <c r="E37">
        <f t="shared" si="0"/>
        <v>4.7563346486513298</v>
      </c>
      <c r="F37">
        <f t="shared" si="1"/>
        <v>2.1809022556390119</v>
      </c>
      <c r="G37">
        <f t="shared" si="2"/>
        <v>0.42026139198001217</v>
      </c>
    </row>
    <row r="38" spans="1:7" x14ac:dyDescent="0.35">
      <c r="A38" s="9">
        <v>45034</v>
      </c>
      <c r="B38">
        <v>517.33571428571429</v>
      </c>
      <c r="C38">
        <f t="shared" si="3"/>
        <v>530.38557074504433</v>
      </c>
      <c r="D38">
        <f t="shared" si="4"/>
        <v>-13.049856459330044</v>
      </c>
      <c r="E38">
        <f t="shared" si="0"/>
        <v>170.29875360911808</v>
      </c>
      <c r="F38">
        <f t="shared" si="1"/>
        <v>13.049856459330044</v>
      </c>
      <c r="G38">
        <f t="shared" si="2"/>
        <v>2.5225121906280892</v>
      </c>
    </row>
    <row r="39" spans="1:7" x14ac:dyDescent="0.35">
      <c r="A39" s="9">
        <v>45064</v>
      </c>
      <c r="B39">
        <v>538.81818181818176</v>
      </c>
      <c r="C39">
        <f t="shared" si="3"/>
        <v>528.93616883116886</v>
      </c>
      <c r="D39">
        <f t="shared" si="4"/>
        <v>9.8820129870128994</v>
      </c>
      <c r="E39">
        <f t="shared" si="0"/>
        <v>97.654180675491602</v>
      </c>
      <c r="F39">
        <f t="shared" si="1"/>
        <v>9.8820129870128994</v>
      </c>
      <c r="G39">
        <f t="shared" si="2"/>
        <v>1.8340162452698145</v>
      </c>
    </row>
    <row r="40" spans="1:7" x14ac:dyDescent="0.35">
      <c r="A40" s="9">
        <v>45095</v>
      </c>
      <c r="B40">
        <v>525.92857142857156</v>
      </c>
      <c r="C40">
        <f t="shared" si="3"/>
        <v>530.74175324675321</v>
      </c>
      <c r="D40">
        <f t="shared" si="4"/>
        <v>-4.813181818181647</v>
      </c>
      <c r="E40">
        <f t="shared" si="0"/>
        <v>23.166719214874387</v>
      </c>
      <c r="F40">
        <f t="shared" si="1"/>
        <v>4.813181818181647</v>
      </c>
      <c r="G40">
        <f t="shared" si="2"/>
        <v>0.91517785487631453</v>
      </c>
    </row>
    <row r="41" spans="1:7" x14ac:dyDescent="0.35">
      <c r="A41" s="9">
        <v>45125</v>
      </c>
      <c r="B41">
        <v>531.80227272727268</v>
      </c>
      <c r="C41">
        <f t="shared" si="3"/>
        <v>582.4621103896103</v>
      </c>
      <c r="D41">
        <f t="shared" si="4"/>
        <v>-50.659837662337623</v>
      </c>
      <c r="E41">
        <f t="shared" si="0"/>
        <v>2566.4191519744013</v>
      </c>
      <c r="F41">
        <f t="shared" si="1"/>
        <v>50.659837662337623</v>
      </c>
      <c r="G41">
        <f t="shared" si="2"/>
        <v>9.5260664085799824</v>
      </c>
    </row>
    <row r="42" spans="1:7" x14ac:dyDescent="0.35">
      <c r="A42" s="9">
        <v>45156</v>
      </c>
      <c r="B42">
        <v>617.21428571428567</v>
      </c>
      <c r="C42">
        <f t="shared" si="3"/>
        <v>613.47284632034632</v>
      </c>
      <c r="D42">
        <f t="shared" si="4"/>
        <v>3.7414393939393449</v>
      </c>
      <c r="E42">
        <f t="shared" si="0"/>
        <v>13.998368738521213</v>
      </c>
      <c r="F42">
        <f t="shared" si="1"/>
        <v>3.7414393939393449</v>
      </c>
      <c r="G42">
        <f t="shared" si="2"/>
        <v>0.60618159374089609</v>
      </c>
    </row>
    <row r="43" spans="1:7" x14ac:dyDescent="0.35">
      <c r="A43" s="9">
        <v>45187</v>
      </c>
      <c r="B43">
        <v>625.21388888888896</v>
      </c>
      <c r="C43">
        <f t="shared" si="3"/>
        <v>591.80702380952391</v>
      </c>
      <c r="D43">
        <f t="shared" si="4"/>
        <v>33.406865079365048</v>
      </c>
      <c r="E43">
        <f t="shared" si="0"/>
        <v>1116.0186344309</v>
      </c>
      <c r="F43">
        <f t="shared" si="1"/>
        <v>33.406865079365048</v>
      </c>
      <c r="G43">
        <f t="shared" si="2"/>
        <v>5.3432698270242698</v>
      </c>
    </row>
    <row r="44" spans="1:7" x14ac:dyDescent="0.35">
      <c r="A44" s="9">
        <v>45217</v>
      </c>
      <c r="B44">
        <v>570.86904761904782</v>
      </c>
      <c r="C44">
        <f t="shared" si="3"/>
        <v>604.57910317460323</v>
      </c>
      <c r="D44">
        <f t="shared" si="4"/>
        <v>-33.710055555555414</v>
      </c>
      <c r="E44">
        <f t="shared" si="0"/>
        <v>1136.3678455586323</v>
      </c>
      <c r="F44">
        <f t="shared" si="1"/>
        <v>33.710055555555414</v>
      </c>
      <c r="G44">
        <f t="shared" si="2"/>
        <v>5.9050417422614929</v>
      </c>
    </row>
    <row r="45" spans="1:7" x14ac:dyDescent="0.35">
      <c r="A45" s="9">
        <v>45248</v>
      </c>
      <c r="B45">
        <v>617.995</v>
      </c>
      <c r="C45">
        <f t="shared" si="3"/>
        <v>612.98090476190464</v>
      </c>
      <c r="D45">
        <f t="shared" si="4"/>
        <v>5.0140952380953649</v>
      </c>
      <c r="E45">
        <f t="shared" si="0"/>
        <v>25.141151056690614</v>
      </c>
      <c r="F45">
        <f t="shared" si="1"/>
        <v>5.0140952380953649</v>
      </c>
      <c r="G45">
        <f t="shared" si="2"/>
        <v>0.81134883584743656</v>
      </c>
    </row>
    <row r="46" spans="1:7" x14ac:dyDescent="0.35">
      <c r="A46" s="9">
        <v>45278</v>
      </c>
      <c r="B46">
        <v>617.49249999999995</v>
      </c>
      <c r="C46">
        <f t="shared" si="3"/>
        <v>641.89290217391306</v>
      </c>
      <c r="D46">
        <f t="shared" si="4"/>
        <v>-24.400402173913108</v>
      </c>
      <c r="E46">
        <f t="shared" si="0"/>
        <v>595.37962624870352</v>
      </c>
      <c r="F46">
        <f t="shared" si="1"/>
        <v>24.400402173913108</v>
      </c>
      <c r="G46">
        <f t="shared" si="2"/>
        <v>3.9515301277202735</v>
      </c>
    </row>
    <row r="47" spans="1:7" x14ac:dyDescent="0.35">
      <c r="A47" s="9">
        <v>44945</v>
      </c>
      <c r="B47">
        <v>658.07608695652186</v>
      </c>
      <c r="C47">
        <f t="shared" si="3"/>
        <v>684.14157608695655</v>
      </c>
      <c r="D47">
        <f t="shared" si="4"/>
        <v>-26.065489130434685</v>
      </c>
      <c r="E47">
        <f t="shared" si="0"/>
        <v>679.40972360880869</v>
      </c>
      <c r="F47">
        <f t="shared" si="1"/>
        <v>26.065489130434685</v>
      </c>
      <c r="G47">
        <f t="shared" si="2"/>
        <v>3.9608625274598062</v>
      </c>
    </row>
    <row r="48" spans="1:7" x14ac:dyDescent="0.35">
      <c r="A48" s="9">
        <v>44976</v>
      </c>
      <c r="B48">
        <v>708.28250000000003</v>
      </c>
      <c r="C48">
        <f t="shared" si="3"/>
        <v>725.39656922196809</v>
      </c>
      <c r="D48">
        <f t="shared" si="4"/>
        <v>-17.114069221968066</v>
      </c>
      <c r="E48">
        <f t="shared" si="0"/>
        <v>292.89136533431463</v>
      </c>
      <c r="F48">
        <f t="shared" si="1"/>
        <v>17.114069221968066</v>
      </c>
      <c r="G48">
        <f t="shared" si="2"/>
        <v>2.4162772935895021</v>
      </c>
    </row>
    <row r="49" spans="1:7" x14ac:dyDescent="0.35">
      <c r="A49" s="9">
        <v>45004</v>
      </c>
      <c r="B49">
        <v>745.1736842105264</v>
      </c>
      <c r="C49">
        <f t="shared" si="3"/>
        <v>750.65667105263174</v>
      </c>
      <c r="D49">
        <f t="shared" si="4"/>
        <v>-5.4829868421053334</v>
      </c>
      <c r="E49">
        <f t="shared" si="0"/>
        <v>30.063144710700215</v>
      </c>
      <c r="F49">
        <f t="shared" si="1"/>
        <v>5.4829868421053334</v>
      </c>
      <c r="G49">
        <f t="shared" si="2"/>
        <v>0.73579984885191951</v>
      </c>
    </row>
    <row r="50" spans="1:7" x14ac:dyDescent="0.35">
      <c r="A50" s="9">
        <v>45035</v>
      </c>
      <c r="B50">
        <v>760.46052631578959</v>
      </c>
      <c r="C50">
        <f t="shared" si="3"/>
        <v>761.2096172248805</v>
      </c>
      <c r="D50">
        <f t="shared" si="4"/>
        <v>-0.74909090909090992</v>
      </c>
      <c r="E50">
        <f t="shared" si="0"/>
        <v>0.56113719008264584</v>
      </c>
      <c r="F50">
        <f t="shared" si="1"/>
        <v>0.74909090909090992</v>
      </c>
      <c r="G50">
        <f t="shared" si="2"/>
        <v>9.8504903695664239E-2</v>
      </c>
    </row>
    <row r="51" spans="1:7" x14ac:dyDescent="0.35">
      <c r="A51" s="9">
        <v>45065</v>
      </c>
      <c r="B51">
        <v>764.25681818181829</v>
      </c>
      <c r="C51">
        <f t="shared" si="3"/>
        <v>782.78730861244026</v>
      </c>
      <c r="D51">
        <f t="shared" si="4"/>
        <v>-18.530490430621967</v>
      </c>
      <c r="E51">
        <f t="shared" si="0"/>
        <v>343.3790755993723</v>
      </c>
      <c r="F51">
        <f t="shared" si="1"/>
        <v>18.530490430621967</v>
      </c>
      <c r="G51">
        <f t="shared" si="2"/>
        <v>2.4246418206259985</v>
      </c>
    </row>
    <row r="52" spans="1:7" x14ac:dyDescent="0.35">
      <c r="A52" s="9">
        <v>45096</v>
      </c>
      <c r="B52">
        <v>795.77368421052631</v>
      </c>
      <c r="C52">
        <f t="shared" si="3"/>
        <v>767.7795262117744</v>
      </c>
      <c r="D52">
        <f t="shared" si="4"/>
        <v>27.994157998751916</v>
      </c>
      <c r="E52">
        <f t="shared" si="0"/>
        <v>783.67288205908585</v>
      </c>
      <c r="F52">
        <f t="shared" si="1"/>
        <v>27.994157998751916</v>
      </c>
      <c r="G52">
        <f t="shared" si="2"/>
        <v>3.5178542032995788</v>
      </c>
    </row>
    <row r="53" spans="1:7" x14ac:dyDescent="0.35">
      <c r="A53" s="9">
        <v>45126</v>
      </c>
      <c r="B53">
        <v>754.36956521739114</v>
      </c>
      <c r="C53">
        <f t="shared" si="3"/>
        <v>707.01073798626999</v>
      </c>
      <c r="D53">
        <f t="shared" si="4"/>
        <v>47.358827231121154</v>
      </c>
      <c r="E53">
        <f t="shared" si="0"/>
        <v>2242.8585167071824</v>
      </c>
      <c r="F53">
        <f t="shared" si="1"/>
        <v>47.358827231121154</v>
      </c>
      <c r="G53">
        <f t="shared" si="2"/>
        <v>6.2779345051484787</v>
      </c>
    </row>
    <row r="54" spans="1:7" x14ac:dyDescent="0.35">
      <c r="A54" s="9">
        <v>45157</v>
      </c>
      <c r="B54">
        <v>668.53750000000002</v>
      </c>
      <c r="C54">
        <f t="shared" si="3"/>
        <v>679.97978546910747</v>
      </c>
      <c r="D54">
        <f t="shared" si="4"/>
        <v>-11.442285469107446</v>
      </c>
      <c r="E54">
        <f t="shared" si="0"/>
        <v>130.92589675654742</v>
      </c>
      <c r="F54">
        <f t="shared" si="1"/>
        <v>11.442285469107446</v>
      </c>
      <c r="G54">
        <f t="shared" si="2"/>
        <v>1.711539811769339</v>
      </c>
    </row>
    <row r="55" spans="1:7" x14ac:dyDescent="0.35">
      <c r="A55" s="9">
        <v>45188</v>
      </c>
      <c r="B55">
        <v>673.30263157894728</v>
      </c>
      <c r="C55">
        <f t="shared" si="3"/>
        <v>688.01503947368417</v>
      </c>
      <c r="D55">
        <f t="shared" si="4"/>
        <v>-14.712407894736884</v>
      </c>
      <c r="E55">
        <f t="shared" si="0"/>
        <v>216.4549460611162</v>
      </c>
      <c r="F55">
        <f t="shared" si="1"/>
        <v>14.712407894736884</v>
      </c>
      <c r="G55">
        <f t="shared" si="2"/>
        <v>2.185110707236527</v>
      </c>
    </row>
    <row r="56" spans="1:7" x14ac:dyDescent="0.35">
      <c r="A56" s="9">
        <v>45218</v>
      </c>
      <c r="B56">
        <v>698.61750000000006</v>
      </c>
      <c r="C56">
        <f t="shared" si="3"/>
        <v>719.4965131578947</v>
      </c>
      <c r="D56">
        <f t="shared" si="4"/>
        <v>-20.879013157894633</v>
      </c>
      <c r="E56">
        <f t="shared" si="0"/>
        <v>435.93319044753719</v>
      </c>
      <c r="F56">
        <f t="shared" si="1"/>
        <v>20.879013157894633</v>
      </c>
      <c r="G56">
        <f t="shared" si="2"/>
        <v>2.9886186873209777</v>
      </c>
    </row>
    <row r="57" spans="1:7" x14ac:dyDescent="0.35">
      <c r="A57" s="9">
        <v>45249</v>
      </c>
      <c r="B57">
        <v>737.63499999999988</v>
      </c>
      <c r="C57">
        <f t="shared" si="3"/>
        <v>734.25367857142851</v>
      </c>
      <c r="D57">
        <f t="shared" si="4"/>
        <v>3.3813214285713684</v>
      </c>
      <c r="E57">
        <f t="shared" si="0"/>
        <v>11.43333460331592</v>
      </c>
      <c r="F57">
        <f t="shared" si="1"/>
        <v>3.3813214285713684</v>
      </c>
      <c r="G57">
        <f t="shared" si="2"/>
        <v>0.45840035092849019</v>
      </c>
    </row>
    <row r="58" spans="1:7" x14ac:dyDescent="0.35">
      <c r="A58" s="9">
        <v>45279</v>
      </c>
      <c r="B58">
        <v>738.50238095238092</v>
      </c>
      <c r="C58">
        <f t="shared" si="3"/>
        <v>736.29986645962731</v>
      </c>
      <c r="D58">
        <f t="shared" si="4"/>
        <v>2.2025144927536076</v>
      </c>
      <c r="E58">
        <f t="shared" si="0"/>
        <v>4.8510700907896815</v>
      </c>
      <c r="F58">
        <f t="shared" si="1"/>
        <v>2.2025144927536076</v>
      </c>
      <c r="G58">
        <f t="shared" si="2"/>
        <v>0.29824067593569842</v>
      </c>
    </row>
    <row r="59" spans="1:7" x14ac:dyDescent="0.35">
      <c r="A59" s="9">
        <v>44946</v>
      </c>
      <c r="B59">
        <v>734.97608695652173</v>
      </c>
      <c r="C59">
        <f t="shared" si="3"/>
        <v>733.64206418219453</v>
      </c>
      <c r="D59">
        <f t="shared" si="4"/>
        <v>1.3340227743271953</v>
      </c>
      <c r="E59">
        <f t="shared" si="0"/>
        <v>1.779616762423627</v>
      </c>
      <c r="F59">
        <f t="shared" si="1"/>
        <v>1.3340227743271953</v>
      </c>
      <c r="G59">
        <f t="shared" si="2"/>
        <v>0.18150560242732233</v>
      </c>
    </row>
    <row r="60" spans="1:7" x14ac:dyDescent="0.35">
      <c r="A60" s="9">
        <v>44977</v>
      </c>
      <c r="B60">
        <v>732.16499999999985</v>
      </c>
      <c r="C60">
        <f t="shared" si="3"/>
        <v>591.93996583850935</v>
      </c>
      <c r="D60">
        <f t="shared" si="4"/>
        <v>140.2250341614905</v>
      </c>
      <c r="E60">
        <f t="shared" si="0"/>
        <v>19663.060205591177</v>
      </c>
      <c r="F60">
        <f t="shared" si="1"/>
        <v>140.2250341614905</v>
      </c>
      <c r="G60">
        <f t="shared" si="2"/>
        <v>19.15210835829226</v>
      </c>
    </row>
    <row r="61" spans="1:7" x14ac:dyDescent="0.35">
      <c r="A61" s="9">
        <v>45005</v>
      </c>
      <c r="B61">
        <v>497.98809523809524</v>
      </c>
      <c r="C61">
        <f t="shared" si="3"/>
        <v>473.6312619047618</v>
      </c>
      <c r="D61">
        <f t="shared" si="4"/>
        <v>24.356833333333441</v>
      </c>
      <c r="E61">
        <f t="shared" si="0"/>
        <v>593.25533002778297</v>
      </c>
      <c r="F61">
        <f t="shared" si="1"/>
        <v>24.356833333333441</v>
      </c>
      <c r="G61">
        <f t="shared" si="2"/>
        <v>4.891047309411702</v>
      </c>
    </row>
    <row r="62" spans="1:7" x14ac:dyDescent="0.35">
      <c r="A62" s="9">
        <v>45036</v>
      </c>
      <c r="B62">
        <v>418.36388888888882</v>
      </c>
      <c r="C62">
        <f t="shared" si="3"/>
        <v>402.83744987468663</v>
      </c>
      <c r="D62">
        <f t="shared" si="4"/>
        <v>15.526439014202197</v>
      </c>
      <c r="E62">
        <f t="shared" si="0"/>
        <v>241.07030846174007</v>
      </c>
      <c r="F62">
        <f t="shared" si="1"/>
        <v>15.526439014202197</v>
      </c>
      <c r="G62">
        <f t="shared" si="2"/>
        <v>3.7112282934930332</v>
      </c>
    </row>
    <row r="63" spans="1:7" x14ac:dyDescent="0.35">
      <c r="A63" s="9">
        <v>45066</v>
      </c>
      <c r="B63">
        <v>379.2157894736842</v>
      </c>
      <c r="C63">
        <f t="shared" si="3"/>
        <v>402.55839845826677</v>
      </c>
      <c r="D63">
        <f t="shared" si="4"/>
        <v>-23.342608984582569</v>
      </c>
      <c r="E63">
        <f t="shared" si="0"/>
        <v>544.87739420711489</v>
      </c>
      <c r="F63">
        <f t="shared" si="1"/>
        <v>23.342608984582569</v>
      </c>
      <c r="G63">
        <f t="shared" si="2"/>
        <v>6.15549500641308</v>
      </c>
    </row>
    <row r="64" spans="1:7" x14ac:dyDescent="0.35">
      <c r="A64" s="9">
        <v>45097</v>
      </c>
      <c r="B64">
        <v>411.59545454545446</v>
      </c>
      <c r="C64">
        <f t="shared" si="3"/>
        <v>424.56151965883078</v>
      </c>
      <c r="D64">
        <f t="shared" si="4"/>
        <v>-12.966065113376317</v>
      </c>
      <c r="E64">
        <f t="shared" si="0"/>
        <v>168.1188445243144</v>
      </c>
      <c r="F64">
        <f t="shared" si="1"/>
        <v>12.966065113376317</v>
      </c>
      <c r="G64">
        <f t="shared" si="2"/>
        <v>3.1501963809817561</v>
      </c>
    </row>
    <row r="65" spans="1:7" x14ac:dyDescent="0.35">
      <c r="A65" s="9">
        <v>45127</v>
      </c>
      <c r="B65">
        <v>438.60217391304343</v>
      </c>
      <c r="C65">
        <f t="shared" si="3"/>
        <v>441.46591191417275</v>
      </c>
      <c r="D65">
        <f t="shared" si="4"/>
        <v>-2.8637380011293203</v>
      </c>
      <c r="E65">
        <f t="shared" si="0"/>
        <v>8.2009953391121542</v>
      </c>
      <c r="F65">
        <f t="shared" si="1"/>
        <v>2.8637380011293203</v>
      </c>
      <c r="G65">
        <f t="shared" si="2"/>
        <v>0.6529238046360164</v>
      </c>
    </row>
    <row r="66" spans="1:7" x14ac:dyDescent="0.35">
      <c r="A66" s="9">
        <v>45158</v>
      </c>
      <c r="B66">
        <v>447.87619047619046</v>
      </c>
      <c r="C66">
        <f t="shared" si="3"/>
        <v>443.15852907961596</v>
      </c>
      <c r="D66">
        <f t="shared" si="4"/>
        <v>4.7176613965744991</v>
      </c>
      <c r="E66">
        <f t="shared" si="0"/>
        <v>22.256329052729253</v>
      </c>
      <c r="F66">
        <f t="shared" si="1"/>
        <v>4.7176613965744991</v>
      </c>
      <c r="G66">
        <f t="shared" si="2"/>
        <v>1.0533405206377664</v>
      </c>
    </row>
    <row r="67" spans="1:7" x14ac:dyDescent="0.35">
      <c r="A67" s="9">
        <v>45189</v>
      </c>
      <c r="B67">
        <v>441.55909090909086</v>
      </c>
      <c r="C67">
        <f t="shared" si="3"/>
        <v>464.24248917748918</v>
      </c>
      <c r="D67">
        <f t="shared" si="4"/>
        <v>-22.683398268398321</v>
      </c>
      <c r="E67">
        <f t="shared" si="0"/>
        <v>514.53655700277591</v>
      </c>
      <c r="F67">
        <f t="shared" si="1"/>
        <v>22.683398268398321</v>
      </c>
      <c r="G67">
        <f t="shared" si="2"/>
        <v>5.137114994438746</v>
      </c>
    </row>
    <row r="68" spans="1:7" x14ac:dyDescent="0.35">
      <c r="A68" s="9">
        <v>45219</v>
      </c>
      <c r="B68">
        <v>478.31190476190483</v>
      </c>
      <c r="C68">
        <f t="shared" si="3"/>
        <v>540.36548051948057</v>
      </c>
      <c r="D68">
        <f t="shared" si="4"/>
        <v>-62.053575757575743</v>
      </c>
      <c r="E68">
        <f t="shared" si="0"/>
        <v>3850.6462643011919</v>
      </c>
      <c r="F68">
        <f t="shared" si="1"/>
        <v>62.053575757575743</v>
      </c>
      <c r="G68">
        <f t="shared" si="2"/>
        <v>12.973454170760167</v>
      </c>
    </row>
    <row r="69" spans="1:7" x14ac:dyDescent="0.35">
      <c r="A69" s="9">
        <v>45250</v>
      </c>
      <c r="B69">
        <v>587.86</v>
      </c>
      <c r="C69">
        <f t="shared" ref="C69:C83" si="5">B68*0.1+B69*0.3+B70*0.6</f>
        <v>591.16146320346331</v>
      </c>
      <c r="D69">
        <f t="shared" ref="D69:D83" si="6">B69-C69</f>
        <v>-3.3014632034632996</v>
      </c>
      <c r="E69">
        <f t="shared" ref="E69:E83" si="7">D69*D69</f>
        <v>10.899659283822153</v>
      </c>
      <c r="F69">
        <f t="shared" ref="F69:F83" si="8">ABS(D69)</f>
        <v>3.3014632034632996</v>
      </c>
      <c r="G69">
        <f t="shared" ref="G69:G83" si="9">(F69/B69)*100</f>
        <v>0.56160704988658861</v>
      </c>
    </row>
    <row r="70" spans="1:7" x14ac:dyDescent="0.35">
      <c r="A70" s="9">
        <v>45280</v>
      </c>
      <c r="B70">
        <v>611.62045454545466</v>
      </c>
      <c r="C70">
        <f t="shared" si="5"/>
        <v>639.41963636363641</v>
      </c>
      <c r="D70">
        <f t="shared" si="6"/>
        <v>-27.799181818181751</v>
      </c>
      <c r="E70">
        <f t="shared" si="7"/>
        <v>772.79450976032683</v>
      </c>
      <c r="F70">
        <f t="shared" si="8"/>
        <v>27.799181818181751</v>
      </c>
      <c r="G70">
        <f t="shared" si="9"/>
        <v>4.5451687581053193</v>
      </c>
    </row>
    <row r="71" spans="1:7" x14ac:dyDescent="0.35">
      <c r="A71" s="9">
        <v>44947</v>
      </c>
      <c r="B71">
        <v>661.91250000000002</v>
      </c>
      <c r="C71">
        <f t="shared" si="5"/>
        <v>706.0907954545454</v>
      </c>
      <c r="D71">
        <f t="shared" si="6"/>
        <v>-44.178295454545378</v>
      </c>
      <c r="E71">
        <f t="shared" si="7"/>
        <v>1951.7217892691049</v>
      </c>
      <c r="F71">
        <f t="shared" si="8"/>
        <v>44.178295454545378</v>
      </c>
      <c r="G71">
        <f t="shared" si="9"/>
        <v>6.6743407103726522</v>
      </c>
    </row>
    <row r="72" spans="1:7" x14ac:dyDescent="0.35">
      <c r="A72" s="9">
        <v>44978</v>
      </c>
      <c r="B72">
        <v>743.92499999999995</v>
      </c>
      <c r="C72">
        <f t="shared" si="5"/>
        <v>725.80303571428567</v>
      </c>
      <c r="D72">
        <f t="shared" si="6"/>
        <v>18.121964285714284</v>
      </c>
      <c r="E72">
        <f t="shared" si="7"/>
        <v>328.40558957270406</v>
      </c>
      <c r="F72">
        <f t="shared" si="8"/>
        <v>18.121964285714284</v>
      </c>
      <c r="G72">
        <f t="shared" si="9"/>
        <v>2.4359934517208437</v>
      </c>
    </row>
    <row r="73" spans="1:7" x14ac:dyDescent="0.35">
      <c r="A73" s="9">
        <v>45006</v>
      </c>
      <c r="B73">
        <v>727.39047619047631</v>
      </c>
      <c r="C73">
        <f t="shared" si="5"/>
        <v>700.64911654135335</v>
      </c>
      <c r="D73">
        <f t="shared" si="6"/>
        <v>26.741359649122955</v>
      </c>
      <c r="E73">
        <f t="shared" si="7"/>
        <v>715.10031588374136</v>
      </c>
      <c r="F73">
        <f t="shared" si="8"/>
        <v>26.741359649122955</v>
      </c>
      <c r="G73">
        <f t="shared" si="9"/>
        <v>3.6763417345211975</v>
      </c>
    </row>
    <row r="74" spans="1:7" x14ac:dyDescent="0.35">
      <c r="A74" s="9">
        <v>45037</v>
      </c>
      <c r="B74">
        <v>680.06578947368416</v>
      </c>
      <c r="C74">
        <f t="shared" si="5"/>
        <v>708.00578446115287</v>
      </c>
      <c r="D74">
        <f t="shared" si="6"/>
        <v>-27.939994987468708</v>
      </c>
      <c r="E74">
        <f t="shared" si="7"/>
        <v>780.64331989977654</v>
      </c>
      <c r="F74">
        <f t="shared" si="8"/>
        <v>27.939994987468708</v>
      </c>
      <c r="G74">
        <f t="shared" si="9"/>
        <v>4.1084253053064179</v>
      </c>
    </row>
    <row r="75" spans="1:7" x14ac:dyDescent="0.35">
      <c r="A75" s="9">
        <v>45067</v>
      </c>
      <c r="B75">
        <v>718.745</v>
      </c>
      <c r="C75">
        <f t="shared" si="5"/>
        <v>730.30280622009559</v>
      </c>
      <c r="D75">
        <f t="shared" si="6"/>
        <v>-11.557806220095586</v>
      </c>
      <c r="E75">
        <f t="shared" si="7"/>
        <v>133.58288462128021</v>
      </c>
      <c r="F75">
        <f t="shared" si="8"/>
        <v>11.557806220095586</v>
      </c>
      <c r="G75">
        <f t="shared" si="9"/>
        <v>1.6080537909961927</v>
      </c>
    </row>
    <row r="76" spans="1:7" x14ac:dyDescent="0.35">
      <c r="A76" s="9">
        <v>45098</v>
      </c>
      <c r="B76">
        <v>744.45454545454538</v>
      </c>
      <c r="C76">
        <f t="shared" si="5"/>
        <v>745.50514935064928</v>
      </c>
      <c r="D76">
        <f t="shared" si="6"/>
        <v>-1.0506038961038939</v>
      </c>
      <c r="E76">
        <f t="shared" si="7"/>
        <v>1.1037685465086815</v>
      </c>
      <c r="F76">
        <f t="shared" si="8"/>
        <v>1.0506038961038939</v>
      </c>
      <c r="G76">
        <f t="shared" si="9"/>
        <v>0.14112398164785486</v>
      </c>
    </row>
    <row r="77" spans="1:7" x14ac:dyDescent="0.35">
      <c r="A77" s="9">
        <v>45128</v>
      </c>
      <c r="B77">
        <v>750.4904761904761</v>
      </c>
      <c r="C77">
        <f t="shared" si="5"/>
        <v>751.10688311688295</v>
      </c>
      <c r="D77">
        <f t="shared" si="6"/>
        <v>-0.61640692640685302</v>
      </c>
      <c r="E77">
        <f t="shared" si="7"/>
        <v>0.37995749892234354</v>
      </c>
      <c r="F77">
        <f t="shared" si="8"/>
        <v>0.61640692640685302</v>
      </c>
      <c r="G77">
        <f t="shared" si="9"/>
        <v>8.2133877239290595E-2</v>
      </c>
    </row>
    <row r="78" spans="1:7" x14ac:dyDescent="0.35">
      <c r="A78" s="9">
        <v>45159</v>
      </c>
      <c r="B78">
        <v>752.52380952380952</v>
      </c>
      <c r="C78">
        <f t="shared" si="5"/>
        <v>777.42904761904754</v>
      </c>
      <c r="D78">
        <f t="shared" si="6"/>
        <v>-24.905238095238019</v>
      </c>
      <c r="E78">
        <f t="shared" si="7"/>
        <v>620.27088458049502</v>
      </c>
      <c r="F78">
        <f t="shared" si="8"/>
        <v>24.905238095238019</v>
      </c>
      <c r="G78">
        <f t="shared" si="9"/>
        <v>3.3095614756691663</v>
      </c>
    </row>
    <row r="79" spans="1:7" x14ac:dyDescent="0.35">
      <c r="A79" s="9">
        <v>45190</v>
      </c>
      <c r="B79">
        <v>794.37142857142851</v>
      </c>
      <c r="C79">
        <f t="shared" si="5"/>
        <v>789.59780952380947</v>
      </c>
      <c r="D79">
        <f t="shared" si="6"/>
        <v>4.7736190476190359</v>
      </c>
      <c r="E79">
        <f t="shared" si="7"/>
        <v>22.787438811791272</v>
      </c>
      <c r="F79">
        <f t="shared" si="8"/>
        <v>4.7736190476190359</v>
      </c>
      <c r="G79">
        <f t="shared" si="9"/>
        <v>0.60093035523744298</v>
      </c>
    </row>
    <row r="80" spans="1:7" x14ac:dyDescent="0.35">
      <c r="A80" s="9">
        <v>45220</v>
      </c>
      <c r="B80">
        <v>793.39</v>
      </c>
      <c r="C80">
        <f t="shared" si="5"/>
        <v>746.90414285714292</v>
      </c>
      <c r="D80">
        <f t="shared" si="6"/>
        <v>46.485857142857071</v>
      </c>
      <c r="E80">
        <f t="shared" si="7"/>
        <v>2160.9349143061158</v>
      </c>
      <c r="F80">
        <f t="shared" si="8"/>
        <v>46.485857142857071</v>
      </c>
      <c r="G80">
        <f t="shared" si="9"/>
        <v>5.8591433144931333</v>
      </c>
    </row>
    <row r="81" spans="1:7" x14ac:dyDescent="0.35">
      <c r="A81" s="9">
        <v>45251</v>
      </c>
      <c r="B81">
        <v>715.75</v>
      </c>
      <c r="C81">
        <f t="shared" si="5"/>
        <v>703.7648695652174</v>
      </c>
      <c r="D81">
        <f t="shared" si="6"/>
        <v>11.985130434782604</v>
      </c>
      <c r="E81">
        <f t="shared" si="7"/>
        <v>143.64335153875226</v>
      </c>
      <c r="F81">
        <f t="shared" si="8"/>
        <v>11.985130434782604</v>
      </c>
      <c r="G81">
        <f t="shared" si="9"/>
        <v>1.6744855654603708</v>
      </c>
    </row>
    <row r="82" spans="1:7" x14ac:dyDescent="0.35">
      <c r="A82" s="9">
        <v>45281</v>
      </c>
      <c r="B82">
        <v>682.83478260869572</v>
      </c>
      <c r="C82">
        <f t="shared" si="5"/>
        <v>716.40093478260872</v>
      </c>
      <c r="D82">
        <f t="shared" si="6"/>
        <v>-33.566152173912997</v>
      </c>
      <c r="E82">
        <f t="shared" si="7"/>
        <v>1126.6865717622843</v>
      </c>
      <c r="F82">
        <f t="shared" si="8"/>
        <v>33.566152173912997</v>
      </c>
      <c r="G82">
        <f t="shared" si="9"/>
        <v>4.9157062628938109</v>
      </c>
    </row>
    <row r="83" spans="1:7" x14ac:dyDescent="0.35">
      <c r="A83" s="9">
        <v>44948</v>
      </c>
      <c r="B83">
        <v>733.29250000000002</v>
      </c>
      <c r="C83">
        <f t="shared" si="5"/>
        <v>759.36722826086952</v>
      </c>
      <c r="D83">
        <f t="shared" si="6"/>
        <v>-26.074728260869506</v>
      </c>
      <c r="E83">
        <f t="shared" si="7"/>
        <v>679.89145387818689</v>
      </c>
      <c r="F83">
        <f t="shared" si="8"/>
        <v>26.074728260869506</v>
      </c>
      <c r="G83">
        <f t="shared" si="9"/>
        <v>3.5558427586358112</v>
      </c>
    </row>
    <row r="84" spans="1:7" x14ac:dyDescent="0.35">
      <c r="A84" s="9">
        <v>44979</v>
      </c>
      <c r="B84">
        <v>785.16</v>
      </c>
    </row>
    <row r="85" spans="1:7" x14ac:dyDescent="0.35">
      <c r="A85" s="9">
        <v>45007</v>
      </c>
      <c r="B85">
        <v>716.19749999999999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6502-D460-41C5-A4C2-7DAA350CA800}">
  <dimension ref="A1:Q85"/>
  <sheetViews>
    <sheetView workbookViewId="0">
      <selection activeCell="Q4" sqref="Q4:Q7"/>
    </sheetView>
  </sheetViews>
  <sheetFormatPr defaultRowHeight="14.5" x14ac:dyDescent="0.35"/>
  <sheetData>
    <row r="1" spans="1:17" x14ac:dyDescent="0.35">
      <c r="A1" t="s">
        <v>28</v>
      </c>
      <c r="B1" t="s">
        <v>29</v>
      </c>
      <c r="C1" t="s">
        <v>30</v>
      </c>
      <c r="D1" t="s">
        <v>31</v>
      </c>
      <c r="E1" t="s">
        <v>33</v>
      </c>
      <c r="F1" t="s">
        <v>32</v>
      </c>
    </row>
    <row r="2" spans="1:17" x14ac:dyDescent="0.35">
      <c r="A2" s="9">
        <v>45031</v>
      </c>
      <c r="B2" s="8">
        <v>548.38421052631577</v>
      </c>
    </row>
    <row r="3" spans="1:17" x14ac:dyDescent="0.35">
      <c r="A3" s="9">
        <v>45061</v>
      </c>
      <c r="B3" s="8">
        <v>559.79999999999995</v>
      </c>
    </row>
    <row r="4" spans="1:17" x14ac:dyDescent="0.35">
      <c r="A4" s="9">
        <v>45092</v>
      </c>
      <c r="B4" s="8">
        <v>558.47499999999991</v>
      </c>
      <c r="C4">
        <f>B2*$Q$4+B3*$Q$5+B4*$Q$6+B5*$Q$7</f>
        <v>569.54649427917616</v>
      </c>
      <c r="D4">
        <f>B4-C4</f>
        <v>-11.07149427917625</v>
      </c>
      <c r="E4">
        <f>D4*D4</f>
        <v>122.57798557383242</v>
      </c>
      <c r="F4">
        <f>ABS(D4)/B4*100</f>
        <v>1.982451189252205</v>
      </c>
      <c r="H4" t="s">
        <v>38</v>
      </c>
      <c r="I4">
        <f>SUM(E:E)/84</f>
        <v>457.4098696016506</v>
      </c>
      <c r="Q4">
        <v>0.01</v>
      </c>
    </row>
    <row r="5" spans="1:17" x14ac:dyDescent="0.35">
      <c r="A5" s="9">
        <v>45122</v>
      </c>
      <c r="B5" s="8">
        <v>581.22173913043491</v>
      </c>
      <c r="C5">
        <f>B3*$Q$4+B4*$Q$5+B5*$Q$6+B6*$Q$7</f>
        <v>563.76060144927533</v>
      </c>
      <c r="D5">
        <f>B5-C5</f>
        <v>17.461137681159585</v>
      </c>
      <c r="E5">
        <f>D5*D5</f>
        <v>304.89132912041111</v>
      </c>
      <c r="F5">
        <f>ABS(D5)/B5*100</f>
        <v>3.0042127652147301</v>
      </c>
      <c r="H5" t="s">
        <v>37</v>
      </c>
      <c r="I5">
        <f>SQRT(I4)</f>
        <v>21.387142623586971</v>
      </c>
      <c r="Q5">
        <v>0.02</v>
      </c>
    </row>
    <row r="6" spans="1:17" x14ac:dyDescent="0.35">
      <c r="A6" s="9">
        <v>45153</v>
      </c>
      <c r="B6" s="8">
        <v>546.95238095238096</v>
      </c>
      <c r="C6">
        <f t="shared" ref="C6:C69" si="0">B4*$Q$4+B5*$Q$5+B6*$Q$6+B7*$Q$7</f>
        <v>520.73567763975154</v>
      </c>
      <c r="D6">
        <f t="shared" ref="D6:D69" si="1">B6-C6</f>
        <v>26.21670331262942</v>
      </c>
      <c r="E6">
        <f t="shared" ref="E6:E69" si="2">D6*D6</f>
        <v>687.31553258243446</v>
      </c>
      <c r="F6">
        <f t="shared" ref="F6:F69" si="3">ABS(D6)/B6*100</f>
        <v>4.7932332366813322</v>
      </c>
      <c r="H6" t="s">
        <v>39</v>
      </c>
      <c r="I6">
        <f>SUM(F:F)/84</f>
        <v>2.4998049161791727</v>
      </c>
      <c r="Q6">
        <v>0.48</v>
      </c>
    </row>
    <row r="7" spans="1:17" x14ac:dyDescent="0.35">
      <c r="A7" s="9">
        <v>45184</v>
      </c>
      <c r="B7" s="8">
        <v>491.81499999999994</v>
      </c>
      <c r="C7">
        <f t="shared" si="0"/>
        <v>497.69996501035189</v>
      </c>
      <c r="D7">
        <f t="shared" si="1"/>
        <v>-5.884965010351948</v>
      </c>
      <c r="E7">
        <f t="shared" si="2"/>
        <v>34.632813173066701</v>
      </c>
      <c r="F7">
        <f t="shared" si="3"/>
        <v>1.1965810335902625</v>
      </c>
      <c r="H7" s="8" t="s">
        <v>35</v>
      </c>
      <c r="I7" s="8">
        <f>100-I6</f>
        <v>97.500195083820827</v>
      </c>
      <c r="Q7">
        <v>0.49</v>
      </c>
    </row>
    <row r="8" spans="1:17" x14ac:dyDescent="0.35">
      <c r="A8" s="9">
        <v>45214</v>
      </c>
      <c r="B8" s="8">
        <v>499.74999999999989</v>
      </c>
      <c r="C8">
        <f t="shared" si="0"/>
        <v>485.44585012531326</v>
      </c>
      <c r="D8">
        <f t="shared" si="1"/>
        <v>14.30414987468663</v>
      </c>
      <c r="E8">
        <f t="shared" si="2"/>
        <v>204.60870363749751</v>
      </c>
      <c r="F8">
        <f t="shared" si="3"/>
        <v>2.8622611054900715</v>
      </c>
    </row>
    <row r="9" spans="1:17" x14ac:dyDescent="0.35">
      <c r="A9" s="9">
        <v>45245</v>
      </c>
      <c r="B9" s="8">
        <v>469.91842105263163</v>
      </c>
      <c r="C9">
        <f t="shared" si="0"/>
        <v>460.74681028708136</v>
      </c>
      <c r="D9">
        <f t="shared" si="1"/>
        <v>9.1716107655502697</v>
      </c>
      <c r="E9">
        <f t="shared" si="2"/>
        <v>84.118444034757601</v>
      </c>
      <c r="F9">
        <f t="shared" si="3"/>
        <v>1.9517453146453763</v>
      </c>
    </row>
    <row r="10" spans="1:17" x14ac:dyDescent="0.35">
      <c r="A10" s="9">
        <v>45275</v>
      </c>
      <c r="B10" s="8">
        <v>449.53636363636366</v>
      </c>
      <c r="C10">
        <f t="shared" si="0"/>
        <v>431.33424796650718</v>
      </c>
      <c r="D10">
        <f t="shared" si="1"/>
        <v>18.202115669856482</v>
      </c>
      <c r="E10">
        <f t="shared" si="2"/>
        <v>331.31701485883491</v>
      </c>
      <c r="F10">
        <f t="shared" si="3"/>
        <v>4.0490863792679592</v>
      </c>
    </row>
    <row r="11" spans="1:17" x14ac:dyDescent="0.35">
      <c r="A11" s="9">
        <v>44942</v>
      </c>
      <c r="B11" s="8">
        <v>410.53249999999991</v>
      </c>
      <c r="C11">
        <f t="shared" si="0"/>
        <v>403.23967814992017</v>
      </c>
      <c r="D11">
        <f t="shared" si="1"/>
        <v>7.292821850079747</v>
      </c>
      <c r="E11">
        <f t="shared" si="2"/>
        <v>53.185250537000584</v>
      </c>
      <c r="F11">
        <f t="shared" si="3"/>
        <v>1.7764298441852349</v>
      </c>
    </row>
    <row r="12" spans="1:17" x14ac:dyDescent="0.35">
      <c r="A12" s="9">
        <v>44973</v>
      </c>
      <c r="B12" s="8">
        <v>392.84523809523807</v>
      </c>
      <c r="C12">
        <f t="shared" si="0"/>
        <v>408.8847279220779</v>
      </c>
      <c r="D12">
        <f t="shared" si="1"/>
        <v>-16.039489826839826</v>
      </c>
      <c r="E12">
        <f t="shared" si="2"/>
        <v>257.26523390529826</v>
      </c>
      <c r="F12">
        <f t="shared" si="3"/>
        <v>4.082902952982046</v>
      </c>
    </row>
    <row r="13" spans="1:17" x14ac:dyDescent="0.35">
      <c r="A13" s="9">
        <v>45001</v>
      </c>
      <c r="B13" s="8">
        <v>423.7</v>
      </c>
      <c r="C13">
        <f t="shared" si="0"/>
        <v>436.07506309523808</v>
      </c>
      <c r="D13">
        <f t="shared" si="1"/>
        <v>-12.37506309523809</v>
      </c>
      <c r="E13">
        <f t="shared" si="2"/>
        <v>153.14218661112375</v>
      </c>
      <c r="F13">
        <f t="shared" si="3"/>
        <v>2.9207134989941208</v>
      </c>
    </row>
    <row r="14" spans="1:17" x14ac:dyDescent="0.35">
      <c r="A14" s="9">
        <v>45032</v>
      </c>
      <c r="B14" s="8">
        <v>450.48333333333335</v>
      </c>
      <c r="C14">
        <f t="shared" si="0"/>
        <v>468.81574783549786</v>
      </c>
      <c r="D14">
        <f t="shared" si="1"/>
        <v>-18.332414502164511</v>
      </c>
      <c r="E14">
        <f t="shared" si="2"/>
        <v>336.07742147917168</v>
      </c>
      <c r="F14">
        <f t="shared" si="3"/>
        <v>4.0694989460574593</v>
      </c>
    </row>
    <row r="15" spans="1:17" x14ac:dyDescent="0.35">
      <c r="A15" s="9">
        <v>45062</v>
      </c>
      <c r="B15" s="8">
        <v>490.16590909090917</v>
      </c>
      <c r="C15">
        <f t="shared" si="0"/>
        <v>506.47900757575758</v>
      </c>
      <c r="D15">
        <f t="shared" si="1"/>
        <v>-16.31309848484841</v>
      </c>
      <c r="E15">
        <f t="shared" si="2"/>
        <v>266.11718217636349</v>
      </c>
      <c r="F15">
        <f t="shared" si="3"/>
        <v>3.3280769189158121</v>
      </c>
    </row>
    <row r="16" spans="1:17" x14ac:dyDescent="0.35">
      <c r="A16" s="9">
        <v>45093</v>
      </c>
      <c r="B16" s="8">
        <v>526.43409090909086</v>
      </c>
      <c r="C16">
        <f t="shared" si="0"/>
        <v>536.59206515151504</v>
      </c>
      <c r="D16">
        <f t="shared" si="1"/>
        <v>-10.157974242424189</v>
      </c>
      <c r="E16">
        <f t="shared" si="2"/>
        <v>103.18444070975326</v>
      </c>
      <c r="F16">
        <f t="shared" si="3"/>
        <v>1.9295813887893432</v>
      </c>
    </row>
    <row r="17" spans="1:6" x14ac:dyDescent="0.35">
      <c r="A17" s="9">
        <v>45123</v>
      </c>
      <c r="B17" s="8">
        <v>550.19499999999994</v>
      </c>
      <c r="C17">
        <f t="shared" si="0"/>
        <v>562.1414636363636</v>
      </c>
      <c r="D17">
        <f t="shared" si="1"/>
        <v>-11.94646363636366</v>
      </c>
      <c r="E17">
        <f t="shared" si="2"/>
        <v>142.71799341495924</v>
      </c>
      <c r="F17">
        <f t="shared" si="3"/>
        <v>2.1713144678457024</v>
      </c>
    </row>
    <row r="18" spans="1:6" x14ac:dyDescent="0.35">
      <c r="A18" s="9">
        <v>45154</v>
      </c>
      <c r="B18" s="8">
        <v>576.77045454545453</v>
      </c>
      <c r="C18">
        <f t="shared" si="0"/>
        <v>580.69293409090915</v>
      </c>
      <c r="D18">
        <f t="shared" si="1"/>
        <v>-3.9224795454546211</v>
      </c>
      <c r="E18">
        <f t="shared" si="2"/>
        <v>15.385845784509891</v>
      </c>
      <c r="F18">
        <f t="shared" si="3"/>
        <v>0.68007636565674601</v>
      </c>
    </row>
    <row r="19" spans="1:6" x14ac:dyDescent="0.35">
      <c r="A19" s="9">
        <v>45185</v>
      </c>
      <c r="B19" s="8">
        <v>586.88750000000005</v>
      </c>
      <c r="C19">
        <f t="shared" si="0"/>
        <v>554.58654330143543</v>
      </c>
      <c r="D19">
        <f t="shared" si="1"/>
        <v>32.300956698564619</v>
      </c>
      <c r="E19">
        <f t="shared" si="2"/>
        <v>1043.3518036425464</v>
      </c>
      <c r="F19">
        <f t="shared" si="3"/>
        <v>5.5037731590065588</v>
      </c>
    </row>
    <row r="20" spans="1:6" x14ac:dyDescent="0.35">
      <c r="A20" s="9">
        <v>45215</v>
      </c>
      <c r="B20" s="8">
        <v>522.12894736842111</v>
      </c>
      <c r="C20">
        <f t="shared" si="0"/>
        <v>502.39284928229665</v>
      </c>
      <c r="D20">
        <f t="shared" si="1"/>
        <v>19.736098086124457</v>
      </c>
      <c r="E20">
        <f t="shared" si="2"/>
        <v>389.51356766512544</v>
      </c>
      <c r="F20">
        <f t="shared" si="3"/>
        <v>3.7799279633117919</v>
      </c>
    </row>
    <row r="21" spans="1:6" x14ac:dyDescent="0.35">
      <c r="A21" s="9">
        <v>45246</v>
      </c>
      <c r="B21" s="8">
        <v>478.0928571428571</v>
      </c>
      <c r="C21">
        <f t="shared" si="0"/>
        <v>468.26047992139439</v>
      </c>
      <c r="D21">
        <f t="shared" si="1"/>
        <v>9.832377221462707</v>
      </c>
      <c r="E21">
        <f t="shared" si="2"/>
        <v>96.675641825138698</v>
      </c>
      <c r="F21">
        <f t="shared" si="3"/>
        <v>2.0565831667559786</v>
      </c>
    </row>
    <row r="22" spans="1:6" x14ac:dyDescent="0.35">
      <c r="A22" s="9">
        <v>45276</v>
      </c>
      <c r="B22" s="8">
        <v>454.00909090909096</v>
      </c>
      <c r="C22">
        <f t="shared" si="0"/>
        <v>459.25317691957162</v>
      </c>
      <c r="D22">
        <f t="shared" si="1"/>
        <v>-5.2440860104806575</v>
      </c>
      <c r="E22">
        <f t="shared" si="2"/>
        <v>27.500438085318937</v>
      </c>
      <c r="F22">
        <f t="shared" si="3"/>
        <v>1.1550618953422485</v>
      </c>
    </row>
    <row r="23" spans="1:6" x14ac:dyDescent="0.35">
      <c r="A23" s="9">
        <v>44943</v>
      </c>
      <c r="B23" s="8">
        <v>462.33809523809515</v>
      </c>
      <c r="C23">
        <f t="shared" si="0"/>
        <v>478.31921189336975</v>
      </c>
      <c r="D23">
        <f t="shared" si="1"/>
        <v>-15.981116655274604</v>
      </c>
      <c r="E23">
        <f t="shared" si="2"/>
        <v>255.39608954949537</v>
      </c>
      <c r="F23">
        <f t="shared" si="3"/>
        <v>3.4565866018556481</v>
      </c>
    </row>
    <row r="24" spans="1:6" x14ac:dyDescent="0.35">
      <c r="A24" s="9">
        <v>44974</v>
      </c>
      <c r="B24" s="8">
        <v>494.97105263157897</v>
      </c>
      <c r="C24">
        <f t="shared" si="0"/>
        <v>498.54009444064701</v>
      </c>
      <c r="D24">
        <f t="shared" si="1"/>
        <v>-3.5690418090680396</v>
      </c>
      <c r="E24">
        <f t="shared" si="2"/>
        <v>12.738059434875664</v>
      </c>
      <c r="F24">
        <f t="shared" si="3"/>
        <v>0.72106071457972298</v>
      </c>
    </row>
    <row r="25" spans="1:6" x14ac:dyDescent="0.35">
      <c r="A25" s="9">
        <v>45002</v>
      </c>
      <c r="B25" s="8">
        <v>504.42272727272717</v>
      </c>
      <c r="C25">
        <f t="shared" si="0"/>
        <v>503.96912776258819</v>
      </c>
      <c r="D25">
        <f t="shared" si="1"/>
        <v>0.45359951013898581</v>
      </c>
      <c r="E25">
        <f t="shared" si="2"/>
        <v>0.20575251559832788</v>
      </c>
      <c r="F25">
        <f t="shared" si="3"/>
        <v>8.9924479135084112E-2</v>
      </c>
    </row>
    <row r="26" spans="1:6" x14ac:dyDescent="0.35">
      <c r="A26" s="9">
        <v>45033</v>
      </c>
      <c r="B26" s="8">
        <v>504.74166666666656</v>
      </c>
      <c r="C26">
        <f t="shared" si="0"/>
        <v>505.88448325358843</v>
      </c>
      <c r="D26">
        <f t="shared" si="1"/>
        <v>-1.1428165869218674</v>
      </c>
      <c r="E26">
        <f t="shared" si="2"/>
        <v>1.306029751343746</v>
      </c>
      <c r="F26">
        <f t="shared" si="3"/>
        <v>0.22641613767872032</v>
      </c>
    </row>
    <row r="27" spans="1:6" x14ac:dyDescent="0.35">
      <c r="A27" s="9">
        <v>45063</v>
      </c>
      <c r="B27" s="8">
        <v>507.28636363636366</v>
      </c>
      <c r="C27">
        <f t="shared" si="0"/>
        <v>508.13984848484847</v>
      </c>
      <c r="D27">
        <f t="shared" si="1"/>
        <v>-0.85348484848481121</v>
      </c>
      <c r="E27">
        <f t="shared" si="2"/>
        <v>0.72843638659314114</v>
      </c>
      <c r="F27">
        <f t="shared" si="3"/>
        <v>0.16824517859435539</v>
      </c>
    </row>
    <row r="28" spans="1:6" x14ac:dyDescent="0.35">
      <c r="A28" s="9">
        <v>45094</v>
      </c>
      <c r="B28" s="8">
        <v>509.19047619047626</v>
      </c>
      <c r="C28">
        <f t="shared" si="0"/>
        <v>513.8620725108226</v>
      </c>
      <c r="D28">
        <f t="shared" si="1"/>
        <v>-4.6715963203463389</v>
      </c>
      <c r="E28">
        <f t="shared" si="2"/>
        <v>21.823812180273453</v>
      </c>
      <c r="F28">
        <f t="shared" si="3"/>
        <v>0.917455557161443</v>
      </c>
    </row>
    <row r="29" spans="1:6" x14ac:dyDescent="0.35">
      <c r="A29" s="9">
        <v>45124</v>
      </c>
      <c r="B29" s="8">
        <v>518.89285714285711</v>
      </c>
      <c r="C29">
        <f t="shared" si="0"/>
        <v>509.69157792207784</v>
      </c>
      <c r="D29">
        <f t="shared" si="1"/>
        <v>9.20127922077927</v>
      </c>
      <c r="E29">
        <f t="shared" si="2"/>
        <v>84.663539298744368</v>
      </c>
      <c r="F29">
        <f t="shared" si="3"/>
        <v>1.7732522415983176</v>
      </c>
    </row>
    <row r="30" spans="1:6" x14ac:dyDescent="0.35">
      <c r="A30" s="9">
        <v>45155</v>
      </c>
      <c r="B30" s="8">
        <v>500.74761904761897</v>
      </c>
      <c r="C30">
        <f t="shared" si="0"/>
        <v>504.21778571428558</v>
      </c>
      <c r="D30">
        <f t="shared" si="1"/>
        <v>-3.4701666666666142</v>
      </c>
      <c r="E30">
        <f t="shared" si="2"/>
        <v>12.04205669444408</v>
      </c>
      <c r="F30">
        <f t="shared" si="3"/>
        <v>0.69299713761327264</v>
      </c>
    </row>
    <row r="31" spans="1:6" x14ac:dyDescent="0.35">
      <c r="A31" s="9">
        <v>45186</v>
      </c>
      <c r="B31" s="8">
        <v>506.91666666666657</v>
      </c>
      <c r="C31">
        <f t="shared" si="0"/>
        <v>501.60185595238084</v>
      </c>
      <c r="D31">
        <f t="shared" si="1"/>
        <v>5.314810714285727</v>
      </c>
      <c r="E31">
        <f t="shared" si="2"/>
        <v>28.247212928686359</v>
      </c>
      <c r="F31">
        <f t="shared" si="3"/>
        <v>1.0484584673915622</v>
      </c>
    </row>
    <row r="32" spans="1:6" x14ac:dyDescent="0.35">
      <c r="A32" s="9">
        <v>45216</v>
      </c>
      <c r="B32" s="8">
        <v>496.07749999999999</v>
      </c>
      <c r="C32">
        <f t="shared" si="0"/>
        <v>519.15482770562767</v>
      </c>
      <c r="D32">
        <f t="shared" si="1"/>
        <v>-23.077327705627681</v>
      </c>
      <c r="E32">
        <f t="shared" si="2"/>
        <v>532.56305403293095</v>
      </c>
      <c r="F32">
        <f t="shared" si="3"/>
        <v>4.6519601686485847</v>
      </c>
    </row>
    <row r="33" spans="1:6" x14ac:dyDescent="0.35">
      <c r="A33" s="9">
        <v>45247</v>
      </c>
      <c r="B33" s="8">
        <v>542.63636363636351</v>
      </c>
      <c r="C33">
        <f t="shared" si="0"/>
        <v>542.4473712121212</v>
      </c>
      <c r="D33">
        <f t="shared" si="1"/>
        <v>0.18899242424231488</v>
      </c>
      <c r="E33">
        <f t="shared" si="2"/>
        <v>3.5718136420987132E-2</v>
      </c>
      <c r="F33">
        <f t="shared" si="3"/>
        <v>3.482855866418938E-2</v>
      </c>
    </row>
    <row r="34" spans="1:6" x14ac:dyDescent="0.35">
      <c r="A34" s="9">
        <v>45277</v>
      </c>
      <c r="B34" s="8">
        <v>544.88</v>
      </c>
      <c r="C34">
        <f t="shared" si="0"/>
        <v>561.30199318181815</v>
      </c>
      <c r="D34">
        <f t="shared" si="1"/>
        <v>-16.421993181818152</v>
      </c>
      <c r="E34">
        <f t="shared" si="2"/>
        <v>269.68186006368188</v>
      </c>
      <c r="F34">
        <f t="shared" si="3"/>
        <v>3.0138733632759784</v>
      </c>
    </row>
    <row r="35" spans="1:6" x14ac:dyDescent="0.35">
      <c r="A35" s="9">
        <v>44944</v>
      </c>
      <c r="B35" s="8">
        <v>579.4818181818182</v>
      </c>
      <c r="C35">
        <f t="shared" si="0"/>
        <v>564.15705215311004</v>
      </c>
      <c r="D35">
        <f t="shared" si="1"/>
        <v>15.324766028708154</v>
      </c>
      <c r="E35">
        <f t="shared" si="2"/>
        <v>234.8484538346475</v>
      </c>
      <c r="F35">
        <f t="shared" si="3"/>
        <v>2.6445637374423807</v>
      </c>
    </row>
    <row r="36" spans="1:6" x14ac:dyDescent="0.35">
      <c r="A36" s="9">
        <v>44975</v>
      </c>
      <c r="B36" s="8">
        <v>550.37105263157889</v>
      </c>
      <c r="C36">
        <f t="shared" si="0"/>
        <v>535.49688373205743</v>
      </c>
      <c r="D36">
        <f t="shared" si="1"/>
        <v>14.874168899521464</v>
      </c>
      <c r="E36">
        <f t="shared" si="2"/>
        <v>221.24090045149157</v>
      </c>
      <c r="F36">
        <f t="shared" si="3"/>
        <v>2.7025710797108924</v>
      </c>
    </row>
    <row r="37" spans="1:6" x14ac:dyDescent="0.35">
      <c r="A37" s="9">
        <v>45003</v>
      </c>
      <c r="B37" s="8">
        <v>518.9394736842105</v>
      </c>
      <c r="C37">
        <f t="shared" si="0"/>
        <v>519.38768660287076</v>
      </c>
      <c r="D37">
        <f t="shared" si="1"/>
        <v>-0.44821291866026058</v>
      </c>
      <c r="E37">
        <f t="shared" si="2"/>
        <v>0.20089482045394938</v>
      </c>
      <c r="F37">
        <f t="shared" si="3"/>
        <v>8.6370943316023574E-2</v>
      </c>
    </row>
    <row r="38" spans="1:6" x14ac:dyDescent="0.35">
      <c r="A38" s="9">
        <v>45034</v>
      </c>
      <c r="B38" s="8">
        <v>517.33571428571429</v>
      </c>
      <c r="C38">
        <f t="shared" si="0"/>
        <v>528.22455194805195</v>
      </c>
      <c r="D38">
        <f t="shared" si="1"/>
        <v>-10.888837662337664</v>
      </c>
      <c r="E38">
        <f t="shared" si="2"/>
        <v>118.56678563674318</v>
      </c>
      <c r="F38">
        <f t="shared" si="3"/>
        <v>2.1047914075238143</v>
      </c>
    </row>
    <row r="39" spans="1:6" x14ac:dyDescent="0.35">
      <c r="A39" s="9">
        <v>45064</v>
      </c>
      <c r="B39" s="8">
        <v>538.81818181818176</v>
      </c>
      <c r="C39">
        <f t="shared" si="0"/>
        <v>531.87383629528358</v>
      </c>
      <c r="D39">
        <f t="shared" si="1"/>
        <v>6.9443455228981747</v>
      </c>
      <c r="E39">
        <f t="shared" si="2"/>
        <v>48.223934741395922</v>
      </c>
      <c r="F39">
        <f t="shared" si="3"/>
        <v>1.2888105407774579</v>
      </c>
    </row>
    <row r="40" spans="1:6" x14ac:dyDescent="0.35">
      <c r="A40" s="9">
        <v>45095</v>
      </c>
      <c r="B40" s="8">
        <v>525.92857142857156</v>
      </c>
      <c r="C40">
        <f t="shared" si="0"/>
        <v>528.97854870129868</v>
      </c>
      <c r="D40">
        <f t="shared" si="1"/>
        <v>-3.0499772727271193</v>
      </c>
      <c r="E40">
        <f t="shared" si="2"/>
        <v>9.302361364151956</v>
      </c>
      <c r="F40">
        <f t="shared" si="3"/>
        <v>0.57992233896753576</v>
      </c>
    </row>
    <row r="41" spans="1:6" x14ac:dyDescent="0.35">
      <c r="A41" s="9">
        <v>45125</v>
      </c>
      <c r="B41" s="8">
        <v>531.80227272727268</v>
      </c>
      <c r="C41">
        <f t="shared" si="0"/>
        <v>573.6068441558441</v>
      </c>
      <c r="D41">
        <f t="shared" si="1"/>
        <v>-41.804571428571421</v>
      </c>
      <c r="E41">
        <f t="shared" si="2"/>
        <v>1747.62219232653</v>
      </c>
      <c r="F41">
        <f t="shared" si="3"/>
        <v>7.8609238005288313</v>
      </c>
    </row>
    <row r="42" spans="1:6" x14ac:dyDescent="0.35">
      <c r="A42" s="9">
        <v>45156</v>
      </c>
      <c r="B42" s="8">
        <v>617.21428571428567</v>
      </c>
      <c r="C42">
        <f t="shared" si="0"/>
        <v>618.51299386724384</v>
      </c>
      <c r="D42">
        <f t="shared" si="1"/>
        <v>-1.2987081529581701</v>
      </c>
      <c r="E42">
        <f t="shared" si="2"/>
        <v>1.6866428665600217</v>
      </c>
      <c r="F42">
        <f t="shared" si="3"/>
        <v>0.21041446755484761</v>
      </c>
    </row>
    <row r="43" spans="1:6" x14ac:dyDescent="0.35">
      <c r="A43" s="9">
        <v>45187</v>
      </c>
      <c r="B43" s="8">
        <v>625.21388888888896</v>
      </c>
      <c r="C43">
        <f t="shared" si="0"/>
        <v>597.49080844155856</v>
      </c>
      <c r="D43">
        <f t="shared" si="1"/>
        <v>27.723080447330403</v>
      </c>
      <c r="E43">
        <f t="shared" si="2"/>
        <v>768.56918948915336</v>
      </c>
      <c r="F43">
        <f t="shared" si="3"/>
        <v>4.4341753982143643</v>
      </c>
    </row>
    <row r="44" spans="1:6" x14ac:dyDescent="0.35">
      <c r="A44" s="9">
        <v>45217</v>
      </c>
      <c r="B44" s="8">
        <v>570.86904761904782</v>
      </c>
      <c r="C44">
        <f t="shared" si="0"/>
        <v>595.5111134920636</v>
      </c>
      <c r="D44">
        <f t="shared" si="1"/>
        <v>-24.642065873015781</v>
      </c>
      <c r="E44">
        <f t="shared" si="2"/>
        <v>607.23141049004903</v>
      </c>
      <c r="F44">
        <f t="shared" si="3"/>
        <v>4.3165881870442409</v>
      </c>
    </row>
    <row r="45" spans="1:6" x14ac:dyDescent="0.35">
      <c r="A45" s="9">
        <v>45248</v>
      </c>
      <c r="B45" s="8">
        <v>617.995</v>
      </c>
      <c r="C45">
        <f t="shared" si="0"/>
        <v>616.87844484126981</v>
      </c>
      <c r="D45">
        <f t="shared" si="1"/>
        <v>1.1165551587301934</v>
      </c>
      <c r="E45">
        <f t="shared" si="2"/>
        <v>1.2466954224870073</v>
      </c>
      <c r="F45">
        <f t="shared" si="3"/>
        <v>0.18067381754386255</v>
      </c>
    </row>
    <row r="46" spans="1:6" x14ac:dyDescent="0.35">
      <c r="A46" s="9">
        <v>45278</v>
      </c>
      <c r="B46" s="8">
        <v>617.49249999999995</v>
      </c>
      <c r="C46">
        <f t="shared" si="0"/>
        <v>636.92227308488623</v>
      </c>
      <c r="D46">
        <f t="shared" si="1"/>
        <v>-19.429773084886278</v>
      </c>
      <c r="E46">
        <f t="shared" si="2"/>
        <v>377.51608213017124</v>
      </c>
      <c r="F46">
        <f t="shared" si="3"/>
        <v>3.1465601743966571</v>
      </c>
    </row>
    <row r="47" spans="1:6" x14ac:dyDescent="0.35">
      <c r="A47" s="9">
        <v>44945</v>
      </c>
      <c r="B47" s="8">
        <v>658.07608695652186</v>
      </c>
      <c r="C47">
        <f t="shared" si="0"/>
        <v>681.46474673913053</v>
      </c>
      <c r="D47">
        <f t="shared" si="1"/>
        <v>-23.38865978260867</v>
      </c>
      <c r="E47">
        <f t="shared" si="2"/>
        <v>547.02940642661622</v>
      </c>
      <c r="F47">
        <f t="shared" si="3"/>
        <v>3.5540965925044965</v>
      </c>
    </row>
    <row r="48" spans="1:6" x14ac:dyDescent="0.35">
      <c r="A48" s="9">
        <v>44976</v>
      </c>
      <c r="B48" s="8">
        <v>708.28250000000003</v>
      </c>
      <c r="C48">
        <f t="shared" si="0"/>
        <v>724.44715200228836</v>
      </c>
      <c r="D48">
        <f t="shared" si="1"/>
        <v>-16.164652002288335</v>
      </c>
      <c r="E48">
        <f t="shared" si="2"/>
        <v>261.2959743550843</v>
      </c>
      <c r="F48">
        <f t="shared" si="3"/>
        <v>2.2822323017000046</v>
      </c>
    </row>
    <row r="49" spans="1:6" x14ac:dyDescent="0.35">
      <c r="A49" s="9">
        <v>45004</v>
      </c>
      <c r="B49" s="8">
        <v>745.1736842105264</v>
      </c>
      <c r="C49">
        <f t="shared" si="0"/>
        <v>751.05543718535478</v>
      </c>
      <c r="D49">
        <f t="shared" si="1"/>
        <v>-5.8817529748283732</v>
      </c>
      <c r="E49">
        <f t="shared" si="2"/>
        <v>34.595018056902418</v>
      </c>
      <c r="F49">
        <f t="shared" si="3"/>
        <v>0.78931302855384522</v>
      </c>
    </row>
    <row r="50" spans="1:6" x14ac:dyDescent="0.35">
      <c r="A50" s="9">
        <v>45035</v>
      </c>
      <c r="B50" s="8">
        <v>760.46052631578959</v>
      </c>
      <c r="C50">
        <f t="shared" si="0"/>
        <v>761.49319222488043</v>
      </c>
      <c r="D50">
        <f t="shared" si="1"/>
        <v>-1.0326659090908379</v>
      </c>
      <c r="E50">
        <f t="shared" si="2"/>
        <v>1.0663988797984068</v>
      </c>
      <c r="F50">
        <f t="shared" si="3"/>
        <v>0.1357948076665865</v>
      </c>
    </row>
    <row r="51" spans="1:6" x14ac:dyDescent="0.35">
      <c r="A51" s="9">
        <v>45065</v>
      </c>
      <c r="B51" s="8">
        <v>764.25681818181829</v>
      </c>
      <c r="C51">
        <f t="shared" si="0"/>
        <v>779.43332535885179</v>
      </c>
      <c r="D51">
        <f t="shared" si="1"/>
        <v>-15.1765071770335</v>
      </c>
      <c r="E51">
        <f t="shared" si="2"/>
        <v>230.32637009454933</v>
      </c>
      <c r="F51">
        <f t="shared" si="3"/>
        <v>1.9857862980063041</v>
      </c>
    </row>
    <row r="52" spans="1:6" x14ac:dyDescent="0.35">
      <c r="A52" s="9">
        <v>45096</v>
      </c>
      <c r="B52" s="8">
        <v>795.77368421052631</v>
      </c>
      <c r="C52">
        <f t="shared" si="0"/>
        <v>774.50219700436855</v>
      </c>
      <c r="D52">
        <f t="shared" si="1"/>
        <v>21.271487206157758</v>
      </c>
      <c r="E52">
        <f t="shared" si="2"/>
        <v>452.47616796173315</v>
      </c>
      <c r="F52">
        <f t="shared" si="3"/>
        <v>2.6730573815419447</v>
      </c>
    </row>
    <row r="53" spans="1:6" x14ac:dyDescent="0.35">
      <c r="A53" s="9">
        <v>45126</v>
      </c>
      <c r="B53" s="8">
        <v>754.36956521739114</v>
      </c>
      <c r="C53">
        <f t="shared" si="0"/>
        <v>713.23880817037639</v>
      </c>
      <c r="D53">
        <f t="shared" si="1"/>
        <v>41.130757047014754</v>
      </c>
      <c r="E53">
        <f t="shared" si="2"/>
        <v>1691.7391752605538</v>
      </c>
      <c r="F53">
        <f t="shared" si="3"/>
        <v>5.4523351608388202</v>
      </c>
    </row>
    <row r="54" spans="1:6" x14ac:dyDescent="0.35">
      <c r="A54" s="9">
        <v>45157</v>
      </c>
      <c r="B54" s="8">
        <v>668.53750000000002</v>
      </c>
      <c r="C54">
        <f t="shared" si="0"/>
        <v>673.86141762013722</v>
      </c>
      <c r="D54">
        <f t="shared" si="1"/>
        <v>-5.3239176201371947</v>
      </c>
      <c r="E54">
        <f t="shared" si="2"/>
        <v>28.34409882600729</v>
      </c>
      <c r="F54">
        <f t="shared" si="3"/>
        <v>0.79635287775737251</v>
      </c>
    </row>
    <row r="55" spans="1:6" x14ac:dyDescent="0.35">
      <c r="A55" s="9">
        <v>45188</v>
      </c>
      <c r="B55" s="8">
        <v>673.30263157894728</v>
      </c>
      <c r="C55">
        <f t="shared" si="0"/>
        <v>686.42228381006862</v>
      </c>
      <c r="D55">
        <f t="shared" si="1"/>
        <v>-13.119652231121336</v>
      </c>
      <c r="E55">
        <f t="shared" si="2"/>
        <v>172.12527466556705</v>
      </c>
      <c r="F55">
        <f t="shared" si="3"/>
        <v>1.94855205011671</v>
      </c>
    </row>
    <row r="56" spans="1:6" x14ac:dyDescent="0.35">
      <c r="A56" s="9">
        <v>45218</v>
      </c>
      <c r="B56" s="8">
        <v>698.61750000000006</v>
      </c>
      <c r="C56">
        <f t="shared" si="0"/>
        <v>716.92897763157885</v>
      </c>
      <c r="D56">
        <f t="shared" si="1"/>
        <v>-18.311477631578782</v>
      </c>
      <c r="E56">
        <f t="shared" si="2"/>
        <v>335.31021305181008</v>
      </c>
      <c r="F56">
        <f t="shared" si="3"/>
        <v>2.6211020524935003</v>
      </c>
    </row>
    <row r="57" spans="1:6" x14ac:dyDescent="0.35">
      <c r="A57" s="9">
        <v>45249</v>
      </c>
      <c r="B57" s="8">
        <v>737.63499999999988</v>
      </c>
      <c r="C57">
        <f t="shared" si="0"/>
        <v>736.63634298245597</v>
      </c>
      <c r="D57">
        <f t="shared" si="1"/>
        <v>0.99865701754390557</v>
      </c>
      <c r="E57">
        <f t="shared" si="2"/>
        <v>0.99731583868968854</v>
      </c>
      <c r="F57">
        <f t="shared" si="3"/>
        <v>0.13538633843891706</v>
      </c>
    </row>
    <row r="58" spans="1:6" x14ac:dyDescent="0.35">
      <c r="A58" s="9">
        <v>45279</v>
      </c>
      <c r="B58" s="8">
        <v>738.50238095238092</v>
      </c>
      <c r="C58">
        <f t="shared" si="0"/>
        <v>736.35830046583851</v>
      </c>
      <c r="D58">
        <f t="shared" si="1"/>
        <v>2.144080486542407</v>
      </c>
      <c r="E58">
        <f t="shared" si="2"/>
        <v>4.5970811327719252</v>
      </c>
      <c r="F58">
        <f t="shared" si="3"/>
        <v>0.29032817521554594</v>
      </c>
    </row>
    <row r="59" spans="1:6" x14ac:dyDescent="0.35">
      <c r="A59" s="9">
        <v>44946</v>
      </c>
      <c r="B59" s="8">
        <v>734.97608695652173</v>
      </c>
      <c r="C59">
        <f t="shared" si="0"/>
        <v>733.69576935817804</v>
      </c>
      <c r="D59">
        <f t="shared" si="1"/>
        <v>1.2803175983436859</v>
      </c>
      <c r="E59">
        <f t="shared" si="2"/>
        <v>1.6392131526285436</v>
      </c>
      <c r="F59">
        <f t="shared" si="3"/>
        <v>0.17419853802936372</v>
      </c>
    </row>
    <row r="60" spans="1:6" x14ac:dyDescent="0.35">
      <c r="A60" s="9">
        <v>44977</v>
      </c>
      <c r="B60" s="8">
        <v>732.16499999999985</v>
      </c>
      <c r="C60">
        <f t="shared" si="0"/>
        <v>617.53791221532083</v>
      </c>
      <c r="D60">
        <f t="shared" si="1"/>
        <v>114.62708778467902</v>
      </c>
      <c r="E60">
        <f t="shared" si="2"/>
        <v>13139.36925399651</v>
      </c>
      <c r="F60">
        <f t="shared" si="3"/>
        <v>15.655909226018593</v>
      </c>
    </row>
    <row r="61" spans="1:6" x14ac:dyDescent="0.35">
      <c r="A61" s="9">
        <v>45005</v>
      </c>
      <c r="B61" s="8">
        <v>497.98809523809524</v>
      </c>
      <c r="C61">
        <f t="shared" si="0"/>
        <v>466.02565213940647</v>
      </c>
      <c r="D61">
        <f t="shared" si="1"/>
        <v>31.962443098688766</v>
      </c>
      <c r="E61">
        <f t="shared" si="2"/>
        <v>1021.5977688369171</v>
      </c>
      <c r="F61">
        <f t="shared" si="3"/>
        <v>6.4183146955364592</v>
      </c>
    </row>
    <row r="62" spans="1:6" x14ac:dyDescent="0.35">
      <c r="A62" s="9">
        <v>45036</v>
      </c>
      <c r="B62" s="8">
        <v>418.36388888888882</v>
      </c>
      <c r="C62">
        <f t="shared" si="0"/>
        <v>403.91181541353376</v>
      </c>
      <c r="D62">
        <f t="shared" si="1"/>
        <v>14.452073475355064</v>
      </c>
      <c r="E62">
        <f t="shared" si="2"/>
        <v>208.86242773706141</v>
      </c>
      <c r="F62">
        <f t="shared" si="3"/>
        <v>3.4544266030554369</v>
      </c>
    </row>
    <row r="63" spans="1:6" x14ac:dyDescent="0.35">
      <c r="A63" s="9">
        <v>45066</v>
      </c>
      <c r="B63" s="8">
        <v>379.2157894736842</v>
      </c>
      <c r="C63">
        <f t="shared" si="0"/>
        <v>397.05251040479982</v>
      </c>
      <c r="D63">
        <f t="shared" si="1"/>
        <v>-17.836720931115622</v>
      </c>
      <c r="E63">
        <f t="shared" si="2"/>
        <v>318.14861357449814</v>
      </c>
      <c r="F63">
        <f t="shared" si="3"/>
        <v>4.7035807648914911</v>
      </c>
    </row>
    <row r="64" spans="1:6" x14ac:dyDescent="0.35">
      <c r="A64" s="9">
        <v>45097</v>
      </c>
      <c r="B64" s="8">
        <v>411.59545454545446</v>
      </c>
      <c r="C64">
        <f t="shared" si="0"/>
        <v>424.24883807757203</v>
      </c>
      <c r="D64">
        <f t="shared" si="1"/>
        <v>-12.653383532117573</v>
      </c>
      <c r="E64">
        <f t="shared" si="2"/>
        <v>160.10811481086418</v>
      </c>
      <c r="F64">
        <f t="shared" si="3"/>
        <v>3.0742281996508782</v>
      </c>
    </row>
    <row r="65" spans="1:6" x14ac:dyDescent="0.35">
      <c r="A65" s="9">
        <v>45127</v>
      </c>
      <c r="B65" s="8">
        <v>438.60217391304343</v>
      </c>
      <c r="C65">
        <f t="shared" si="0"/>
        <v>442.01244379724005</v>
      </c>
      <c r="D65">
        <f t="shared" si="1"/>
        <v>-3.410269884196623</v>
      </c>
      <c r="E65">
        <f t="shared" si="2"/>
        <v>11.629940683058448</v>
      </c>
      <c r="F65">
        <f t="shared" si="3"/>
        <v>0.77753145949357227</v>
      </c>
    </row>
    <row r="66" spans="1:6" x14ac:dyDescent="0.35">
      <c r="A66" s="9">
        <v>45158</v>
      </c>
      <c r="B66" s="8">
        <v>447.87619047619046</v>
      </c>
      <c r="C66">
        <f t="shared" si="0"/>
        <v>444.23252399774134</v>
      </c>
      <c r="D66">
        <f t="shared" si="1"/>
        <v>3.6436664784491199</v>
      </c>
      <c r="E66">
        <f t="shared" si="2"/>
        <v>13.276305406173812</v>
      </c>
      <c r="F66">
        <f t="shared" si="3"/>
        <v>0.81354324162110614</v>
      </c>
    </row>
    <row r="67" spans="1:6" x14ac:dyDescent="0.35">
      <c r="A67" s="9">
        <v>45189</v>
      </c>
      <c r="B67" s="8">
        <v>441.55909090909086</v>
      </c>
      <c r="C67">
        <f t="shared" si="0"/>
        <v>459.6647425183512</v>
      </c>
      <c r="D67">
        <f t="shared" si="1"/>
        <v>-18.105651609260349</v>
      </c>
      <c r="E67">
        <f t="shared" si="2"/>
        <v>327.81462019591186</v>
      </c>
      <c r="F67">
        <f t="shared" si="3"/>
        <v>4.1003915403449316</v>
      </c>
    </row>
    <row r="68" spans="1:6" x14ac:dyDescent="0.35">
      <c r="A68" s="9">
        <v>45219</v>
      </c>
      <c r="B68" s="8">
        <v>478.31190476190483</v>
      </c>
      <c r="C68">
        <f t="shared" si="0"/>
        <v>530.95105800865804</v>
      </c>
      <c r="D68">
        <f t="shared" si="1"/>
        <v>-52.63915324675321</v>
      </c>
      <c r="E68">
        <f t="shared" si="2"/>
        <v>2770.8804545351691</v>
      </c>
      <c r="F68">
        <f t="shared" si="3"/>
        <v>11.005194042359461</v>
      </c>
    </row>
    <row r="69" spans="1:6" x14ac:dyDescent="0.35">
      <c r="A69" s="9">
        <v>45250</v>
      </c>
      <c r="B69" s="8">
        <v>587.86</v>
      </c>
      <c r="C69">
        <f t="shared" si="0"/>
        <v>595.84865173160188</v>
      </c>
      <c r="D69">
        <f t="shared" si="1"/>
        <v>-7.9886517316018626</v>
      </c>
      <c r="E69">
        <f t="shared" si="2"/>
        <v>63.818556488825436</v>
      </c>
      <c r="F69">
        <f t="shared" si="3"/>
        <v>1.3589377966866025</v>
      </c>
    </row>
    <row r="70" spans="1:6" x14ac:dyDescent="0.35">
      <c r="A70" s="9">
        <v>45280</v>
      </c>
      <c r="B70" s="8">
        <v>611.62045454545466</v>
      </c>
      <c r="C70">
        <f t="shared" ref="C70:C83" si="4">B68*$Q$4+B69*$Q$5+B70*$Q$6+B71*$Q$7</f>
        <v>634.45526222943727</v>
      </c>
      <c r="D70">
        <f t="shared" ref="D70:D83" si="5">B70-C70</f>
        <v>-22.834807683982604</v>
      </c>
      <c r="E70">
        <f t="shared" ref="E70:E83" si="6">D70*D70</f>
        <v>521.42844196447095</v>
      </c>
      <c r="F70">
        <f t="shared" ref="F70:F83" si="7">ABS(D70)/B70*100</f>
        <v>3.7334931352080143</v>
      </c>
    </row>
    <row r="71" spans="1:6" x14ac:dyDescent="0.35">
      <c r="A71" s="9">
        <v>44947</v>
      </c>
      <c r="B71" s="8">
        <v>661.91250000000002</v>
      </c>
      <c r="C71">
        <f t="shared" si="4"/>
        <v>700.352259090909</v>
      </c>
      <c r="D71">
        <f t="shared" si="5"/>
        <v>-38.439759090908979</v>
      </c>
      <c r="E71">
        <f t="shared" si="6"/>
        <v>1477.6150789671194</v>
      </c>
      <c r="F71">
        <f t="shared" si="7"/>
        <v>5.807377726045206</v>
      </c>
    </row>
    <row r="72" spans="1:6" x14ac:dyDescent="0.35">
      <c r="A72" s="9">
        <v>44978</v>
      </c>
      <c r="B72" s="8">
        <v>743.92499999999995</v>
      </c>
      <c r="C72">
        <f t="shared" si="4"/>
        <v>732.85978787878787</v>
      </c>
      <c r="D72">
        <f t="shared" si="5"/>
        <v>11.065212121212085</v>
      </c>
      <c r="E72">
        <f t="shared" si="6"/>
        <v>122.43891928741884</v>
      </c>
      <c r="F72">
        <f t="shared" si="7"/>
        <v>1.48740963419862</v>
      </c>
    </row>
    <row r="73" spans="1:6" x14ac:dyDescent="0.35">
      <c r="A73" s="9">
        <v>45006</v>
      </c>
      <c r="B73" s="8">
        <v>727.39047619047631</v>
      </c>
      <c r="C73">
        <f t="shared" si="4"/>
        <v>703.87729041353396</v>
      </c>
      <c r="D73">
        <f t="shared" si="5"/>
        <v>23.51318577694235</v>
      </c>
      <c r="E73">
        <f t="shared" si="6"/>
        <v>552.86990538100406</v>
      </c>
      <c r="F73">
        <f t="shared" si="7"/>
        <v>3.2325396807622115</v>
      </c>
    </row>
    <row r="74" spans="1:6" x14ac:dyDescent="0.35">
      <c r="A74" s="9">
        <v>45037</v>
      </c>
      <c r="B74" s="8">
        <v>680.06578947368416</v>
      </c>
      <c r="C74">
        <f t="shared" si="4"/>
        <v>700.60368847117797</v>
      </c>
      <c r="D74">
        <f t="shared" si="5"/>
        <v>-20.537898997493812</v>
      </c>
      <c r="E74">
        <f t="shared" si="6"/>
        <v>421.80529523125733</v>
      </c>
      <c r="F74">
        <f t="shared" si="7"/>
        <v>3.0199870829245037</v>
      </c>
    </row>
    <row r="75" spans="1:6" x14ac:dyDescent="0.35">
      <c r="A75" s="9">
        <v>45067</v>
      </c>
      <c r="B75" s="8">
        <v>718.745</v>
      </c>
      <c r="C75">
        <f t="shared" si="4"/>
        <v>730.65554782410572</v>
      </c>
      <c r="D75">
        <f t="shared" si="5"/>
        <v>-11.91054782410572</v>
      </c>
      <c r="E75">
        <f t="shared" si="6"/>
        <v>141.8611494703095</v>
      </c>
      <c r="F75">
        <f t="shared" si="7"/>
        <v>1.6571312251362751</v>
      </c>
    </row>
    <row r="76" spans="1:6" x14ac:dyDescent="0.35">
      <c r="A76" s="9">
        <v>45098</v>
      </c>
      <c r="B76" s="8">
        <v>744.45454545454538</v>
      </c>
      <c r="C76">
        <f t="shared" si="4"/>
        <v>746.25407304625196</v>
      </c>
      <c r="D76">
        <f t="shared" si="5"/>
        <v>-1.7995275917065783</v>
      </c>
      <c r="E76">
        <f t="shared" si="6"/>
        <v>3.2382995533132775</v>
      </c>
      <c r="F76">
        <f t="shared" si="7"/>
        <v>0.24172430710431508</v>
      </c>
    </row>
    <row r="77" spans="1:6" x14ac:dyDescent="0.35">
      <c r="A77" s="9">
        <v>45128</v>
      </c>
      <c r="B77" s="8">
        <v>750.4904761904761</v>
      </c>
      <c r="C77">
        <f t="shared" si="4"/>
        <v>751.04863614718613</v>
      </c>
      <c r="D77">
        <f t="shared" si="5"/>
        <v>-0.55815995671002838</v>
      </c>
      <c r="E77">
        <f t="shared" si="6"/>
        <v>0.31154253727454073</v>
      </c>
      <c r="F77">
        <f t="shared" si="7"/>
        <v>7.4372690182995235E-2</v>
      </c>
    </row>
    <row r="78" spans="1:6" x14ac:dyDescent="0.35">
      <c r="A78" s="9">
        <v>45159</v>
      </c>
      <c r="B78" s="8">
        <v>752.52380952380952</v>
      </c>
      <c r="C78">
        <f t="shared" si="4"/>
        <v>772.90778354978352</v>
      </c>
      <c r="D78">
        <f t="shared" si="5"/>
        <v>-20.383974025973998</v>
      </c>
      <c r="E78">
        <f t="shared" si="6"/>
        <v>415.50639709158264</v>
      </c>
      <c r="F78">
        <f t="shared" si="7"/>
        <v>2.7087480512906028</v>
      </c>
    </row>
    <row r="79" spans="1:6" x14ac:dyDescent="0.35">
      <c r="A79" s="9">
        <v>45190</v>
      </c>
      <c r="B79" s="8">
        <v>794.37142857142851</v>
      </c>
      <c r="C79">
        <f t="shared" si="4"/>
        <v>792.61476666666658</v>
      </c>
      <c r="D79">
        <f t="shared" si="5"/>
        <v>1.756661904761927</v>
      </c>
      <c r="E79">
        <f t="shared" si="6"/>
        <v>3.0858610476418011</v>
      </c>
      <c r="F79">
        <f t="shared" si="7"/>
        <v>0.22113860614562261</v>
      </c>
    </row>
    <row r="80" spans="1:6" x14ac:dyDescent="0.35">
      <c r="A80" s="9">
        <v>45220</v>
      </c>
      <c r="B80" s="8">
        <v>793.39</v>
      </c>
      <c r="C80">
        <f t="shared" si="4"/>
        <v>754.95736666666664</v>
      </c>
      <c r="D80">
        <f t="shared" si="5"/>
        <v>38.432633333333342</v>
      </c>
      <c r="E80">
        <f t="shared" si="6"/>
        <v>1477.0673049344452</v>
      </c>
      <c r="F80">
        <f t="shared" si="7"/>
        <v>4.8441035724339025</v>
      </c>
    </row>
    <row r="81" spans="1:6" x14ac:dyDescent="0.35">
      <c r="A81" s="9">
        <v>45251</v>
      </c>
      <c r="B81" s="8">
        <v>715.75</v>
      </c>
      <c r="C81">
        <f t="shared" si="4"/>
        <v>701.9605577639752</v>
      </c>
      <c r="D81">
        <f t="shared" si="5"/>
        <v>13.789442236024797</v>
      </c>
      <c r="E81">
        <f t="shared" si="6"/>
        <v>190.14871718066456</v>
      </c>
      <c r="F81">
        <f t="shared" si="7"/>
        <v>1.9265724395424098</v>
      </c>
    </row>
    <row r="82" spans="1:6" x14ac:dyDescent="0.35">
      <c r="A82" s="9">
        <v>45281</v>
      </c>
      <c r="B82" s="8">
        <v>682.83478260869572</v>
      </c>
      <c r="C82">
        <f t="shared" si="4"/>
        <v>709.32292065217393</v>
      </c>
      <c r="D82">
        <f t="shared" si="5"/>
        <v>-26.488138043478216</v>
      </c>
      <c r="E82">
        <f t="shared" si="6"/>
        <v>701.62145701035797</v>
      </c>
      <c r="F82">
        <f t="shared" si="7"/>
        <v>3.879143054529703</v>
      </c>
    </row>
    <row r="83" spans="1:6" x14ac:dyDescent="0.35">
      <c r="A83" s="9">
        <v>44948</v>
      </c>
      <c r="B83" s="8">
        <v>733.29250000000002</v>
      </c>
      <c r="C83">
        <f t="shared" si="4"/>
        <v>757.5229956521739</v>
      </c>
      <c r="D83">
        <f t="shared" si="5"/>
        <v>-24.230495652173886</v>
      </c>
      <c r="E83">
        <f t="shared" si="6"/>
        <v>587.11691955001754</v>
      </c>
      <c r="F83">
        <f t="shared" si="7"/>
        <v>3.30434248982144</v>
      </c>
    </row>
    <row r="84" spans="1:6" x14ac:dyDescent="0.35">
      <c r="A84" s="9">
        <v>44979</v>
      </c>
      <c r="B84" s="8">
        <v>785.16</v>
      </c>
    </row>
    <row r="85" spans="1:6" x14ac:dyDescent="0.35">
      <c r="A85" s="9">
        <v>45007</v>
      </c>
      <c r="B85" s="8">
        <v>716.19749999999999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9B82-F1DE-4540-A6F8-78F2F8457E70}">
  <dimension ref="A1:O85"/>
  <sheetViews>
    <sheetView workbookViewId="0">
      <selection activeCell="Q10" sqref="Q10"/>
    </sheetView>
  </sheetViews>
  <sheetFormatPr defaultRowHeight="14.5" x14ac:dyDescent="0.35"/>
  <sheetData>
    <row r="1" spans="1:15" x14ac:dyDescent="0.35">
      <c r="A1" t="s">
        <v>28</v>
      </c>
      <c r="B1" s="8" t="s">
        <v>29</v>
      </c>
      <c r="C1" s="8" t="s">
        <v>30</v>
      </c>
      <c r="D1" t="s">
        <v>50</v>
      </c>
      <c r="E1" t="s">
        <v>51</v>
      </c>
      <c r="F1" t="s">
        <v>52</v>
      </c>
      <c r="G1" t="s">
        <v>53</v>
      </c>
    </row>
    <row r="2" spans="1:15" x14ac:dyDescent="0.35">
      <c r="A2" s="9">
        <v>45031</v>
      </c>
      <c r="B2">
        <v>548.38421052631577</v>
      </c>
    </row>
    <row r="3" spans="1:15" x14ac:dyDescent="0.35">
      <c r="A3" s="9">
        <v>45061</v>
      </c>
      <c r="B3">
        <v>559.79999999999995</v>
      </c>
      <c r="I3" t="s">
        <v>54</v>
      </c>
      <c r="J3">
        <f>SUM(E:E)/84</f>
        <v>1193.6270519669752</v>
      </c>
    </row>
    <row r="4" spans="1:15" x14ac:dyDescent="0.35">
      <c r="A4" s="9">
        <v>45092</v>
      </c>
      <c r="B4">
        <v>558.47499999999991</v>
      </c>
      <c r="I4" t="s">
        <v>55</v>
      </c>
      <c r="J4">
        <f>SQRT(J3)</f>
        <v>34.54890811540902</v>
      </c>
      <c r="O4">
        <v>2.5000000000000001E-2</v>
      </c>
    </row>
    <row r="5" spans="1:15" x14ac:dyDescent="0.35">
      <c r="A5" s="9">
        <v>45122</v>
      </c>
      <c r="B5">
        <v>581.22173913043491</v>
      </c>
      <c r="C5">
        <f>B2*$O$4+B3*$O$5+B4*$O$6+B5*$O$7+B6*$O$8+B7*$O$9</f>
        <v>536.65979832734001</v>
      </c>
      <c r="D5">
        <f t="shared" ref="D5:D68" si="0">B5-C5</f>
        <v>44.561940803094899</v>
      </c>
      <c r="E5">
        <f t="shared" ref="E5:E68" si="1">D5*D5</f>
        <v>1985.766568138534</v>
      </c>
      <c r="F5">
        <f t="shared" ref="F5:F68" si="2">ABS(D5)</f>
        <v>44.561940803094899</v>
      </c>
      <c r="G5">
        <f t="shared" ref="G5:G68" si="3">(F5/B5)*100</f>
        <v>7.6669432340510797</v>
      </c>
      <c r="I5" t="s">
        <v>56</v>
      </c>
      <c r="J5">
        <f>SUM(G:G)/84</f>
        <v>4.1583482110325107</v>
      </c>
      <c r="O5">
        <v>7.4999999999999997E-2</v>
      </c>
    </row>
    <row r="6" spans="1:15" x14ac:dyDescent="0.35">
      <c r="A6" s="9">
        <v>45153</v>
      </c>
      <c r="B6">
        <v>546.95238095238096</v>
      </c>
      <c r="C6">
        <f t="shared" ref="C6:C69" si="4">B3*$O$4+B4*$O$5+B5*$O$6+B6*$O$7+B7*$O$8+B8*$O$9</f>
        <v>521.25952510351954</v>
      </c>
      <c r="D6">
        <f t="shared" si="0"/>
        <v>25.692855848861427</v>
      </c>
      <c r="E6">
        <f t="shared" si="1"/>
        <v>660.12284167037285</v>
      </c>
      <c r="F6">
        <f t="shared" si="2"/>
        <v>25.692855848861427</v>
      </c>
      <c r="G6">
        <f t="shared" si="3"/>
        <v>4.6974575380993384</v>
      </c>
      <c r="I6">
        <f>COUNT(B2:B85)</f>
        <v>84</v>
      </c>
      <c r="O6">
        <v>0.1</v>
      </c>
    </row>
    <row r="7" spans="1:15" x14ac:dyDescent="0.35">
      <c r="A7" s="9">
        <v>45184</v>
      </c>
      <c r="B7">
        <v>491.81499999999994</v>
      </c>
      <c r="C7">
        <f t="shared" si="4"/>
        <v>500.02069089844179</v>
      </c>
      <c r="D7">
        <f t="shared" si="0"/>
        <v>-8.2056908984418442</v>
      </c>
      <c r="E7">
        <f t="shared" si="1"/>
        <v>67.333363120771324</v>
      </c>
      <c r="F7">
        <f t="shared" si="2"/>
        <v>8.2056908984418442</v>
      </c>
      <c r="G7">
        <f t="shared" si="3"/>
        <v>1.6684507179410644</v>
      </c>
      <c r="I7" s="8" t="s">
        <v>58</v>
      </c>
      <c r="J7" s="8">
        <f>100-J5</f>
        <v>95.841651788967482</v>
      </c>
      <c r="O7">
        <v>0.2</v>
      </c>
    </row>
    <row r="8" spans="1:15" x14ac:dyDescent="0.35">
      <c r="A8" s="9">
        <v>45214</v>
      </c>
      <c r="B8">
        <v>499.74999999999989</v>
      </c>
      <c r="C8">
        <f t="shared" si="4"/>
        <v>479.50080458557466</v>
      </c>
      <c r="D8">
        <f t="shared" si="0"/>
        <v>20.24919541442523</v>
      </c>
      <c r="E8">
        <f t="shared" si="1"/>
        <v>410.02991493157975</v>
      </c>
      <c r="F8">
        <f t="shared" si="2"/>
        <v>20.24919541442523</v>
      </c>
      <c r="G8">
        <f t="shared" si="3"/>
        <v>4.0518650153927434</v>
      </c>
      <c r="O8">
        <v>0.25</v>
      </c>
    </row>
    <row r="9" spans="1:15" x14ac:dyDescent="0.35">
      <c r="A9" s="9">
        <v>45245</v>
      </c>
      <c r="B9">
        <v>469.91842105263163</v>
      </c>
      <c r="C9">
        <f t="shared" si="4"/>
        <v>450.58908464342676</v>
      </c>
      <c r="D9">
        <f t="shared" si="0"/>
        <v>19.329336409204871</v>
      </c>
      <c r="E9">
        <f t="shared" si="1"/>
        <v>373.62324602021306</v>
      </c>
      <c r="F9">
        <f t="shared" si="2"/>
        <v>19.329336409204871</v>
      </c>
      <c r="G9">
        <f t="shared" si="3"/>
        <v>4.1133387292855144</v>
      </c>
      <c r="O9">
        <v>0.35</v>
      </c>
    </row>
    <row r="10" spans="1:15" x14ac:dyDescent="0.35">
      <c r="A10" s="9">
        <v>45275</v>
      </c>
      <c r="B10">
        <v>449.53636363636366</v>
      </c>
      <c r="C10">
        <f t="shared" si="4"/>
        <v>426.80469816586913</v>
      </c>
      <c r="D10">
        <f t="shared" si="0"/>
        <v>22.731665470494534</v>
      </c>
      <c r="E10">
        <f t="shared" si="1"/>
        <v>516.72861506247341</v>
      </c>
      <c r="F10">
        <f t="shared" si="2"/>
        <v>22.731665470494534</v>
      </c>
      <c r="G10">
        <f t="shared" si="3"/>
        <v>5.0566911398701659</v>
      </c>
    </row>
    <row r="11" spans="1:15" x14ac:dyDescent="0.35">
      <c r="A11" s="9">
        <v>44942</v>
      </c>
      <c r="B11">
        <v>410.53249999999991</v>
      </c>
      <c r="C11">
        <f t="shared" si="4"/>
        <v>421.30407746639321</v>
      </c>
      <c r="D11">
        <f t="shared" si="0"/>
        <v>-10.771577466393296</v>
      </c>
      <c r="E11">
        <f t="shared" si="1"/>
        <v>116.02688111451182</v>
      </c>
      <c r="F11">
        <f t="shared" si="2"/>
        <v>10.771577466393296</v>
      </c>
      <c r="G11">
        <f t="shared" si="3"/>
        <v>2.6238062678090768</v>
      </c>
    </row>
    <row r="12" spans="1:15" x14ac:dyDescent="0.35">
      <c r="A12" s="9">
        <v>44973</v>
      </c>
      <c r="B12">
        <v>392.84523809523807</v>
      </c>
      <c r="C12">
        <f t="shared" si="4"/>
        <v>428.67965208475732</v>
      </c>
      <c r="D12">
        <f t="shared" si="0"/>
        <v>-35.834413989519248</v>
      </c>
      <c r="E12">
        <f t="shared" si="1"/>
        <v>1284.1052259722528</v>
      </c>
      <c r="F12">
        <f t="shared" si="2"/>
        <v>35.834413989519248</v>
      </c>
      <c r="G12">
        <f t="shared" si="3"/>
        <v>9.1217636144113978</v>
      </c>
    </row>
    <row r="13" spans="1:15" x14ac:dyDescent="0.35">
      <c r="A13" s="9">
        <v>45001</v>
      </c>
      <c r="B13">
        <v>423.7</v>
      </c>
      <c r="C13">
        <f t="shared" si="4"/>
        <v>450.23177191558443</v>
      </c>
      <c r="D13">
        <f t="shared" si="0"/>
        <v>-26.531771915584443</v>
      </c>
      <c r="E13">
        <f t="shared" si="1"/>
        <v>703.93492098059539</v>
      </c>
      <c r="F13">
        <f t="shared" si="2"/>
        <v>26.531771915584443</v>
      </c>
      <c r="G13">
        <f t="shared" si="3"/>
        <v>6.2619239829087663</v>
      </c>
    </row>
    <row r="14" spans="1:15" x14ac:dyDescent="0.35">
      <c r="A14" s="9">
        <v>45032</v>
      </c>
      <c r="B14">
        <v>450.48333333333335</v>
      </c>
      <c r="C14">
        <f t="shared" si="4"/>
        <v>478.98678111471861</v>
      </c>
      <c r="D14">
        <f t="shared" si="0"/>
        <v>-28.503447781385262</v>
      </c>
      <c r="E14">
        <f t="shared" si="1"/>
        <v>812.4465354261564</v>
      </c>
      <c r="F14">
        <f t="shared" si="2"/>
        <v>28.503447781385262</v>
      </c>
      <c r="G14">
        <f t="shared" si="3"/>
        <v>6.3273035143109837</v>
      </c>
    </row>
    <row r="15" spans="1:15" x14ac:dyDescent="0.35">
      <c r="A15" s="9">
        <v>45062</v>
      </c>
      <c r="B15">
        <v>490.16590909090917</v>
      </c>
      <c r="C15">
        <f t="shared" si="4"/>
        <v>508.8569188311688</v>
      </c>
      <c r="D15">
        <f t="shared" si="0"/>
        <v>-18.691009740259631</v>
      </c>
      <c r="E15">
        <f t="shared" si="1"/>
        <v>349.35384511048039</v>
      </c>
      <c r="F15">
        <f t="shared" si="2"/>
        <v>18.691009740259631</v>
      </c>
      <c r="G15">
        <f t="shared" si="3"/>
        <v>3.813200672181607</v>
      </c>
    </row>
    <row r="16" spans="1:15" x14ac:dyDescent="0.35">
      <c r="A16" s="9">
        <v>45093</v>
      </c>
      <c r="B16">
        <v>526.43409090909086</v>
      </c>
      <c r="C16">
        <f t="shared" si="4"/>
        <v>538.10056818181818</v>
      </c>
      <c r="D16">
        <f t="shared" si="0"/>
        <v>-11.66647727272732</v>
      </c>
      <c r="E16">
        <f t="shared" si="1"/>
        <v>136.1066919550631</v>
      </c>
      <c r="F16">
        <f t="shared" si="2"/>
        <v>11.66647727272732</v>
      </c>
      <c r="G16">
        <f t="shared" si="3"/>
        <v>2.2161325556596578</v>
      </c>
    </row>
    <row r="17" spans="1:7" x14ac:dyDescent="0.35">
      <c r="A17" s="9">
        <v>45123</v>
      </c>
      <c r="B17">
        <v>550.19499999999994</v>
      </c>
      <c r="C17">
        <f t="shared" si="4"/>
        <v>560.31017424242418</v>
      </c>
      <c r="D17">
        <f t="shared" si="0"/>
        <v>-10.115174242424246</v>
      </c>
      <c r="E17">
        <f t="shared" si="1"/>
        <v>102.31674995460291</v>
      </c>
      <c r="F17">
        <f t="shared" si="2"/>
        <v>10.115174242424246</v>
      </c>
      <c r="G17">
        <f t="shared" si="3"/>
        <v>1.8384707680775447</v>
      </c>
    </row>
    <row r="18" spans="1:7" x14ac:dyDescent="0.35">
      <c r="A18" s="9">
        <v>45154</v>
      </c>
      <c r="B18">
        <v>576.77045454545453</v>
      </c>
      <c r="C18">
        <f t="shared" si="4"/>
        <v>551.57730203349286</v>
      </c>
      <c r="D18">
        <f t="shared" si="0"/>
        <v>25.193152511961671</v>
      </c>
      <c r="E18">
        <f t="shared" si="1"/>
        <v>634.69493349096069</v>
      </c>
      <c r="F18">
        <f t="shared" si="2"/>
        <v>25.193152511961671</v>
      </c>
      <c r="G18">
        <f t="shared" si="3"/>
        <v>4.3679686283195753</v>
      </c>
    </row>
    <row r="19" spans="1:7" x14ac:dyDescent="0.35">
      <c r="A19" s="9">
        <v>45185</v>
      </c>
      <c r="B19">
        <v>586.88750000000005</v>
      </c>
      <c r="C19">
        <f t="shared" si="4"/>
        <v>527.34475956937797</v>
      </c>
      <c r="D19">
        <f t="shared" si="0"/>
        <v>59.542740430622075</v>
      </c>
      <c r="E19">
        <f t="shared" si="1"/>
        <v>3545.3379379884368</v>
      </c>
      <c r="F19">
        <f t="shared" si="2"/>
        <v>59.542740430622075</v>
      </c>
      <c r="G19">
        <f t="shared" si="3"/>
        <v>10.145511777064952</v>
      </c>
    </row>
    <row r="20" spans="1:7" x14ac:dyDescent="0.35">
      <c r="A20" s="9">
        <v>45215</v>
      </c>
      <c r="B20">
        <v>522.12894736842111</v>
      </c>
      <c r="C20">
        <f t="shared" si="4"/>
        <v>498.55359466848938</v>
      </c>
      <c r="D20">
        <f t="shared" si="0"/>
        <v>23.575352699931727</v>
      </c>
      <c r="E20">
        <f t="shared" si="1"/>
        <v>555.7972549261782</v>
      </c>
      <c r="F20">
        <f t="shared" si="2"/>
        <v>23.575352699931727</v>
      </c>
      <c r="G20">
        <f t="shared" si="3"/>
        <v>4.5152357130846159</v>
      </c>
    </row>
    <row r="21" spans="1:7" x14ac:dyDescent="0.35">
      <c r="A21" s="9">
        <v>45246</v>
      </c>
      <c r="B21">
        <v>478.0928571428571</v>
      </c>
      <c r="C21">
        <f t="shared" si="4"/>
        <v>481.58789608965594</v>
      </c>
      <c r="D21">
        <f t="shared" si="0"/>
        <v>-3.495038946798843</v>
      </c>
      <c r="E21">
        <f t="shared" si="1"/>
        <v>12.215297239640766</v>
      </c>
      <c r="F21">
        <f t="shared" si="2"/>
        <v>3.495038946798843</v>
      </c>
      <c r="G21">
        <f t="shared" si="3"/>
        <v>0.73103768328304131</v>
      </c>
    </row>
    <row r="22" spans="1:7" x14ac:dyDescent="0.35">
      <c r="A22" s="9">
        <v>45276</v>
      </c>
      <c r="B22">
        <v>454.00909090909096</v>
      </c>
      <c r="C22">
        <f t="shared" si="4"/>
        <v>481.26735467931189</v>
      </c>
      <c r="D22">
        <f t="shared" si="0"/>
        <v>-27.258263770220935</v>
      </c>
      <c r="E22">
        <f t="shared" si="1"/>
        <v>743.0129437669392</v>
      </c>
      <c r="F22">
        <f t="shared" si="2"/>
        <v>27.258263770220935</v>
      </c>
      <c r="G22">
        <f t="shared" si="3"/>
        <v>6.0039026345573827</v>
      </c>
    </row>
    <row r="23" spans="1:7" x14ac:dyDescent="0.35">
      <c r="A23" s="9">
        <v>44943</v>
      </c>
      <c r="B23">
        <v>462.33809523809515</v>
      </c>
      <c r="C23">
        <f t="shared" si="4"/>
        <v>487.06943381180218</v>
      </c>
      <c r="D23">
        <f t="shared" si="0"/>
        <v>-24.731338573707035</v>
      </c>
      <c r="E23">
        <f t="shared" si="1"/>
        <v>611.63910764732952</v>
      </c>
      <c r="F23">
        <f t="shared" si="2"/>
        <v>24.731338573707035</v>
      </c>
      <c r="G23">
        <f t="shared" si="3"/>
        <v>5.3491890087428065</v>
      </c>
    </row>
    <row r="24" spans="1:7" x14ac:dyDescent="0.35">
      <c r="A24" s="9">
        <v>44974</v>
      </c>
      <c r="B24">
        <v>494.97105263157897</v>
      </c>
      <c r="C24">
        <f t="shared" si="4"/>
        <v>493.99628844839361</v>
      </c>
      <c r="D24">
        <f t="shared" si="0"/>
        <v>0.97476418318535707</v>
      </c>
      <c r="E24">
        <f t="shared" si="1"/>
        <v>0.9501652128210164</v>
      </c>
      <c r="F24">
        <f t="shared" si="2"/>
        <v>0.97476418318535707</v>
      </c>
      <c r="G24">
        <f t="shared" si="3"/>
        <v>0.19693357379242574</v>
      </c>
    </row>
    <row r="25" spans="1:7" x14ac:dyDescent="0.35">
      <c r="A25" s="9">
        <v>45002</v>
      </c>
      <c r="B25">
        <v>504.42272727272717</v>
      </c>
      <c r="C25">
        <f t="shared" si="4"/>
        <v>500.14287907268169</v>
      </c>
      <c r="D25">
        <f t="shared" si="0"/>
        <v>4.2798482000454783</v>
      </c>
      <c r="E25">
        <f t="shared" si="1"/>
        <v>18.317100615432519</v>
      </c>
      <c r="F25">
        <f t="shared" si="2"/>
        <v>4.2798482000454783</v>
      </c>
      <c r="G25">
        <f t="shared" si="3"/>
        <v>0.84846458508826972</v>
      </c>
    </row>
    <row r="26" spans="1:7" x14ac:dyDescent="0.35">
      <c r="A26" s="9">
        <v>45033</v>
      </c>
      <c r="B26">
        <v>504.74166666666656</v>
      </c>
      <c r="C26">
        <f t="shared" si="4"/>
        <v>505.11014496468442</v>
      </c>
      <c r="D26">
        <f t="shared" si="0"/>
        <v>-0.36847829801786247</v>
      </c>
      <c r="E26">
        <f t="shared" si="1"/>
        <v>0.13577625611014066</v>
      </c>
      <c r="F26">
        <f t="shared" si="2"/>
        <v>0.36847829801786247</v>
      </c>
      <c r="G26">
        <f t="shared" si="3"/>
        <v>7.3003344552730776E-2</v>
      </c>
    </row>
    <row r="27" spans="1:7" x14ac:dyDescent="0.35">
      <c r="A27" s="9">
        <v>45063</v>
      </c>
      <c r="B27">
        <v>507.28636363636366</v>
      </c>
      <c r="C27">
        <f t="shared" si="4"/>
        <v>511.04753930280242</v>
      </c>
      <c r="D27">
        <f t="shared" si="0"/>
        <v>-3.7611756664387599</v>
      </c>
      <c r="E27">
        <f t="shared" si="1"/>
        <v>14.14644239381105</v>
      </c>
      <c r="F27">
        <f t="shared" si="2"/>
        <v>3.7611756664387599</v>
      </c>
      <c r="G27">
        <f t="shared" si="3"/>
        <v>0.74143046926742762</v>
      </c>
    </row>
    <row r="28" spans="1:7" x14ac:dyDescent="0.35">
      <c r="A28" s="9">
        <v>45094</v>
      </c>
      <c r="B28">
        <v>509.19047619047626</v>
      </c>
      <c r="C28">
        <f t="shared" si="4"/>
        <v>508.01780573593066</v>
      </c>
      <c r="D28">
        <f t="shared" si="0"/>
        <v>1.1726704545455959</v>
      </c>
      <c r="E28">
        <f t="shared" si="1"/>
        <v>1.3751559949641745</v>
      </c>
      <c r="F28">
        <f t="shared" si="2"/>
        <v>1.1726704545455959</v>
      </c>
      <c r="G28">
        <f t="shared" si="3"/>
        <v>0.23030094029231751</v>
      </c>
    </row>
    <row r="29" spans="1:7" x14ac:dyDescent="0.35">
      <c r="A29" s="9">
        <v>45124</v>
      </c>
      <c r="B29">
        <v>518.89285714285711</v>
      </c>
      <c r="C29">
        <f t="shared" si="4"/>
        <v>507.97037608225099</v>
      </c>
      <c r="D29">
        <f t="shared" si="0"/>
        <v>10.922481060606117</v>
      </c>
      <c r="E29">
        <f t="shared" si="1"/>
        <v>119.30059251929933</v>
      </c>
      <c r="F29">
        <f t="shared" si="2"/>
        <v>10.922481060606117</v>
      </c>
      <c r="G29">
        <f t="shared" si="3"/>
        <v>2.1049588388531304</v>
      </c>
    </row>
    <row r="30" spans="1:7" x14ac:dyDescent="0.35">
      <c r="A30" s="9">
        <v>45155</v>
      </c>
      <c r="B30">
        <v>500.74761904761897</v>
      </c>
      <c r="C30">
        <f t="shared" si="4"/>
        <v>503.26654599567092</v>
      </c>
      <c r="D30">
        <f t="shared" si="0"/>
        <v>-2.5189269480519556</v>
      </c>
      <c r="E30">
        <f t="shared" si="1"/>
        <v>6.3449929696223393</v>
      </c>
      <c r="F30">
        <f t="shared" si="2"/>
        <v>2.5189269480519556</v>
      </c>
      <c r="G30">
        <f t="shared" si="3"/>
        <v>0.5030332351540181</v>
      </c>
    </row>
    <row r="31" spans="1:7" x14ac:dyDescent="0.35">
      <c r="A31" s="9">
        <v>45186</v>
      </c>
      <c r="B31">
        <v>506.91666666666657</v>
      </c>
      <c r="C31">
        <f t="shared" si="4"/>
        <v>517.04692370129862</v>
      </c>
      <c r="D31">
        <f t="shared" si="0"/>
        <v>-10.130257034632052</v>
      </c>
      <c r="E31">
        <f t="shared" si="1"/>
        <v>102.62210758771218</v>
      </c>
      <c r="F31">
        <f t="shared" si="2"/>
        <v>10.130257034632052</v>
      </c>
      <c r="G31">
        <f t="shared" si="3"/>
        <v>1.9984067798057645</v>
      </c>
    </row>
    <row r="32" spans="1:7" x14ac:dyDescent="0.35">
      <c r="A32" s="9">
        <v>45216</v>
      </c>
      <c r="B32">
        <v>496.07749999999999</v>
      </c>
      <c r="C32">
        <f t="shared" si="4"/>
        <v>526.80265043290035</v>
      </c>
      <c r="D32">
        <f t="shared" si="0"/>
        <v>-30.725150432900364</v>
      </c>
      <c r="E32">
        <f t="shared" si="1"/>
        <v>944.03486912435744</v>
      </c>
      <c r="F32">
        <f t="shared" si="2"/>
        <v>30.725150432900364</v>
      </c>
      <c r="G32">
        <f t="shared" si="3"/>
        <v>6.1936190278535843</v>
      </c>
    </row>
    <row r="33" spans="1:7" x14ac:dyDescent="0.35">
      <c r="A33" s="9">
        <v>45247</v>
      </c>
      <c r="B33">
        <v>542.63636363636351</v>
      </c>
      <c r="C33">
        <f t="shared" si="4"/>
        <v>547.71109956709961</v>
      </c>
      <c r="D33">
        <f t="shared" si="0"/>
        <v>-5.0747359307360966</v>
      </c>
      <c r="E33">
        <f t="shared" si="1"/>
        <v>25.752944766703958</v>
      </c>
      <c r="F33">
        <f t="shared" si="2"/>
        <v>5.0747359307360966</v>
      </c>
      <c r="G33">
        <f t="shared" si="3"/>
        <v>0.9352001212614689</v>
      </c>
    </row>
    <row r="34" spans="1:7" x14ac:dyDescent="0.35">
      <c r="A34" s="9">
        <v>45277</v>
      </c>
      <c r="B34">
        <v>544.88</v>
      </c>
      <c r="C34">
        <f t="shared" si="4"/>
        <v>550.61868849681014</v>
      </c>
      <c r="D34">
        <f t="shared" si="0"/>
        <v>-5.7386884968101413</v>
      </c>
      <c r="E34">
        <f t="shared" si="1"/>
        <v>32.932545663421038</v>
      </c>
      <c r="F34">
        <f t="shared" si="2"/>
        <v>5.7386884968101413</v>
      </c>
      <c r="G34">
        <f t="shared" si="3"/>
        <v>1.0532022641334131</v>
      </c>
    </row>
    <row r="35" spans="1:7" x14ac:dyDescent="0.35">
      <c r="A35" s="9">
        <v>44944</v>
      </c>
      <c r="B35">
        <v>579.4818181818182</v>
      </c>
      <c r="C35">
        <f t="shared" si="4"/>
        <v>542.70560735645927</v>
      </c>
      <c r="D35">
        <f t="shared" si="0"/>
        <v>36.77621082535893</v>
      </c>
      <c r="E35">
        <f t="shared" si="1"/>
        <v>1352.4896826712475</v>
      </c>
      <c r="F35">
        <f t="shared" si="2"/>
        <v>36.77621082535893</v>
      </c>
      <c r="G35">
        <f t="shared" si="3"/>
        <v>6.3463959819736795</v>
      </c>
    </row>
    <row r="36" spans="1:7" x14ac:dyDescent="0.35">
      <c r="A36" s="9">
        <v>44975</v>
      </c>
      <c r="B36">
        <v>550.37105263157889</v>
      </c>
      <c r="C36">
        <f t="shared" si="4"/>
        <v>533.25666985645933</v>
      </c>
      <c r="D36">
        <f t="shared" si="0"/>
        <v>17.114382775119566</v>
      </c>
      <c r="E36">
        <f t="shared" si="1"/>
        <v>292.90209777330926</v>
      </c>
      <c r="F36">
        <f t="shared" si="2"/>
        <v>17.114382775119566</v>
      </c>
      <c r="G36">
        <f t="shared" si="3"/>
        <v>3.1096080895402793</v>
      </c>
    </row>
    <row r="37" spans="1:7" x14ac:dyDescent="0.35">
      <c r="A37" s="9">
        <v>45003</v>
      </c>
      <c r="B37">
        <v>518.9394736842105</v>
      </c>
      <c r="C37">
        <f t="shared" si="4"/>
        <v>533.8284285714285</v>
      </c>
      <c r="D37">
        <f t="shared" si="0"/>
        <v>-14.888954887218006</v>
      </c>
      <c r="E37">
        <f t="shared" si="1"/>
        <v>221.68097763361294</v>
      </c>
      <c r="F37">
        <f t="shared" si="2"/>
        <v>14.888954887218006</v>
      </c>
      <c r="G37">
        <f t="shared" si="3"/>
        <v>2.8691120337240639</v>
      </c>
    </row>
    <row r="38" spans="1:7" x14ac:dyDescent="0.35">
      <c r="A38" s="9">
        <v>45034</v>
      </c>
      <c r="B38">
        <v>517.33571428571429</v>
      </c>
      <c r="C38">
        <f t="shared" si="4"/>
        <v>529.90551008202328</v>
      </c>
      <c r="D38">
        <f t="shared" si="0"/>
        <v>-12.569795796308995</v>
      </c>
      <c r="E38">
        <f t="shared" si="1"/>
        <v>157.99976636090727</v>
      </c>
      <c r="F38">
        <f t="shared" si="2"/>
        <v>12.569795796308995</v>
      </c>
      <c r="G38">
        <f t="shared" si="3"/>
        <v>2.429717386448782</v>
      </c>
    </row>
    <row r="39" spans="1:7" x14ac:dyDescent="0.35">
      <c r="A39" s="9">
        <v>45064</v>
      </c>
      <c r="B39">
        <v>538.81818181818176</v>
      </c>
      <c r="C39">
        <f t="shared" si="4"/>
        <v>529.7898829460014</v>
      </c>
      <c r="D39">
        <f t="shared" si="0"/>
        <v>9.0282988721803576</v>
      </c>
      <c r="E39">
        <f t="shared" si="1"/>
        <v>81.510180525413119</v>
      </c>
      <c r="F39">
        <f t="shared" si="2"/>
        <v>9.0282988721803576</v>
      </c>
      <c r="G39">
        <f t="shared" si="3"/>
        <v>1.6755742803101727</v>
      </c>
    </row>
    <row r="40" spans="1:7" x14ac:dyDescent="0.35">
      <c r="A40" s="9">
        <v>45095</v>
      </c>
      <c r="B40">
        <v>525.92857142857156</v>
      </c>
      <c r="C40">
        <f t="shared" si="4"/>
        <v>559.81676606288443</v>
      </c>
      <c r="D40">
        <f t="shared" si="0"/>
        <v>-33.888194634312867</v>
      </c>
      <c r="E40">
        <f t="shared" si="1"/>
        <v>1148.4097355730714</v>
      </c>
      <c r="F40">
        <f t="shared" si="2"/>
        <v>33.888194634312867</v>
      </c>
      <c r="G40">
        <f t="shared" si="3"/>
        <v>6.4434975537196788</v>
      </c>
    </row>
    <row r="41" spans="1:7" x14ac:dyDescent="0.35">
      <c r="A41" s="9">
        <v>45125</v>
      </c>
      <c r="B41">
        <v>531.80227272727268</v>
      </c>
      <c r="C41">
        <f t="shared" si="4"/>
        <v>585.4265007215007</v>
      </c>
      <c r="D41">
        <f t="shared" si="0"/>
        <v>-53.624227994228022</v>
      </c>
      <c r="E41">
        <f t="shared" si="1"/>
        <v>2875.5578279769484</v>
      </c>
      <c r="F41">
        <f t="shared" si="2"/>
        <v>53.624227994228022</v>
      </c>
      <c r="G41">
        <f t="shared" si="3"/>
        <v>10.083489812712488</v>
      </c>
    </row>
    <row r="42" spans="1:7" x14ac:dyDescent="0.35">
      <c r="A42" s="9">
        <v>45156</v>
      </c>
      <c r="B42">
        <v>617.21428571428567</v>
      </c>
      <c r="C42">
        <f t="shared" si="4"/>
        <v>585.64582070707081</v>
      </c>
      <c r="D42">
        <f t="shared" si="0"/>
        <v>31.568465007214854</v>
      </c>
      <c r="E42">
        <f t="shared" si="1"/>
        <v>996.5679829117488</v>
      </c>
      <c r="F42">
        <f t="shared" si="2"/>
        <v>31.568465007214854</v>
      </c>
      <c r="G42">
        <f t="shared" si="3"/>
        <v>5.1146685580489297</v>
      </c>
    </row>
    <row r="43" spans="1:7" x14ac:dyDescent="0.35">
      <c r="A43" s="9">
        <v>45187</v>
      </c>
      <c r="B43">
        <v>625.21388888888896</v>
      </c>
      <c r="C43">
        <f t="shared" si="4"/>
        <v>598.81310299422807</v>
      </c>
      <c r="D43">
        <f t="shared" si="0"/>
        <v>26.400785894660885</v>
      </c>
      <c r="E43">
        <f t="shared" si="1"/>
        <v>697.00149585572512</v>
      </c>
      <c r="F43">
        <f t="shared" si="2"/>
        <v>26.400785894660885</v>
      </c>
      <c r="G43">
        <f t="shared" si="3"/>
        <v>4.2226806479906509</v>
      </c>
    </row>
    <row r="44" spans="1:7" x14ac:dyDescent="0.35">
      <c r="A44" s="9">
        <v>45217</v>
      </c>
      <c r="B44">
        <v>570.86904761904782</v>
      </c>
      <c r="C44">
        <f t="shared" si="4"/>
        <v>606.90245165945169</v>
      </c>
      <c r="D44">
        <f t="shared" si="0"/>
        <v>-36.033404040403866</v>
      </c>
      <c r="E44">
        <f t="shared" si="1"/>
        <v>1298.4062067389937</v>
      </c>
      <c r="F44">
        <f t="shared" si="2"/>
        <v>36.033404040403866</v>
      </c>
      <c r="G44">
        <f t="shared" si="3"/>
        <v>6.3120262327569145</v>
      </c>
    </row>
    <row r="45" spans="1:7" x14ac:dyDescent="0.35">
      <c r="A45" s="9">
        <v>45248</v>
      </c>
      <c r="B45">
        <v>617.995</v>
      </c>
      <c r="C45">
        <f t="shared" si="4"/>
        <v>627.70705900621124</v>
      </c>
      <c r="D45">
        <f t="shared" si="0"/>
        <v>-9.7120590062112342</v>
      </c>
      <c r="E45">
        <f t="shared" si="1"/>
        <v>94.324090140128746</v>
      </c>
      <c r="F45">
        <f t="shared" si="2"/>
        <v>9.7120590062112342</v>
      </c>
      <c r="G45">
        <f t="shared" si="3"/>
        <v>1.5715432982809301</v>
      </c>
    </row>
    <row r="46" spans="1:7" x14ac:dyDescent="0.35">
      <c r="A46" s="9">
        <v>45278</v>
      </c>
      <c r="B46">
        <v>617.49249999999995</v>
      </c>
      <c r="C46">
        <f t="shared" si="4"/>
        <v>656.16142253278122</v>
      </c>
      <c r="D46">
        <f t="shared" si="0"/>
        <v>-38.668922532781266</v>
      </c>
      <c r="E46">
        <f t="shared" si="1"/>
        <v>1495.2855698462388</v>
      </c>
      <c r="F46">
        <f t="shared" si="2"/>
        <v>38.668922532781266</v>
      </c>
      <c r="G46">
        <f t="shared" si="3"/>
        <v>6.2622497492327875</v>
      </c>
    </row>
    <row r="47" spans="1:7" x14ac:dyDescent="0.35">
      <c r="A47" s="9">
        <v>44945</v>
      </c>
      <c r="B47">
        <v>658.07608695652186</v>
      </c>
      <c r="C47">
        <f t="shared" si="4"/>
        <v>691.86723305546479</v>
      </c>
      <c r="D47">
        <f t="shared" si="0"/>
        <v>-33.791146098942932</v>
      </c>
      <c r="E47">
        <f t="shared" si="1"/>
        <v>1141.8415546801061</v>
      </c>
      <c r="F47">
        <f t="shared" si="2"/>
        <v>33.791146098942932</v>
      </c>
      <c r="G47">
        <f t="shared" si="3"/>
        <v>5.1348387775675945</v>
      </c>
    </row>
    <row r="48" spans="1:7" x14ac:dyDescent="0.35">
      <c r="A48" s="9">
        <v>44976</v>
      </c>
      <c r="B48">
        <v>708.28250000000003</v>
      </c>
      <c r="C48">
        <f t="shared" si="4"/>
        <v>721.68052645881016</v>
      </c>
      <c r="D48">
        <f t="shared" si="0"/>
        <v>-13.398026458810136</v>
      </c>
      <c r="E48">
        <f t="shared" si="1"/>
        <v>179.50711299097648</v>
      </c>
      <c r="F48">
        <f t="shared" si="2"/>
        <v>13.398026458810136</v>
      </c>
      <c r="G48">
        <f t="shared" si="3"/>
        <v>1.8916218399875946</v>
      </c>
    </row>
    <row r="49" spans="1:7" x14ac:dyDescent="0.35">
      <c r="A49" s="9">
        <v>45004</v>
      </c>
      <c r="B49">
        <v>745.1736842105264</v>
      </c>
      <c r="C49">
        <f t="shared" si="4"/>
        <v>742.26102380642828</v>
      </c>
      <c r="D49">
        <f t="shared" si="0"/>
        <v>2.9126604040981192</v>
      </c>
      <c r="E49">
        <f t="shared" si="1"/>
        <v>8.4835906296010197</v>
      </c>
      <c r="F49">
        <f t="shared" si="2"/>
        <v>2.9126604040981192</v>
      </c>
      <c r="G49">
        <f t="shared" si="3"/>
        <v>0.39087000330452282</v>
      </c>
    </row>
    <row r="50" spans="1:7" x14ac:dyDescent="0.35">
      <c r="A50" s="9">
        <v>45035</v>
      </c>
      <c r="B50">
        <v>760.46052631578959</v>
      </c>
      <c r="C50">
        <f t="shared" si="4"/>
        <v>765.76755737726239</v>
      </c>
      <c r="D50">
        <f t="shared" si="0"/>
        <v>-5.3070310614727987</v>
      </c>
      <c r="E50">
        <f t="shared" si="1"/>
        <v>28.1645786874371</v>
      </c>
      <c r="F50">
        <f t="shared" si="2"/>
        <v>5.3070310614727987</v>
      </c>
      <c r="G50">
        <f t="shared" si="3"/>
        <v>0.69787068201735902</v>
      </c>
    </row>
    <row r="51" spans="1:7" x14ac:dyDescent="0.35">
      <c r="A51" s="9">
        <v>45065</v>
      </c>
      <c r="B51">
        <v>764.25681818181829</v>
      </c>
      <c r="C51">
        <f t="shared" si="4"/>
        <v>765.46527396245062</v>
      </c>
      <c r="D51">
        <f t="shared" si="0"/>
        <v>-1.2084557806323346</v>
      </c>
      <c r="E51">
        <f t="shared" si="1"/>
        <v>1.4603653737437052</v>
      </c>
      <c r="F51">
        <f t="shared" si="2"/>
        <v>1.2084557806323346</v>
      </c>
      <c r="G51">
        <f t="shared" si="3"/>
        <v>0.15812168787807143</v>
      </c>
    </row>
    <row r="52" spans="1:7" x14ac:dyDescent="0.35">
      <c r="A52" s="9">
        <v>45096</v>
      </c>
      <c r="B52">
        <v>795.77368421052631</v>
      </c>
      <c r="C52">
        <f t="shared" si="4"/>
        <v>733.82481654358219</v>
      </c>
      <c r="D52">
        <f t="shared" si="0"/>
        <v>61.948867666944125</v>
      </c>
      <c r="E52">
        <f t="shared" si="1"/>
        <v>3837.6622052165553</v>
      </c>
      <c r="F52">
        <f t="shared" si="2"/>
        <v>61.948867666944125</v>
      </c>
      <c r="G52">
        <f t="shared" si="3"/>
        <v>7.7847343907084028</v>
      </c>
    </row>
    <row r="53" spans="1:7" x14ac:dyDescent="0.35">
      <c r="A53" s="9">
        <v>45126</v>
      </c>
      <c r="B53">
        <v>754.36956521739114</v>
      </c>
      <c r="C53">
        <f t="shared" si="4"/>
        <v>709.57235203869345</v>
      </c>
      <c r="D53">
        <f t="shared" si="0"/>
        <v>44.797213178697689</v>
      </c>
      <c r="E53">
        <f t="shared" si="1"/>
        <v>2006.7903085776859</v>
      </c>
      <c r="F53">
        <f t="shared" si="2"/>
        <v>44.797213178697689</v>
      </c>
      <c r="G53">
        <f t="shared" si="3"/>
        <v>5.9383643301924849</v>
      </c>
    </row>
    <row r="54" spans="1:7" x14ac:dyDescent="0.35">
      <c r="A54" s="9">
        <v>45157</v>
      </c>
      <c r="B54">
        <v>668.53750000000002</v>
      </c>
      <c r="C54">
        <f t="shared" si="4"/>
        <v>700.77568618681096</v>
      </c>
      <c r="D54">
        <f t="shared" si="0"/>
        <v>-32.238186186810935</v>
      </c>
      <c r="E54">
        <f t="shared" si="1"/>
        <v>1039.3006486154875</v>
      </c>
      <c r="F54">
        <f t="shared" si="2"/>
        <v>32.238186186810935</v>
      </c>
      <c r="G54">
        <f t="shared" si="3"/>
        <v>4.822195641502673</v>
      </c>
    </row>
    <row r="55" spans="1:7" x14ac:dyDescent="0.35">
      <c r="A55" s="9">
        <v>45188</v>
      </c>
      <c r="B55">
        <v>673.30263157894728</v>
      </c>
      <c r="C55">
        <f t="shared" si="4"/>
        <v>710.81296081235701</v>
      </c>
      <c r="D55">
        <f t="shared" si="0"/>
        <v>-37.51032923340972</v>
      </c>
      <c r="E55">
        <f t="shared" si="1"/>
        <v>1407.0247991987919</v>
      </c>
      <c r="F55">
        <f t="shared" si="2"/>
        <v>37.51032923340972</v>
      </c>
      <c r="G55">
        <f t="shared" si="3"/>
        <v>5.5710949986108131</v>
      </c>
    </row>
    <row r="56" spans="1:7" x14ac:dyDescent="0.35">
      <c r="A56" s="9">
        <v>45218</v>
      </c>
      <c r="B56">
        <v>698.61750000000006</v>
      </c>
      <c r="C56">
        <f t="shared" si="4"/>
        <v>718.93789812166278</v>
      </c>
      <c r="D56">
        <f t="shared" si="0"/>
        <v>-20.32039812166272</v>
      </c>
      <c r="E56">
        <f t="shared" si="1"/>
        <v>412.91857982287377</v>
      </c>
      <c r="F56">
        <f t="shared" si="2"/>
        <v>20.32039812166272</v>
      </c>
      <c r="G56">
        <f t="shared" si="3"/>
        <v>2.9086586181512368</v>
      </c>
    </row>
    <row r="57" spans="1:7" x14ac:dyDescent="0.35">
      <c r="A57" s="9">
        <v>45249</v>
      </c>
      <c r="B57">
        <v>737.63499999999988</v>
      </c>
      <c r="C57">
        <f t="shared" si="4"/>
        <v>726.46711054129878</v>
      </c>
      <c r="D57">
        <f t="shared" si="0"/>
        <v>11.167889458701097</v>
      </c>
      <c r="E57">
        <f t="shared" si="1"/>
        <v>124.72175496176709</v>
      </c>
      <c r="F57">
        <f t="shared" si="2"/>
        <v>11.167889458701097</v>
      </c>
      <c r="G57">
        <f t="shared" si="3"/>
        <v>1.5140129547406374</v>
      </c>
    </row>
    <row r="58" spans="1:7" x14ac:dyDescent="0.35">
      <c r="A58" s="9">
        <v>45279</v>
      </c>
      <c r="B58">
        <v>738.50238095238092</v>
      </c>
      <c r="C58">
        <f t="shared" si="4"/>
        <v>730.69462621908019</v>
      </c>
      <c r="D58">
        <f t="shared" si="0"/>
        <v>7.807754733300726</v>
      </c>
      <c r="E58">
        <f t="shared" si="1"/>
        <v>60.961033975379891</v>
      </c>
      <c r="F58">
        <f t="shared" si="2"/>
        <v>7.807754733300726</v>
      </c>
      <c r="G58">
        <f t="shared" si="3"/>
        <v>1.0572416467001444</v>
      </c>
    </row>
    <row r="59" spans="1:7" x14ac:dyDescent="0.35">
      <c r="A59" s="9">
        <v>44946</v>
      </c>
      <c r="B59">
        <v>734.97608695652173</v>
      </c>
      <c r="C59">
        <f t="shared" si="4"/>
        <v>650.97060131987575</v>
      </c>
      <c r="D59">
        <f t="shared" si="0"/>
        <v>84.005485636645972</v>
      </c>
      <c r="E59">
        <f t="shared" si="1"/>
        <v>7056.9216170487325</v>
      </c>
      <c r="F59">
        <f t="shared" si="2"/>
        <v>84.005485636645972</v>
      </c>
      <c r="G59">
        <f t="shared" si="3"/>
        <v>11.429689635822859</v>
      </c>
    </row>
    <row r="60" spans="1:7" x14ac:dyDescent="0.35">
      <c r="A60" s="9">
        <v>44977</v>
      </c>
      <c r="B60">
        <v>732.16499999999985</v>
      </c>
      <c r="C60">
        <f t="shared" si="4"/>
        <v>564.68354718771559</v>
      </c>
      <c r="D60">
        <f t="shared" si="0"/>
        <v>167.48145281228426</v>
      </c>
      <c r="E60">
        <f t="shared" si="1"/>
        <v>28050.037036113401</v>
      </c>
      <c r="F60">
        <f t="shared" si="2"/>
        <v>167.48145281228426</v>
      </c>
      <c r="G60">
        <f t="shared" si="3"/>
        <v>22.874823682132348</v>
      </c>
    </row>
    <row r="61" spans="1:7" x14ac:dyDescent="0.35">
      <c r="A61" s="9">
        <v>45005</v>
      </c>
      <c r="B61">
        <v>497.98809523809524</v>
      </c>
      <c r="C61">
        <f t="shared" si="4"/>
        <v>483.71638363117938</v>
      </c>
      <c r="D61">
        <f t="shared" si="0"/>
        <v>14.271711606915858</v>
      </c>
      <c r="E61">
        <f t="shared" si="1"/>
        <v>203.68175219097682</v>
      </c>
      <c r="F61">
        <f t="shared" si="2"/>
        <v>14.271711606915858</v>
      </c>
      <c r="G61">
        <f t="shared" si="3"/>
        <v>2.8658740526904261</v>
      </c>
    </row>
    <row r="62" spans="1:7" x14ac:dyDescent="0.35">
      <c r="A62" s="9">
        <v>45036</v>
      </c>
      <c r="B62">
        <v>418.36388888888882</v>
      </c>
      <c r="C62">
        <f t="shared" si="4"/>
        <v>445.62072093483044</v>
      </c>
      <c r="D62">
        <f t="shared" si="0"/>
        <v>-27.256832045941621</v>
      </c>
      <c r="E62">
        <f t="shared" si="1"/>
        <v>742.93489318067009</v>
      </c>
      <c r="F62">
        <f t="shared" si="2"/>
        <v>27.256832045941621</v>
      </c>
      <c r="G62">
        <f t="shared" si="3"/>
        <v>6.5151015108717054</v>
      </c>
    </row>
    <row r="63" spans="1:7" x14ac:dyDescent="0.35">
      <c r="A63" s="9">
        <v>45066</v>
      </c>
      <c r="B63">
        <v>379.2157894736842</v>
      </c>
      <c r="C63">
        <f t="shared" si="4"/>
        <v>429.74240343241172</v>
      </c>
      <c r="D63">
        <f t="shared" si="0"/>
        <v>-50.526613958727523</v>
      </c>
      <c r="E63">
        <f t="shared" si="1"/>
        <v>2552.938718134279</v>
      </c>
      <c r="F63">
        <f t="shared" si="2"/>
        <v>50.526613958727523</v>
      </c>
      <c r="G63">
        <f t="shared" si="3"/>
        <v>13.323974201826802</v>
      </c>
    </row>
    <row r="64" spans="1:7" x14ac:dyDescent="0.35">
      <c r="A64" s="9">
        <v>45097</v>
      </c>
      <c r="B64">
        <v>411.59545454545446</v>
      </c>
      <c r="C64">
        <f t="shared" si="4"/>
        <v>430.47487404900585</v>
      </c>
      <c r="D64">
        <f t="shared" si="0"/>
        <v>-18.879419503551389</v>
      </c>
      <c r="E64">
        <f t="shared" si="1"/>
        <v>356.43248079107661</v>
      </c>
      <c r="F64">
        <f t="shared" si="2"/>
        <v>18.879419503551389</v>
      </c>
      <c r="G64">
        <f t="shared" si="3"/>
        <v>4.5868872688112852</v>
      </c>
    </row>
    <row r="65" spans="1:7" x14ac:dyDescent="0.35">
      <c r="A65" s="9">
        <v>45127</v>
      </c>
      <c r="B65">
        <v>438.60217391304343</v>
      </c>
      <c r="C65">
        <f t="shared" si="4"/>
        <v>434.29499110713203</v>
      </c>
      <c r="D65">
        <f t="shared" si="0"/>
        <v>4.3071828059113955</v>
      </c>
      <c r="E65">
        <f t="shared" si="1"/>
        <v>18.55182372353876</v>
      </c>
      <c r="F65">
        <f t="shared" si="2"/>
        <v>4.3071828059113955</v>
      </c>
      <c r="G65">
        <f t="shared" si="3"/>
        <v>0.98202495612010587</v>
      </c>
    </row>
    <row r="66" spans="1:7" x14ac:dyDescent="0.35">
      <c r="A66" s="9">
        <v>45158</v>
      </c>
      <c r="B66">
        <v>447.87619047619046</v>
      </c>
      <c r="C66">
        <f t="shared" si="4"/>
        <v>451.58444870823303</v>
      </c>
      <c r="D66">
        <f t="shared" si="0"/>
        <v>-3.7082582320425672</v>
      </c>
      <c r="E66">
        <f t="shared" si="1"/>
        <v>13.751179115511466</v>
      </c>
      <c r="F66">
        <f t="shared" si="2"/>
        <v>3.7082582320425672</v>
      </c>
      <c r="G66">
        <f t="shared" si="3"/>
        <v>0.82796502937561323</v>
      </c>
    </row>
    <row r="67" spans="1:7" x14ac:dyDescent="0.35">
      <c r="A67" s="9">
        <v>45189</v>
      </c>
      <c r="B67">
        <v>441.55909090909086</v>
      </c>
      <c r="C67">
        <f t="shared" si="4"/>
        <v>501.613462827028</v>
      </c>
      <c r="D67">
        <f t="shared" si="0"/>
        <v>-60.054371917937146</v>
      </c>
      <c r="E67">
        <f t="shared" si="1"/>
        <v>3606.5275864579176</v>
      </c>
      <c r="F67">
        <f t="shared" si="2"/>
        <v>60.054371917937146</v>
      </c>
      <c r="G67">
        <f t="shared" si="3"/>
        <v>13.600528933578513</v>
      </c>
    </row>
    <row r="68" spans="1:7" x14ac:dyDescent="0.35">
      <c r="A68" s="9">
        <v>45219</v>
      </c>
      <c r="B68">
        <v>478.31190476190483</v>
      </c>
      <c r="C68">
        <f t="shared" si="4"/>
        <v>545.40621776773946</v>
      </c>
      <c r="D68">
        <f t="shared" si="0"/>
        <v>-67.094313005834636</v>
      </c>
      <c r="E68">
        <f t="shared" si="1"/>
        <v>4501.6468377249112</v>
      </c>
      <c r="F68">
        <f t="shared" si="2"/>
        <v>67.094313005834636</v>
      </c>
      <c r="G68">
        <f t="shared" si="3"/>
        <v>14.027314047145239</v>
      </c>
    </row>
    <row r="69" spans="1:7" x14ac:dyDescent="0.35">
      <c r="A69" s="9">
        <v>45250</v>
      </c>
      <c r="B69">
        <v>587.86</v>
      </c>
      <c r="C69">
        <f t="shared" si="4"/>
        <v>594.29151569264081</v>
      </c>
      <c r="D69">
        <f t="shared" ref="D69:D83" si="5">B69-C69</f>
        <v>-6.4315156926408008</v>
      </c>
      <c r="E69">
        <f t="shared" ref="E69:E83" si="6">D69*D69</f>
        <v>41.364394104684877</v>
      </c>
      <c r="F69">
        <f t="shared" ref="F69:F83" si="7">ABS(D69)</f>
        <v>6.4315156926408008</v>
      </c>
      <c r="G69">
        <f t="shared" ref="G69:G83" si="8">(F69/B69)*100</f>
        <v>1.0940556752697581</v>
      </c>
    </row>
    <row r="70" spans="1:7" x14ac:dyDescent="0.35">
      <c r="A70" s="9">
        <v>45280</v>
      </c>
      <c r="B70">
        <v>611.62045454545466</v>
      </c>
      <c r="C70">
        <f t="shared" ref="C70:C83" si="9">B67*$O$4+B68*$O$5+B69*$O$6+B70*$O$7+B71*$O$8+B72*$O$9</f>
        <v>653.87433603896102</v>
      </c>
      <c r="D70">
        <f t="shared" si="5"/>
        <v>-42.253881493506356</v>
      </c>
      <c r="E70">
        <f t="shared" si="6"/>
        <v>1785.390501267279</v>
      </c>
      <c r="F70">
        <f t="shared" si="7"/>
        <v>42.253881493506356</v>
      </c>
      <c r="G70">
        <f t="shared" si="8"/>
        <v>6.9085134709741975</v>
      </c>
    </row>
    <row r="71" spans="1:7" x14ac:dyDescent="0.35">
      <c r="A71" s="9">
        <v>44947</v>
      </c>
      <c r="B71">
        <v>661.91250000000002</v>
      </c>
      <c r="C71">
        <f t="shared" si="9"/>
        <v>690.1597597402598</v>
      </c>
      <c r="D71">
        <f t="shared" si="5"/>
        <v>-28.247259740259778</v>
      </c>
      <c r="E71">
        <f t="shared" si="6"/>
        <v>797.90768283370096</v>
      </c>
      <c r="F71">
        <f t="shared" si="7"/>
        <v>28.247259740259778</v>
      </c>
      <c r="G71">
        <f t="shared" si="8"/>
        <v>4.2675217253428173</v>
      </c>
    </row>
    <row r="72" spans="1:7" x14ac:dyDescent="0.35">
      <c r="A72" s="9">
        <v>44978</v>
      </c>
      <c r="B72">
        <v>743.92499999999995</v>
      </c>
      <c r="C72">
        <f t="shared" si="9"/>
        <v>695.41492945431764</v>
      </c>
      <c r="D72">
        <f t="shared" si="5"/>
        <v>48.510070545682311</v>
      </c>
      <c r="E72">
        <f t="shared" si="6"/>
        <v>2353.2269443470746</v>
      </c>
      <c r="F72">
        <f t="shared" si="7"/>
        <v>48.510070545682311</v>
      </c>
      <c r="G72">
        <f t="shared" si="8"/>
        <v>6.5208281138128594</v>
      </c>
    </row>
    <row r="73" spans="1:7" x14ac:dyDescent="0.35">
      <c r="A73" s="9">
        <v>45006</v>
      </c>
      <c r="B73">
        <v>727.39047619047631</v>
      </c>
      <c r="C73">
        <f t="shared" si="9"/>
        <v>706.38174147015263</v>
      </c>
      <c r="D73">
        <f t="shared" si="5"/>
        <v>21.008734720323673</v>
      </c>
      <c r="E73">
        <f t="shared" si="6"/>
        <v>441.36693454893339</v>
      </c>
      <c r="F73">
        <f t="shared" si="7"/>
        <v>21.008734720323673</v>
      </c>
      <c r="G73">
        <f t="shared" si="8"/>
        <v>2.8882334053026937</v>
      </c>
    </row>
    <row r="74" spans="1:7" x14ac:dyDescent="0.35">
      <c r="A74" s="9">
        <v>45037</v>
      </c>
      <c r="B74">
        <v>680.06578947368416</v>
      </c>
      <c r="C74">
        <f t="shared" si="9"/>
        <v>721.33973392287533</v>
      </c>
      <c r="D74">
        <f t="shared" si="5"/>
        <v>-41.273944449191163</v>
      </c>
      <c r="E74">
        <f t="shared" si="6"/>
        <v>1703.538490394918</v>
      </c>
      <c r="F74">
        <f t="shared" si="7"/>
        <v>41.273944449191163</v>
      </c>
      <c r="G74">
        <f t="shared" si="8"/>
        <v>6.0691105313698914</v>
      </c>
    </row>
    <row r="75" spans="1:7" x14ac:dyDescent="0.35">
      <c r="A75" s="9">
        <v>45067</v>
      </c>
      <c r="B75">
        <v>718.745</v>
      </c>
      <c r="C75">
        <f t="shared" si="9"/>
        <v>733.69329269195714</v>
      </c>
      <c r="D75">
        <f t="shared" si="5"/>
        <v>-14.948292691957136</v>
      </c>
      <c r="E75">
        <f t="shared" si="6"/>
        <v>223.45145440441911</v>
      </c>
      <c r="F75">
        <f t="shared" si="7"/>
        <v>14.948292691957136</v>
      </c>
      <c r="G75">
        <f t="shared" si="8"/>
        <v>2.0797769295031112</v>
      </c>
    </row>
    <row r="76" spans="1:7" x14ac:dyDescent="0.35">
      <c r="A76" s="9">
        <v>45098</v>
      </c>
      <c r="B76">
        <v>744.45454545454538</v>
      </c>
      <c r="C76">
        <f t="shared" si="9"/>
        <v>740.96105758714964</v>
      </c>
      <c r="D76">
        <f t="shared" si="5"/>
        <v>3.4934878673957428</v>
      </c>
      <c r="E76">
        <f t="shared" si="6"/>
        <v>12.204457479641254</v>
      </c>
      <c r="F76">
        <f t="shared" si="7"/>
        <v>3.4934878673957428</v>
      </c>
      <c r="G76">
        <f t="shared" si="8"/>
        <v>0.46926812237578669</v>
      </c>
    </row>
    <row r="77" spans="1:7" x14ac:dyDescent="0.35">
      <c r="A77" s="9">
        <v>45128</v>
      </c>
      <c r="B77">
        <v>750.4904761904761</v>
      </c>
      <c r="C77">
        <f t="shared" si="9"/>
        <v>761.61202190134429</v>
      </c>
      <c r="D77">
        <f t="shared" si="5"/>
        <v>-11.12154571086819</v>
      </c>
      <c r="E77">
        <f t="shared" si="6"/>
        <v>123.68877899893064</v>
      </c>
      <c r="F77">
        <f t="shared" si="7"/>
        <v>11.12154571086819</v>
      </c>
      <c r="G77">
        <f t="shared" si="8"/>
        <v>1.4819036435107962</v>
      </c>
    </row>
    <row r="78" spans="1:7" x14ac:dyDescent="0.35">
      <c r="A78" s="9">
        <v>45159</v>
      </c>
      <c r="B78">
        <v>752.52380952380952</v>
      </c>
      <c r="C78">
        <f t="shared" si="9"/>
        <v>775.63588257575748</v>
      </c>
      <c r="D78">
        <f t="shared" si="5"/>
        <v>-23.112073051947959</v>
      </c>
      <c r="E78">
        <f t="shared" si="6"/>
        <v>534.16792075857904</v>
      </c>
      <c r="F78">
        <f t="shared" si="7"/>
        <v>23.112073051947959</v>
      </c>
      <c r="G78">
        <f t="shared" si="8"/>
        <v>3.0712746572860037</v>
      </c>
    </row>
    <row r="79" spans="1:7" x14ac:dyDescent="0.35">
      <c r="A79" s="9">
        <v>45190</v>
      </c>
      <c r="B79">
        <v>794.37142857142851</v>
      </c>
      <c r="C79">
        <f t="shared" si="9"/>
        <v>757.88481601731587</v>
      </c>
      <c r="D79">
        <f t="shared" si="5"/>
        <v>36.486612554112639</v>
      </c>
      <c r="E79">
        <f t="shared" si="6"/>
        <v>1331.27289567393</v>
      </c>
      <c r="F79">
        <f t="shared" si="7"/>
        <v>36.486612554112639</v>
      </c>
      <c r="G79">
        <f t="shared" si="8"/>
        <v>4.5931426083298295</v>
      </c>
    </row>
    <row r="80" spans="1:7" x14ac:dyDescent="0.35">
      <c r="A80" s="9">
        <v>45220</v>
      </c>
      <c r="B80">
        <v>793.39</v>
      </c>
      <c r="C80">
        <f t="shared" si="9"/>
        <v>731.24636438923403</v>
      </c>
      <c r="D80">
        <f t="shared" si="5"/>
        <v>62.143635610765955</v>
      </c>
      <c r="E80">
        <f t="shared" si="6"/>
        <v>3861.8314469236584</v>
      </c>
      <c r="F80">
        <f t="shared" si="7"/>
        <v>62.143635610765955</v>
      </c>
      <c r="G80">
        <f t="shared" si="8"/>
        <v>7.8326719029438179</v>
      </c>
    </row>
    <row r="81" spans="1:7" x14ac:dyDescent="0.35">
      <c r="A81" s="9">
        <v>45251</v>
      </c>
      <c r="B81">
        <v>715.75</v>
      </c>
      <c r="C81">
        <f t="shared" si="9"/>
        <v>728.24102303312634</v>
      </c>
      <c r="D81">
        <f t="shared" si="5"/>
        <v>-12.491023033126339</v>
      </c>
      <c r="E81">
        <f t="shared" si="6"/>
        <v>156.02565641409274</v>
      </c>
      <c r="F81">
        <f t="shared" si="7"/>
        <v>12.491023033126339</v>
      </c>
      <c r="G81">
        <f t="shared" si="8"/>
        <v>1.7451656350857616</v>
      </c>
    </row>
    <row r="82" spans="1:7" x14ac:dyDescent="0.35">
      <c r="A82" s="9">
        <v>45281</v>
      </c>
      <c r="B82">
        <v>682.83478260869572</v>
      </c>
      <c r="C82">
        <f t="shared" si="9"/>
        <v>745.63461723602484</v>
      </c>
      <c r="D82">
        <f t="shared" si="5"/>
        <v>-62.799834627329119</v>
      </c>
      <c r="E82">
        <f t="shared" si="6"/>
        <v>3943.8192292198855</v>
      </c>
      <c r="F82">
        <f t="shared" si="7"/>
        <v>62.799834627329119</v>
      </c>
      <c r="G82">
        <f t="shared" si="8"/>
        <v>9.1969296566014425</v>
      </c>
    </row>
    <row r="83" spans="1:7" x14ac:dyDescent="0.35">
      <c r="A83" s="9">
        <v>44948</v>
      </c>
      <c r="B83">
        <v>733.29250000000002</v>
      </c>
      <c r="C83">
        <f t="shared" si="9"/>
        <v>735.41710326086957</v>
      </c>
      <c r="D83">
        <f t="shared" si="5"/>
        <v>-2.1246032608695486</v>
      </c>
      <c r="E83">
        <f t="shared" si="6"/>
        <v>4.5139390160975195</v>
      </c>
      <c r="F83">
        <f t="shared" si="7"/>
        <v>2.1246032608695486</v>
      </c>
      <c r="G83">
        <f t="shared" si="8"/>
        <v>0.28973475944040733</v>
      </c>
    </row>
    <row r="84" spans="1:7" x14ac:dyDescent="0.35">
      <c r="A84" s="9">
        <v>44979</v>
      </c>
      <c r="B84">
        <v>785.16</v>
      </c>
    </row>
    <row r="85" spans="1:7" x14ac:dyDescent="0.35">
      <c r="A85" s="9">
        <v>45007</v>
      </c>
      <c r="B85">
        <v>716.19749999999999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2238-7FCD-4061-9F7D-07172ECDFEA3}">
  <dimension ref="A1:M85"/>
  <sheetViews>
    <sheetView workbookViewId="0">
      <selection activeCell="P6" sqref="P6"/>
    </sheetView>
  </sheetViews>
  <sheetFormatPr defaultRowHeight="14.5" x14ac:dyDescent="0.35"/>
  <cols>
    <col min="1" max="1" width="12.1796875" customWidth="1"/>
    <col min="12" max="12" width="16.36328125" customWidth="1"/>
  </cols>
  <sheetData>
    <row r="1" spans="1:13" x14ac:dyDescent="0.35">
      <c r="A1" t="s">
        <v>28</v>
      </c>
      <c r="B1" t="s">
        <v>29</v>
      </c>
      <c r="C1" t="s">
        <v>40</v>
      </c>
      <c r="D1" t="s">
        <v>41</v>
      </c>
      <c r="E1" t="s">
        <v>42</v>
      </c>
      <c r="F1" t="s">
        <v>30</v>
      </c>
      <c r="G1" t="s">
        <v>31</v>
      </c>
      <c r="H1" t="s">
        <v>33</v>
      </c>
      <c r="I1" t="s">
        <v>32</v>
      </c>
    </row>
    <row r="2" spans="1:13" x14ac:dyDescent="0.35">
      <c r="A2" s="9">
        <v>45031</v>
      </c>
      <c r="B2" s="8">
        <v>548.38421052631577</v>
      </c>
      <c r="C2">
        <v>-41.5</v>
      </c>
      <c r="D2">
        <f>C2*C2</f>
        <v>1722.25</v>
      </c>
      <c r="E2">
        <f>C2*B2</f>
        <v>-22757.944736842106</v>
      </c>
      <c r="F2">
        <f>M$3+$M$4*C2</f>
        <v>467.44277346837555</v>
      </c>
      <c r="G2">
        <f>B2-F2</f>
        <v>80.94143705794022</v>
      </c>
      <c r="H2">
        <f>G2*G2</f>
        <v>6551.5162330044986</v>
      </c>
      <c r="I2">
        <f>ABS(G2)/B2*100</f>
        <v>14.759986794706595</v>
      </c>
      <c r="L2" t="s">
        <v>43</v>
      </c>
    </row>
    <row r="3" spans="1:13" x14ac:dyDescent="0.35">
      <c r="A3" s="9">
        <v>45061</v>
      </c>
      <c r="B3" s="8">
        <v>559.79999999999995</v>
      </c>
      <c r="C3">
        <v>-40.5</v>
      </c>
      <c r="D3">
        <f>C3*C3</f>
        <v>1640.25</v>
      </c>
      <c r="E3">
        <f>C3*B3</f>
        <v>-22671.899999999998</v>
      </c>
      <c r="F3">
        <f>$M$3+$M$4*C3</f>
        <v>470.33752219924281</v>
      </c>
      <c r="G3">
        <f>B3-F3</f>
        <v>89.462477800757142</v>
      </c>
      <c r="H3">
        <f>G3*G3</f>
        <v>8003.5349342509644</v>
      </c>
      <c r="I3">
        <f>ABS(G3)/B3*100</f>
        <v>15.981150017998777</v>
      </c>
      <c r="L3" t="s">
        <v>44</v>
      </c>
      <c r="M3">
        <f>SUM(B:B)/84</f>
        <v>587.57484579936738</v>
      </c>
    </row>
    <row r="4" spans="1:13" x14ac:dyDescent="0.35">
      <c r="A4" s="9">
        <v>45092</v>
      </c>
      <c r="B4" s="8">
        <v>558.47499999999991</v>
      </c>
      <c r="C4">
        <v>-39.5</v>
      </c>
      <c r="D4">
        <f t="shared" ref="D4:D67" si="0">C4*C4</f>
        <v>1560.25</v>
      </c>
      <c r="E4">
        <f t="shared" ref="E4:E67" si="1">C4*B4</f>
        <v>-22059.762499999997</v>
      </c>
      <c r="F4">
        <f t="shared" ref="F4" si="2">M$3+$M$4*C4</f>
        <v>473.23227093011008</v>
      </c>
      <c r="G4">
        <f t="shared" ref="G4:G67" si="3">B4-F4</f>
        <v>85.242729069889833</v>
      </c>
      <c r="H4">
        <f t="shared" ref="H4:H67" si="4">G4*G4</f>
        <v>7266.3228592826408</v>
      </c>
      <c r="I4">
        <f t="shared" ref="I4:I67" si="5">ABS(G4)/B4*100</f>
        <v>15.263481636579945</v>
      </c>
      <c r="L4" t="s">
        <v>45</v>
      </c>
      <c r="M4">
        <f>SUM(E:E)/SUM(D:D)</f>
        <v>2.8947487308672728</v>
      </c>
    </row>
    <row r="5" spans="1:13" x14ac:dyDescent="0.35">
      <c r="A5" s="9">
        <v>45122</v>
      </c>
      <c r="B5" s="8">
        <v>581.22173913043491</v>
      </c>
      <c r="C5">
        <v>-38.5</v>
      </c>
      <c r="D5">
        <f t="shared" si="0"/>
        <v>1482.25</v>
      </c>
      <c r="E5">
        <f t="shared" si="1"/>
        <v>-22377.036956521744</v>
      </c>
      <c r="F5">
        <f t="shared" ref="F5" si="6">$M$3+$M$4*C5</f>
        <v>476.1270196609774</v>
      </c>
      <c r="G5">
        <f t="shared" si="3"/>
        <v>105.09471946945752</v>
      </c>
      <c r="H5">
        <f t="shared" si="4"/>
        <v>11044.900060363972</v>
      </c>
      <c r="I5">
        <f t="shared" si="5"/>
        <v>18.081691098940929</v>
      </c>
    </row>
    <row r="6" spans="1:13" x14ac:dyDescent="0.35">
      <c r="A6" s="9">
        <v>45153</v>
      </c>
      <c r="B6" s="8">
        <v>546.95238095238096</v>
      </c>
      <c r="C6">
        <v>-37.5</v>
      </c>
      <c r="D6">
        <f t="shared" si="0"/>
        <v>1406.25</v>
      </c>
      <c r="E6">
        <f t="shared" si="1"/>
        <v>-20510.714285714286</v>
      </c>
      <c r="F6">
        <f t="shared" ref="F6" si="7">M$3+$M$4*C6</f>
        <v>479.02176839184466</v>
      </c>
      <c r="G6">
        <f t="shared" si="3"/>
        <v>67.930612560536304</v>
      </c>
      <c r="H6">
        <f t="shared" si="4"/>
        <v>4614.5681228496924</v>
      </c>
      <c r="I6">
        <f t="shared" si="5"/>
        <v>12.419840360188598</v>
      </c>
      <c r="L6" t="s">
        <v>38</v>
      </c>
      <c r="M6">
        <f>SUM(H:H)/84</f>
        <v>8683.7037748663624</v>
      </c>
    </row>
    <row r="7" spans="1:13" x14ac:dyDescent="0.35">
      <c r="A7" s="9">
        <v>45184</v>
      </c>
      <c r="B7" s="8">
        <v>491.81499999999994</v>
      </c>
      <c r="C7">
        <v>-36.5</v>
      </c>
      <c r="D7">
        <f t="shared" si="0"/>
        <v>1332.25</v>
      </c>
      <c r="E7">
        <f t="shared" si="1"/>
        <v>-17951.247499999998</v>
      </c>
      <c r="F7">
        <f t="shared" ref="F7" si="8">$M$3+$M$4*C7</f>
        <v>481.91651712271192</v>
      </c>
      <c r="G7">
        <f t="shared" si="3"/>
        <v>9.8984828772880178</v>
      </c>
      <c r="H7">
        <f t="shared" si="4"/>
        <v>97.979963271964081</v>
      </c>
      <c r="I7">
        <f t="shared" si="5"/>
        <v>2.0126435503772799</v>
      </c>
      <c r="L7" t="s">
        <v>37</v>
      </c>
      <c r="M7">
        <f>SQRT(M6)</f>
        <v>93.186392648639227</v>
      </c>
    </row>
    <row r="8" spans="1:13" x14ac:dyDescent="0.35">
      <c r="A8" s="9">
        <v>45214</v>
      </c>
      <c r="B8" s="8">
        <v>499.74999999999989</v>
      </c>
      <c r="C8">
        <v>-35.5</v>
      </c>
      <c r="D8">
        <f t="shared" si="0"/>
        <v>1260.25</v>
      </c>
      <c r="E8">
        <f t="shared" si="1"/>
        <v>-17741.124999999996</v>
      </c>
      <c r="F8">
        <f t="shared" ref="F8" si="9">M$3+$M$4*C8</f>
        <v>484.81126585357919</v>
      </c>
      <c r="G8">
        <f t="shared" si="3"/>
        <v>14.9387341464207</v>
      </c>
      <c r="H8">
        <f t="shared" si="4"/>
        <v>223.16577789743579</v>
      </c>
      <c r="I8">
        <f t="shared" si="5"/>
        <v>2.9892414500091453</v>
      </c>
      <c r="L8" t="s">
        <v>39</v>
      </c>
      <c r="M8">
        <f>SUM(I:I)/84</f>
        <v>13.200417108956767</v>
      </c>
    </row>
    <row r="9" spans="1:13" x14ac:dyDescent="0.35">
      <c r="A9" s="9">
        <v>45245</v>
      </c>
      <c r="B9" s="8">
        <v>469.91842105263163</v>
      </c>
      <c r="C9">
        <v>-34.5</v>
      </c>
      <c r="D9">
        <f t="shared" si="0"/>
        <v>1190.25</v>
      </c>
      <c r="E9">
        <f t="shared" si="1"/>
        <v>-16212.18552631579</v>
      </c>
      <c r="F9">
        <f t="shared" ref="F9" si="10">$M$3+$M$4*C9</f>
        <v>487.70601458444645</v>
      </c>
      <c r="G9">
        <f t="shared" si="3"/>
        <v>-17.787593531814821</v>
      </c>
      <c r="H9">
        <f t="shared" si="4"/>
        <v>316.39848365306045</v>
      </c>
      <c r="I9">
        <f t="shared" si="5"/>
        <v>3.785251382989002</v>
      </c>
      <c r="L9" s="8" t="s">
        <v>35</v>
      </c>
      <c r="M9" s="8">
        <f>100-M8</f>
        <v>86.799582891043229</v>
      </c>
    </row>
    <row r="10" spans="1:13" x14ac:dyDescent="0.35">
      <c r="A10" s="9">
        <v>45275</v>
      </c>
      <c r="B10" s="8">
        <v>449.53636363636366</v>
      </c>
      <c r="C10">
        <v>-33.5</v>
      </c>
      <c r="D10">
        <f t="shared" si="0"/>
        <v>1122.25</v>
      </c>
      <c r="E10">
        <f t="shared" si="1"/>
        <v>-15059.468181818183</v>
      </c>
      <c r="F10">
        <f t="shared" ref="F10" si="11">M$3+$M$4*C10</f>
        <v>490.60076331531377</v>
      </c>
      <c r="G10">
        <f t="shared" si="3"/>
        <v>-41.06439967895011</v>
      </c>
      <c r="H10">
        <f t="shared" si="4"/>
        <v>1686.284920992558</v>
      </c>
      <c r="I10">
        <f t="shared" si="5"/>
        <v>9.1348337978210115</v>
      </c>
    </row>
    <row r="11" spans="1:13" x14ac:dyDescent="0.35">
      <c r="A11" s="9">
        <v>44942</v>
      </c>
      <c r="B11" s="8">
        <v>410.53249999999991</v>
      </c>
      <c r="C11">
        <v>-32.5</v>
      </c>
      <c r="D11">
        <f t="shared" si="0"/>
        <v>1056.25</v>
      </c>
      <c r="E11">
        <f t="shared" si="1"/>
        <v>-13342.306249999998</v>
      </c>
      <c r="F11">
        <f t="shared" ref="F11" si="12">$M$3+$M$4*C11</f>
        <v>493.49551204618103</v>
      </c>
      <c r="G11">
        <f t="shared" si="3"/>
        <v>-82.96301204618112</v>
      </c>
      <c r="H11">
        <f t="shared" si="4"/>
        <v>6882.8613677747935</v>
      </c>
      <c r="I11">
        <f t="shared" si="5"/>
        <v>20.208634406820689</v>
      </c>
    </row>
    <row r="12" spans="1:13" x14ac:dyDescent="0.35">
      <c r="A12" s="9">
        <v>44973</v>
      </c>
      <c r="B12" s="8">
        <v>392.84523809523807</v>
      </c>
      <c r="C12">
        <v>-31.5</v>
      </c>
      <c r="D12">
        <f t="shared" si="0"/>
        <v>992.25</v>
      </c>
      <c r="E12">
        <f t="shared" si="1"/>
        <v>-12374.625</v>
      </c>
      <c r="F12">
        <f t="shared" ref="F12" si="13">M$3+$M$4*C12</f>
        <v>496.3902607770483</v>
      </c>
      <c r="G12">
        <f t="shared" si="3"/>
        <v>-103.54502268181022</v>
      </c>
      <c r="H12">
        <f t="shared" si="4"/>
        <v>10721.571722176594</v>
      </c>
      <c r="I12">
        <f t="shared" si="5"/>
        <v>26.35771358305421</v>
      </c>
    </row>
    <row r="13" spans="1:13" x14ac:dyDescent="0.35">
      <c r="A13" s="9">
        <v>45001</v>
      </c>
      <c r="B13" s="8">
        <v>423.7</v>
      </c>
      <c r="C13">
        <v>-30.5</v>
      </c>
      <c r="D13">
        <f t="shared" si="0"/>
        <v>930.25</v>
      </c>
      <c r="E13">
        <f t="shared" si="1"/>
        <v>-12922.85</v>
      </c>
      <c r="F13">
        <f t="shared" ref="F13" si="14">$M$3+$M$4*C13</f>
        <v>499.28500950791556</v>
      </c>
      <c r="G13">
        <f t="shared" si="3"/>
        <v>-75.585009507915572</v>
      </c>
      <c r="H13">
        <f t="shared" si="4"/>
        <v>5713.0936623116877</v>
      </c>
      <c r="I13">
        <f t="shared" si="5"/>
        <v>17.839275314589468</v>
      </c>
    </row>
    <row r="14" spans="1:13" x14ac:dyDescent="0.35">
      <c r="A14" s="9">
        <v>45032</v>
      </c>
      <c r="B14" s="8">
        <v>450.48333333333335</v>
      </c>
      <c r="C14">
        <v>-29.5</v>
      </c>
      <c r="D14">
        <f t="shared" si="0"/>
        <v>870.25</v>
      </c>
      <c r="E14">
        <f t="shared" si="1"/>
        <v>-13289.258333333333</v>
      </c>
      <c r="F14">
        <f t="shared" ref="F14" si="15">M$3+$M$4*C14</f>
        <v>502.17975823878282</v>
      </c>
      <c r="G14">
        <f t="shared" si="3"/>
        <v>-51.696424905449476</v>
      </c>
      <c r="H14">
        <f t="shared" si="4"/>
        <v>2672.5203480047767</v>
      </c>
      <c r="I14">
        <f t="shared" si="5"/>
        <v>11.475768597902135</v>
      </c>
    </row>
    <row r="15" spans="1:13" x14ac:dyDescent="0.35">
      <c r="A15" s="9">
        <v>45062</v>
      </c>
      <c r="B15" s="8">
        <v>490.16590909090917</v>
      </c>
      <c r="C15">
        <v>-28.5</v>
      </c>
      <c r="D15">
        <f t="shared" si="0"/>
        <v>812.25</v>
      </c>
      <c r="E15">
        <f t="shared" si="1"/>
        <v>-13969.728409090911</v>
      </c>
      <c r="F15">
        <f t="shared" ref="F15" si="16">$M$3+$M$4*C15</f>
        <v>505.07450696965009</v>
      </c>
      <c r="G15">
        <f t="shared" si="3"/>
        <v>-14.90859787874092</v>
      </c>
      <c r="H15">
        <f t="shared" si="4"/>
        <v>222.26629070999826</v>
      </c>
      <c r="I15">
        <f t="shared" si="5"/>
        <v>3.0415411602963767</v>
      </c>
    </row>
    <row r="16" spans="1:13" x14ac:dyDescent="0.35">
      <c r="A16" s="9">
        <v>45093</v>
      </c>
      <c r="B16" s="8">
        <v>526.43409090909086</v>
      </c>
      <c r="C16">
        <v>-27.5</v>
      </c>
      <c r="D16">
        <f t="shared" si="0"/>
        <v>756.25</v>
      </c>
      <c r="E16">
        <f t="shared" si="1"/>
        <v>-14476.937499999998</v>
      </c>
      <c r="F16">
        <f t="shared" ref="F16" si="17">M$3+$M$4*C16</f>
        <v>507.96925570051735</v>
      </c>
      <c r="G16">
        <f t="shared" si="3"/>
        <v>18.464835208573504</v>
      </c>
      <c r="H16">
        <f t="shared" si="4"/>
        <v>340.95013927977573</v>
      </c>
      <c r="I16">
        <f t="shared" si="5"/>
        <v>3.5075302924791338</v>
      </c>
    </row>
    <row r="17" spans="1:9" x14ac:dyDescent="0.35">
      <c r="A17" s="9">
        <v>45123</v>
      </c>
      <c r="B17" s="8">
        <v>550.19499999999994</v>
      </c>
      <c r="C17">
        <v>-26.5</v>
      </c>
      <c r="D17">
        <f t="shared" si="0"/>
        <v>702.25</v>
      </c>
      <c r="E17">
        <f t="shared" si="1"/>
        <v>-14580.167499999998</v>
      </c>
      <c r="F17">
        <f t="shared" ref="F17" si="18">$M$3+$M$4*C17</f>
        <v>510.86400443138467</v>
      </c>
      <c r="G17">
        <f t="shared" si="3"/>
        <v>39.330995568615265</v>
      </c>
      <c r="H17">
        <f t="shared" si="4"/>
        <v>1546.9272124184336</v>
      </c>
      <c r="I17">
        <f t="shared" si="5"/>
        <v>7.1485556154845584</v>
      </c>
    </row>
    <row r="18" spans="1:9" x14ac:dyDescent="0.35">
      <c r="A18" s="9">
        <v>45154</v>
      </c>
      <c r="B18" s="8">
        <v>576.77045454545453</v>
      </c>
      <c r="C18">
        <v>-25.5</v>
      </c>
      <c r="D18">
        <f t="shared" si="0"/>
        <v>650.25</v>
      </c>
      <c r="E18">
        <f t="shared" si="1"/>
        <v>-14707.646590909091</v>
      </c>
      <c r="F18">
        <f t="shared" ref="F18" si="19">M$3+$M$4*C18</f>
        <v>513.75875316225188</v>
      </c>
      <c r="G18">
        <f t="shared" si="3"/>
        <v>63.011701383202649</v>
      </c>
      <c r="H18">
        <f t="shared" si="4"/>
        <v>3970.4745112059027</v>
      </c>
      <c r="I18">
        <f t="shared" si="5"/>
        <v>10.924918377253109</v>
      </c>
    </row>
    <row r="19" spans="1:9" x14ac:dyDescent="0.35">
      <c r="A19" s="9">
        <v>45185</v>
      </c>
      <c r="B19" s="8">
        <v>586.88750000000005</v>
      </c>
      <c r="C19">
        <v>-24.5</v>
      </c>
      <c r="D19">
        <f t="shared" si="0"/>
        <v>600.25</v>
      </c>
      <c r="E19">
        <f t="shared" si="1"/>
        <v>-14378.743750000001</v>
      </c>
      <c r="F19">
        <f t="shared" ref="F19" si="20">$M$3+$M$4*C19</f>
        <v>516.65350189311926</v>
      </c>
      <c r="G19">
        <f t="shared" si="3"/>
        <v>70.23399810688079</v>
      </c>
      <c r="H19">
        <f t="shared" si="4"/>
        <v>4932.8144900773341</v>
      </c>
      <c r="I19">
        <f t="shared" si="5"/>
        <v>11.96719952407928</v>
      </c>
    </row>
    <row r="20" spans="1:9" x14ac:dyDescent="0.35">
      <c r="A20" s="9">
        <v>45215</v>
      </c>
      <c r="B20" s="8">
        <v>522.12894736842111</v>
      </c>
      <c r="C20">
        <v>-23.5</v>
      </c>
      <c r="D20">
        <f t="shared" si="0"/>
        <v>552.25</v>
      </c>
      <c r="E20">
        <f t="shared" si="1"/>
        <v>-12270.030263157896</v>
      </c>
      <c r="F20">
        <f t="shared" ref="F20" si="21">M$3+$M$4*C20</f>
        <v>519.54825062398652</v>
      </c>
      <c r="G20">
        <f t="shared" si="3"/>
        <v>2.5806967444345901</v>
      </c>
      <c r="H20">
        <f t="shared" si="4"/>
        <v>6.6599956867352921</v>
      </c>
      <c r="I20">
        <f t="shared" si="5"/>
        <v>0.49426425357979931</v>
      </c>
    </row>
    <row r="21" spans="1:9" x14ac:dyDescent="0.35">
      <c r="A21" s="9">
        <v>45246</v>
      </c>
      <c r="B21" s="8">
        <v>478.0928571428571</v>
      </c>
      <c r="C21">
        <v>-22.5</v>
      </c>
      <c r="D21">
        <f t="shared" si="0"/>
        <v>506.25</v>
      </c>
      <c r="E21">
        <f t="shared" si="1"/>
        <v>-10757.089285714284</v>
      </c>
      <c r="F21">
        <f t="shared" ref="F21" si="22">$M$3+$M$4*C21</f>
        <v>522.44299935485378</v>
      </c>
      <c r="G21">
        <f t="shared" si="3"/>
        <v>-44.350142211996683</v>
      </c>
      <c r="H21">
        <f t="shared" si="4"/>
        <v>1966.9351142243302</v>
      </c>
      <c r="I21">
        <f t="shared" si="5"/>
        <v>9.2764703654094927</v>
      </c>
    </row>
    <row r="22" spans="1:9" x14ac:dyDescent="0.35">
      <c r="A22" s="9">
        <v>45276</v>
      </c>
      <c r="B22" s="8">
        <v>454.00909090909096</v>
      </c>
      <c r="C22">
        <v>-21.5</v>
      </c>
      <c r="D22">
        <f t="shared" si="0"/>
        <v>462.25</v>
      </c>
      <c r="E22">
        <f t="shared" si="1"/>
        <v>-9761.1954545454555</v>
      </c>
      <c r="F22">
        <f t="shared" ref="F22" si="23">M$3+$M$4*C22</f>
        <v>525.33774808572105</v>
      </c>
      <c r="G22">
        <f t="shared" si="3"/>
        <v>-71.328657176630088</v>
      </c>
      <c r="H22">
        <f t="shared" si="4"/>
        <v>5087.7773346212234</v>
      </c>
      <c r="I22">
        <f t="shared" si="5"/>
        <v>15.710843374039985</v>
      </c>
    </row>
    <row r="23" spans="1:9" x14ac:dyDescent="0.35">
      <c r="A23" s="9">
        <v>44943</v>
      </c>
      <c r="B23" s="8">
        <v>462.33809523809515</v>
      </c>
      <c r="C23">
        <v>-20.5</v>
      </c>
      <c r="D23">
        <f t="shared" si="0"/>
        <v>420.25</v>
      </c>
      <c r="E23">
        <f t="shared" si="1"/>
        <v>-9477.9309523809497</v>
      </c>
      <c r="F23">
        <f t="shared" ref="F23" si="24">$M$3+$M$4*C23</f>
        <v>528.23249681658831</v>
      </c>
      <c r="G23">
        <f t="shared" si="3"/>
        <v>-65.894401578493159</v>
      </c>
      <c r="H23">
        <f t="shared" si="4"/>
        <v>4342.0721593877215</v>
      </c>
      <c r="I23">
        <f t="shared" si="5"/>
        <v>14.252427445884342</v>
      </c>
    </row>
    <row r="24" spans="1:9" x14ac:dyDescent="0.35">
      <c r="A24" s="9">
        <v>44974</v>
      </c>
      <c r="B24" s="8">
        <v>494.97105263157897</v>
      </c>
      <c r="C24">
        <v>-19.5</v>
      </c>
      <c r="D24">
        <f t="shared" si="0"/>
        <v>380.25</v>
      </c>
      <c r="E24">
        <f t="shared" si="1"/>
        <v>-9651.9355263157904</v>
      </c>
      <c r="F24">
        <f t="shared" ref="F24" si="25">M$3+$M$4*C24</f>
        <v>531.12724554745557</v>
      </c>
      <c r="G24">
        <f t="shared" si="3"/>
        <v>-36.156192915876602</v>
      </c>
      <c r="H24">
        <f t="shared" si="4"/>
        <v>1307.2702861700855</v>
      </c>
      <c r="I24">
        <f t="shared" si="5"/>
        <v>7.3047085730867352</v>
      </c>
    </row>
    <row r="25" spans="1:9" x14ac:dyDescent="0.35">
      <c r="A25" s="9">
        <v>45002</v>
      </c>
      <c r="B25" s="8">
        <v>504.42272727272717</v>
      </c>
      <c r="C25">
        <v>-18.5</v>
      </c>
      <c r="D25">
        <f t="shared" si="0"/>
        <v>342.25</v>
      </c>
      <c r="E25">
        <f t="shared" si="1"/>
        <v>-9331.8204545454519</v>
      </c>
      <c r="F25">
        <f t="shared" ref="F25" si="26">$M$3+$M$4*C25</f>
        <v>534.02199427832284</v>
      </c>
      <c r="G25">
        <f t="shared" si="3"/>
        <v>-29.599267005595664</v>
      </c>
      <c r="H25">
        <f t="shared" si="4"/>
        <v>876.11660726854404</v>
      </c>
      <c r="I25">
        <f t="shared" si="5"/>
        <v>5.8679487273760707</v>
      </c>
    </row>
    <row r="26" spans="1:9" x14ac:dyDescent="0.35">
      <c r="A26" s="9">
        <v>45033</v>
      </c>
      <c r="B26" s="8">
        <v>504.74166666666656</v>
      </c>
      <c r="C26">
        <v>-17.5</v>
      </c>
      <c r="D26">
        <f t="shared" si="0"/>
        <v>306.25</v>
      </c>
      <c r="E26">
        <f t="shared" si="1"/>
        <v>-8832.9791666666642</v>
      </c>
      <c r="F26">
        <f t="shared" ref="F26" si="27">M$3+$M$4*C26</f>
        <v>536.9167430091901</v>
      </c>
      <c r="G26">
        <f t="shared" si="3"/>
        <v>-32.175076342523539</v>
      </c>
      <c r="H26">
        <f t="shared" si="4"/>
        <v>1035.2355376472178</v>
      </c>
      <c r="I26">
        <f t="shared" si="5"/>
        <v>6.3745631611927314</v>
      </c>
    </row>
    <row r="27" spans="1:9" x14ac:dyDescent="0.35">
      <c r="A27" s="9">
        <v>45063</v>
      </c>
      <c r="B27" s="8">
        <v>507.28636363636366</v>
      </c>
      <c r="C27">
        <v>-16.5</v>
      </c>
      <c r="D27">
        <f t="shared" si="0"/>
        <v>272.25</v>
      </c>
      <c r="E27">
        <f t="shared" si="1"/>
        <v>-8370.2250000000004</v>
      </c>
      <c r="F27">
        <f t="shared" ref="F27" si="28">$M$3+$M$4*C27</f>
        <v>539.81149174005736</v>
      </c>
      <c r="G27">
        <f t="shared" si="3"/>
        <v>-32.525128103693703</v>
      </c>
      <c r="H27">
        <f t="shared" si="4"/>
        <v>1057.883958161686</v>
      </c>
      <c r="I27">
        <f t="shared" si="5"/>
        <v>6.4115912500673051</v>
      </c>
    </row>
    <row r="28" spans="1:9" x14ac:dyDescent="0.35">
      <c r="A28" s="9">
        <v>45094</v>
      </c>
      <c r="B28" s="8">
        <v>509.19047619047626</v>
      </c>
      <c r="C28">
        <v>-15.5</v>
      </c>
      <c r="D28">
        <f t="shared" si="0"/>
        <v>240.25</v>
      </c>
      <c r="E28">
        <f t="shared" si="1"/>
        <v>-7892.4523809523816</v>
      </c>
      <c r="F28">
        <f t="shared" ref="F28" si="29">M$3+$M$4*C28</f>
        <v>542.70624047092463</v>
      </c>
      <c r="G28">
        <f t="shared" si="3"/>
        <v>-33.515764280448366</v>
      </c>
      <c r="H28">
        <f t="shared" si="4"/>
        <v>1123.3064553025786</v>
      </c>
      <c r="I28">
        <f t="shared" si="5"/>
        <v>6.5821663694885952</v>
      </c>
    </row>
    <row r="29" spans="1:9" x14ac:dyDescent="0.35">
      <c r="A29" s="9">
        <v>45124</v>
      </c>
      <c r="B29" s="8">
        <v>518.89285714285711</v>
      </c>
      <c r="C29">
        <v>-14.5</v>
      </c>
      <c r="D29">
        <f t="shared" si="0"/>
        <v>210.25</v>
      </c>
      <c r="E29">
        <f t="shared" si="1"/>
        <v>-7523.9464285714284</v>
      </c>
      <c r="F29">
        <f t="shared" ref="F29" si="30">$M$3+$M$4*C29</f>
        <v>545.60098920179189</v>
      </c>
      <c r="G29">
        <f t="shared" si="3"/>
        <v>-26.70813205893478</v>
      </c>
      <c r="H29">
        <f t="shared" si="4"/>
        <v>713.32431807749981</v>
      </c>
      <c r="I29">
        <f t="shared" si="5"/>
        <v>5.1471381213447165</v>
      </c>
    </row>
    <row r="30" spans="1:9" x14ac:dyDescent="0.35">
      <c r="A30" s="9">
        <v>45155</v>
      </c>
      <c r="B30" s="8">
        <v>500.74761904761897</v>
      </c>
      <c r="C30">
        <v>-13.5</v>
      </c>
      <c r="D30">
        <f t="shared" si="0"/>
        <v>182.25</v>
      </c>
      <c r="E30">
        <f t="shared" si="1"/>
        <v>-6760.0928571428558</v>
      </c>
      <c r="F30">
        <f t="shared" ref="F30" si="31">M$3+$M$4*C30</f>
        <v>548.49573793265915</v>
      </c>
      <c r="G30">
        <f t="shared" si="3"/>
        <v>-47.748118885040185</v>
      </c>
      <c r="H30">
        <f t="shared" si="4"/>
        <v>2279.8828570599312</v>
      </c>
      <c r="I30">
        <f t="shared" si="5"/>
        <v>9.5353661343119711</v>
      </c>
    </row>
    <row r="31" spans="1:9" x14ac:dyDescent="0.35">
      <c r="A31" s="9">
        <v>45186</v>
      </c>
      <c r="B31" s="8">
        <v>506.91666666666657</v>
      </c>
      <c r="C31">
        <v>-12.5</v>
      </c>
      <c r="D31">
        <f t="shared" si="0"/>
        <v>156.25</v>
      </c>
      <c r="E31">
        <f t="shared" si="1"/>
        <v>-6336.4583333333321</v>
      </c>
      <c r="F31">
        <f t="shared" ref="F31" si="32">$M$3+$M$4*C31</f>
        <v>551.39048666352642</v>
      </c>
      <c r="G31">
        <f t="shared" si="3"/>
        <v>-44.473819996859845</v>
      </c>
      <c r="H31">
        <f t="shared" si="4"/>
        <v>1977.9206651130905</v>
      </c>
      <c r="I31">
        <f t="shared" si="5"/>
        <v>8.7733986513614699</v>
      </c>
    </row>
    <row r="32" spans="1:9" x14ac:dyDescent="0.35">
      <c r="A32" s="9">
        <v>45216</v>
      </c>
      <c r="B32" s="8">
        <v>496.07749999999999</v>
      </c>
      <c r="C32">
        <v>-11.5</v>
      </c>
      <c r="D32">
        <f t="shared" si="0"/>
        <v>132.25</v>
      </c>
      <c r="E32">
        <f t="shared" si="1"/>
        <v>-5704.8912499999997</v>
      </c>
      <c r="F32">
        <f t="shared" ref="F32" si="33">M$3+$M$4*C32</f>
        <v>554.28523539439379</v>
      </c>
      <c r="G32">
        <f t="shared" si="3"/>
        <v>-58.207735394393808</v>
      </c>
      <c r="H32">
        <f t="shared" si="4"/>
        <v>3388.1404597437659</v>
      </c>
      <c r="I32">
        <f t="shared" si="5"/>
        <v>11.733597148508814</v>
      </c>
    </row>
    <row r="33" spans="1:9" x14ac:dyDescent="0.35">
      <c r="A33" s="9">
        <v>45247</v>
      </c>
      <c r="B33" s="8">
        <v>542.63636363636351</v>
      </c>
      <c r="C33">
        <v>-10.5</v>
      </c>
      <c r="D33">
        <f t="shared" si="0"/>
        <v>110.25</v>
      </c>
      <c r="E33">
        <f t="shared" si="1"/>
        <v>-5697.6818181818171</v>
      </c>
      <c r="F33">
        <f t="shared" ref="F33" si="34">$M$3+$M$4*C33</f>
        <v>557.17998412526106</v>
      </c>
      <c r="G33">
        <f t="shared" si="3"/>
        <v>-14.543620488897545</v>
      </c>
      <c r="H33">
        <f t="shared" si="4"/>
        <v>211.51689692508049</v>
      </c>
      <c r="I33">
        <f t="shared" si="5"/>
        <v>2.6801780093461725</v>
      </c>
    </row>
    <row r="34" spans="1:9" x14ac:dyDescent="0.35">
      <c r="A34" s="9">
        <v>45277</v>
      </c>
      <c r="B34" s="8">
        <v>544.88</v>
      </c>
      <c r="C34">
        <v>-9.5</v>
      </c>
      <c r="D34">
        <f t="shared" si="0"/>
        <v>90.25</v>
      </c>
      <c r="E34">
        <f t="shared" si="1"/>
        <v>-5176.3599999999997</v>
      </c>
      <c r="F34">
        <f t="shared" ref="F34" si="35">M$3+$M$4*C34</f>
        <v>560.07473285612832</v>
      </c>
      <c r="G34">
        <f t="shared" si="3"/>
        <v>-15.194732856128326</v>
      </c>
      <c r="H34">
        <f t="shared" si="4"/>
        <v>230.87990656910566</v>
      </c>
      <c r="I34">
        <f t="shared" si="5"/>
        <v>2.7886383893936877</v>
      </c>
    </row>
    <row r="35" spans="1:9" x14ac:dyDescent="0.35">
      <c r="A35" s="9">
        <v>44944</v>
      </c>
      <c r="B35" s="8">
        <v>579.4818181818182</v>
      </c>
      <c r="C35">
        <v>-8.5</v>
      </c>
      <c r="D35">
        <f t="shared" si="0"/>
        <v>72.25</v>
      </c>
      <c r="E35">
        <f t="shared" si="1"/>
        <v>-4925.5954545454551</v>
      </c>
      <c r="F35">
        <f t="shared" ref="F35" si="36">$M$3+$M$4*C35</f>
        <v>562.96948158699558</v>
      </c>
      <c r="G35">
        <f t="shared" si="3"/>
        <v>16.512336594822614</v>
      </c>
      <c r="H35">
        <f t="shared" si="4"/>
        <v>272.65725982071808</v>
      </c>
      <c r="I35">
        <f t="shared" si="5"/>
        <v>2.8495003771872791</v>
      </c>
    </row>
    <row r="36" spans="1:9" x14ac:dyDescent="0.35">
      <c r="A36" s="9">
        <v>44975</v>
      </c>
      <c r="B36" s="8">
        <v>550.37105263157889</v>
      </c>
      <c r="C36">
        <v>-7.5</v>
      </c>
      <c r="D36">
        <f t="shared" si="0"/>
        <v>56.25</v>
      </c>
      <c r="E36">
        <f t="shared" si="1"/>
        <v>-4127.7828947368416</v>
      </c>
      <c r="F36">
        <f t="shared" ref="F36" si="37">M$3+$M$4*C36</f>
        <v>565.86423031786285</v>
      </c>
      <c r="G36">
        <f t="shared" si="3"/>
        <v>-15.493177686283957</v>
      </c>
      <c r="H36">
        <f t="shared" si="4"/>
        <v>240.0385548187671</v>
      </c>
      <c r="I36">
        <f t="shared" si="5"/>
        <v>2.8150422541672384</v>
      </c>
    </row>
    <row r="37" spans="1:9" x14ac:dyDescent="0.35">
      <c r="A37" s="9">
        <v>45003</v>
      </c>
      <c r="B37" s="8">
        <v>518.9394736842105</v>
      </c>
      <c r="C37">
        <v>-6.5</v>
      </c>
      <c r="D37">
        <f t="shared" si="0"/>
        <v>42.25</v>
      </c>
      <c r="E37">
        <f t="shared" si="1"/>
        <v>-3373.1065789473682</v>
      </c>
      <c r="F37">
        <f t="shared" ref="F37" si="38">$M$3+$M$4*C37</f>
        <v>568.75897904873011</v>
      </c>
      <c r="G37">
        <f t="shared" si="3"/>
        <v>-49.819505364519614</v>
      </c>
      <c r="H37">
        <f t="shared" si="4"/>
        <v>2481.9831147653986</v>
      </c>
      <c r="I37">
        <f t="shared" si="5"/>
        <v>9.6002535730855207</v>
      </c>
    </row>
    <row r="38" spans="1:9" x14ac:dyDescent="0.35">
      <c r="A38" s="9">
        <v>45034</v>
      </c>
      <c r="B38" s="8">
        <v>517.33571428571429</v>
      </c>
      <c r="C38">
        <v>-5.5</v>
      </c>
      <c r="D38">
        <f t="shared" si="0"/>
        <v>30.25</v>
      </c>
      <c r="E38">
        <f t="shared" si="1"/>
        <v>-2845.3464285714285</v>
      </c>
      <c r="F38">
        <f t="shared" ref="F38" si="39">M$3+$M$4*C38</f>
        <v>571.65372777959738</v>
      </c>
      <c r="G38">
        <f t="shared" si="3"/>
        <v>-54.318013493883086</v>
      </c>
      <c r="H38">
        <f t="shared" si="4"/>
        <v>2950.4465899216652</v>
      </c>
      <c r="I38">
        <f t="shared" si="5"/>
        <v>10.499567687662932</v>
      </c>
    </row>
    <row r="39" spans="1:9" x14ac:dyDescent="0.35">
      <c r="A39" s="9">
        <v>45064</v>
      </c>
      <c r="B39" s="8">
        <v>538.81818181818176</v>
      </c>
      <c r="C39">
        <v>-4.5</v>
      </c>
      <c r="D39">
        <f t="shared" si="0"/>
        <v>20.25</v>
      </c>
      <c r="E39">
        <f t="shared" si="1"/>
        <v>-2424.681818181818</v>
      </c>
      <c r="F39">
        <f t="shared" ref="F39" si="40">$M$3+$M$4*C39</f>
        <v>574.54847651046464</v>
      </c>
      <c r="G39">
        <f t="shared" si="3"/>
        <v>-35.730294692282882</v>
      </c>
      <c r="H39">
        <f t="shared" si="4"/>
        <v>1276.6539587973782</v>
      </c>
      <c r="I39">
        <f t="shared" si="5"/>
        <v>6.6312340410850643</v>
      </c>
    </row>
    <row r="40" spans="1:9" x14ac:dyDescent="0.35">
      <c r="A40" s="9">
        <v>45095</v>
      </c>
      <c r="B40" s="8">
        <v>525.92857142857156</v>
      </c>
      <c r="C40">
        <v>-3.5</v>
      </c>
      <c r="D40">
        <f t="shared" si="0"/>
        <v>12.25</v>
      </c>
      <c r="E40">
        <f t="shared" si="1"/>
        <v>-1840.7500000000005</v>
      </c>
      <c r="F40">
        <f t="shared" ref="F40" si="41">M$3+$M$4*C40</f>
        <v>577.4432252413319</v>
      </c>
      <c r="G40">
        <f t="shared" si="3"/>
        <v>-51.514653812760343</v>
      </c>
      <c r="H40">
        <f t="shared" si="4"/>
        <v>2653.759557448544</v>
      </c>
      <c r="I40">
        <f t="shared" si="5"/>
        <v>9.7949905388923622</v>
      </c>
    </row>
    <row r="41" spans="1:9" x14ac:dyDescent="0.35">
      <c r="A41" s="9">
        <v>45125</v>
      </c>
      <c r="B41" s="8">
        <v>531.80227272727268</v>
      </c>
      <c r="C41">
        <v>-2.5</v>
      </c>
      <c r="D41">
        <f t="shared" si="0"/>
        <v>6.25</v>
      </c>
      <c r="E41">
        <f t="shared" si="1"/>
        <v>-1329.5056818181818</v>
      </c>
      <c r="F41">
        <f t="shared" ref="F41" si="42">$M$3+$M$4*C41</f>
        <v>580.33797397219917</v>
      </c>
      <c r="G41">
        <f t="shared" si="3"/>
        <v>-48.535701244926486</v>
      </c>
      <c r="H41">
        <f t="shared" si="4"/>
        <v>2355.7142953367584</v>
      </c>
      <c r="I41">
        <f t="shared" si="5"/>
        <v>9.1266441935304279</v>
      </c>
    </row>
    <row r="42" spans="1:9" x14ac:dyDescent="0.35">
      <c r="A42" s="9">
        <v>45156</v>
      </c>
      <c r="B42" s="8">
        <v>617.21428571428567</v>
      </c>
      <c r="C42">
        <v>-1.5</v>
      </c>
      <c r="D42">
        <f t="shared" si="0"/>
        <v>2.25</v>
      </c>
      <c r="E42">
        <f t="shared" si="1"/>
        <v>-925.82142857142844</v>
      </c>
      <c r="F42">
        <f t="shared" ref="F42" si="43">M$3+$M$4*C42</f>
        <v>583.23272270306643</v>
      </c>
      <c r="G42">
        <f t="shared" si="3"/>
        <v>33.981563011219237</v>
      </c>
      <c r="H42">
        <f t="shared" si="4"/>
        <v>1154.7466246854633</v>
      </c>
      <c r="I42">
        <f t="shared" si="5"/>
        <v>5.505634558003349</v>
      </c>
    </row>
    <row r="43" spans="1:9" x14ac:dyDescent="0.35">
      <c r="A43" s="9">
        <v>45187</v>
      </c>
      <c r="B43" s="8">
        <v>625.21388888888896</v>
      </c>
      <c r="C43">
        <v>-0.5</v>
      </c>
      <c r="D43">
        <f t="shared" si="0"/>
        <v>0.25</v>
      </c>
      <c r="E43">
        <f t="shared" si="1"/>
        <v>-312.60694444444448</v>
      </c>
      <c r="F43">
        <f t="shared" ref="F43" si="44">$M$3+$M$4*C43</f>
        <v>586.12747143393369</v>
      </c>
      <c r="G43">
        <f t="shared" si="3"/>
        <v>39.086417454955267</v>
      </c>
      <c r="H43">
        <f t="shared" si="4"/>
        <v>1527.7480294630318</v>
      </c>
      <c r="I43">
        <f t="shared" si="5"/>
        <v>6.2516873264633412</v>
      </c>
    </row>
    <row r="44" spans="1:9" x14ac:dyDescent="0.35">
      <c r="A44" s="9">
        <v>45217</v>
      </c>
      <c r="B44" s="8">
        <v>570.86904761904782</v>
      </c>
      <c r="C44">
        <v>0.5</v>
      </c>
      <c r="D44">
        <f t="shared" si="0"/>
        <v>0.25</v>
      </c>
      <c r="E44">
        <f t="shared" si="1"/>
        <v>285.43452380952391</v>
      </c>
      <c r="F44">
        <f t="shared" ref="F44" si="45">M$3+$M$4*C44</f>
        <v>589.02222016480107</v>
      </c>
      <c r="G44">
        <f t="shared" si="3"/>
        <v>-18.15317254575325</v>
      </c>
      <c r="H44">
        <f t="shared" si="4"/>
        <v>329.53767347588956</v>
      </c>
      <c r="I44">
        <f t="shared" si="5"/>
        <v>3.1799188660631716</v>
      </c>
    </row>
    <row r="45" spans="1:9" x14ac:dyDescent="0.35">
      <c r="A45" s="9">
        <v>45248</v>
      </c>
      <c r="B45" s="8">
        <v>617.995</v>
      </c>
      <c r="C45">
        <v>1.5</v>
      </c>
      <c r="D45">
        <f t="shared" si="0"/>
        <v>2.25</v>
      </c>
      <c r="E45">
        <f t="shared" si="1"/>
        <v>926.99250000000006</v>
      </c>
      <c r="F45">
        <f t="shared" ref="F45" si="46">$M$3+$M$4*C45</f>
        <v>591.91696889566833</v>
      </c>
      <c r="G45">
        <f t="shared" si="3"/>
        <v>26.078031104331671</v>
      </c>
      <c r="H45">
        <f t="shared" si="4"/>
        <v>680.06370627849014</v>
      </c>
      <c r="I45">
        <f t="shared" si="5"/>
        <v>4.2197802740041057</v>
      </c>
    </row>
    <row r="46" spans="1:9" x14ac:dyDescent="0.35">
      <c r="A46" s="9">
        <v>45278</v>
      </c>
      <c r="B46" s="8">
        <v>617.49249999999995</v>
      </c>
      <c r="C46">
        <v>2.5</v>
      </c>
      <c r="D46">
        <f t="shared" si="0"/>
        <v>6.25</v>
      </c>
      <c r="E46">
        <f t="shared" si="1"/>
        <v>1543.7312499999998</v>
      </c>
      <c r="F46">
        <f t="shared" ref="F46" si="47">M$3+$M$4*C46</f>
        <v>594.8117176265356</v>
      </c>
      <c r="G46">
        <f t="shared" si="3"/>
        <v>22.680782373464353</v>
      </c>
      <c r="H46">
        <f t="shared" si="4"/>
        <v>514.41788907245132</v>
      </c>
      <c r="I46">
        <f t="shared" si="5"/>
        <v>3.673045805975677</v>
      </c>
    </row>
    <row r="47" spans="1:9" x14ac:dyDescent="0.35">
      <c r="A47" s="9">
        <v>44945</v>
      </c>
      <c r="B47" s="8">
        <v>658.07608695652186</v>
      </c>
      <c r="C47">
        <v>3.5</v>
      </c>
      <c r="D47">
        <f t="shared" si="0"/>
        <v>12.25</v>
      </c>
      <c r="E47">
        <f t="shared" si="1"/>
        <v>2303.2663043478265</v>
      </c>
      <c r="F47">
        <f t="shared" ref="F47" si="48">$M$3+$M$4*C47</f>
        <v>597.70646635740286</v>
      </c>
      <c r="G47">
        <f t="shared" si="3"/>
        <v>60.369620599119003</v>
      </c>
      <c r="H47">
        <f t="shared" si="4"/>
        <v>3644.4910912815735</v>
      </c>
      <c r="I47">
        <f t="shared" si="5"/>
        <v>9.1736535935103092</v>
      </c>
    </row>
    <row r="48" spans="1:9" x14ac:dyDescent="0.35">
      <c r="A48" s="9">
        <v>44976</v>
      </c>
      <c r="B48" s="8">
        <v>708.28250000000003</v>
      </c>
      <c r="C48">
        <v>4.5</v>
      </c>
      <c r="D48">
        <f t="shared" si="0"/>
        <v>20.25</v>
      </c>
      <c r="E48">
        <f t="shared" si="1"/>
        <v>3187.2712500000002</v>
      </c>
      <c r="F48">
        <f t="shared" ref="F48" si="49">M$3+$M$4*C48</f>
        <v>600.60121508827012</v>
      </c>
      <c r="G48">
        <f t="shared" si="3"/>
        <v>107.6812849117299</v>
      </c>
      <c r="H48">
        <f t="shared" si="4"/>
        <v>11595.25912024115</v>
      </c>
      <c r="I48">
        <f t="shared" si="5"/>
        <v>15.203154802177082</v>
      </c>
    </row>
    <row r="49" spans="1:9" x14ac:dyDescent="0.35">
      <c r="A49" s="9">
        <v>45004</v>
      </c>
      <c r="B49" s="8">
        <v>745.1736842105264</v>
      </c>
      <c r="C49">
        <v>5.5</v>
      </c>
      <c r="D49">
        <f t="shared" si="0"/>
        <v>30.25</v>
      </c>
      <c r="E49">
        <f t="shared" si="1"/>
        <v>4098.4552631578954</v>
      </c>
      <c r="F49">
        <f t="shared" ref="F49" si="50">$M$3+$M$4*C49</f>
        <v>603.49596381913739</v>
      </c>
      <c r="G49">
        <f t="shared" si="3"/>
        <v>141.67772039138902</v>
      </c>
      <c r="H49">
        <f t="shared" si="4"/>
        <v>20072.576455300608</v>
      </c>
      <c r="I49">
        <f t="shared" si="5"/>
        <v>19.01271118309678</v>
      </c>
    </row>
    <row r="50" spans="1:9" x14ac:dyDescent="0.35">
      <c r="A50" s="9">
        <v>45035</v>
      </c>
      <c r="B50" s="8">
        <v>760.46052631578959</v>
      </c>
      <c r="C50">
        <v>6.5</v>
      </c>
      <c r="D50">
        <f t="shared" si="0"/>
        <v>42.25</v>
      </c>
      <c r="E50">
        <f t="shared" si="1"/>
        <v>4942.9934210526326</v>
      </c>
      <c r="F50">
        <f t="shared" ref="F50" si="51">M$3+$M$4*C50</f>
        <v>606.39071255000465</v>
      </c>
      <c r="G50">
        <f t="shared" si="3"/>
        <v>154.06981376578494</v>
      </c>
      <c r="H50">
        <f t="shared" si="4"/>
        <v>23737.507513823657</v>
      </c>
      <c r="I50">
        <f t="shared" si="5"/>
        <v>20.260067213772217</v>
      </c>
    </row>
    <row r="51" spans="1:9" x14ac:dyDescent="0.35">
      <c r="A51" s="9">
        <v>45065</v>
      </c>
      <c r="B51" s="8">
        <v>764.25681818181829</v>
      </c>
      <c r="C51">
        <v>7.5</v>
      </c>
      <c r="D51">
        <f t="shared" si="0"/>
        <v>56.25</v>
      </c>
      <c r="E51">
        <f t="shared" si="1"/>
        <v>5731.9261363636369</v>
      </c>
      <c r="F51">
        <f t="shared" ref="F51" si="52">$M$3+$M$4*C51</f>
        <v>609.28546128087191</v>
      </c>
      <c r="G51">
        <f t="shared" si="3"/>
        <v>154.97135690094638</v>
      </c>
      <c r="H51">
        <f t="shared" si="4"/>
        <v>24016.1214597205</v>
      </c>
      <c r="I51">
        <f t="shared" si="5"/>
        <v>20.277392783963148</v>
      </c>
    </row>
    <row r="52" spans="1:9" x14ac:dyDescent="0.35">
      <c r="A52" s="9">
        <v>45096</v>
      </c>
      <c r="B52" s="8">
        <v>795.77368421052631</v>
      </c>
      <c r="C52">
        <v>8.5</v>
      </c>
      <c r="D52">
        <f t="shared" si="0"/>
        <v>72.25</v>
      </c>
      <c r="E52">
        <f t="shared" si="1"/>
        <v>6764.0763157894735</v>
      </c>
      <c r="F52">
        <f t="shared" ref="F52" si="53">M$3+$M$4*C52</f>
        <v>612.18021001173918</v>
      </c>
      <c r="G52">
        <f t="shared" si="3"/>
        <v>183.59347419878713</v>
      </c>
      <c r="H52">
        <f t="shared" si="4"/>
        <v>33706.563768380714</v>
      </c>
      <c r="I52">
        <f t="shared" si="5"/>
        <v>23.071066289522648</v>
      </c>
    </row>
    <row r="53" spans="1:9" x14ac:dyDescent="0.35">
      <c r="A53" s="9">
        <v>45126</v>
      </c>
      <c r="B53" s="8">
        <v>754.36956521739114</v>
      </c>
      <c r="C53">
        <v>9.5</v>
      </c>
      <c r="D53">
        <f t="shared" si="0"/>
        <v>90.25</v>
      </c>
      <c r="E53">
        <f t="shared" si="1"/>
        <v>7166.5108695652161</v>
      </c>
      <c r="F53">
        <f t="shared" ref="F53" si="54">$M$3+$M$4*C53</f>
        <v>615.07495874260644</v>
      </c>
      <c r="G53">
        <f t="shared" si="3"/>
        <v>139.2946064747847</v>
      </c>
      <c r="H53">
        <f t="shared" si="4"/>
        <v>19402.987392965133</v>
      </c>
      <c r="I53">
        <f t="shared" si="5"/>
        <v>18.465035295351999</v>
      </c>
    </row>
    <row r="54" spans="1:9" x14ac:dyDescent="0.35">
      <c r="A54" s="9">
        <v>45157</v>
      </c>
      <c r="B54" s="8">
        <v>668.53750000000002</v>
      </c>
      <c r="C54">
        <v>10.5</v>
      </c>
      <c r="D54">
        <f t="shared" si="0"/>
        <v>110.25</v>
      </c>
      <c r="E54">
        <f t="shared" si="1"/>
        <v>7019.6437500000002</v>
      </c>
      <c r="F54">
        <f t="shared" ref="F54" si="55">M$3+$M$4*C54</f>
        <v>617.9697074734737</v>
      </c>
      <c r="G54">
        <f t="shared" si="3"/>
        <v>50.567792526526318</v>
      </c>
      <c r="H54">
        <f t="shared" si="4"/>
        <v>2557.101641005811</v>
      </c>
      <c r="I54">
        <f t="shared" si="5"/>
        <v>7.5639425651554788</v>
      </c>
    </row>
    <row r="55" spans="1:9" x14ac:dyDescent="0.35">
      <c r="A55" s="9">
        <v>45188</v>
      </c>
      <c r="B55" s="8">
        <v>673.30263157894728</v>
      </c>
      <c r="C55">
        <v>11.5</v>
      </c>
      <c r="D55">
        <f t="shared" si="0"/>
        <v>132.25</v>
      </c>
      <c r="E55">
        <f t="shared" si="1"/>
        <v>7742.9802631578941</v>
      </c>
      <c r="F55">
        <f t="shared" ref="F55" si="56">$M$3+$M$4*C55</f>
        <v>620.86445620434097</v>
      </c>
      <c r="G55">
        <f t="shared" si="3"/>
        <v>52.438175374606317</v>
      </c>
      <c r="H55">
        <f t="shared" si="4"/>
        <v>2749.7622366179685</v>
      </c>
      <c r="I55">
        <f t="shared" si="5"/>
        <v>7.7882029439918714</v>
      </c>
    </row>
    <row r="56" spans="1:9" x14ac:dyDescent="0.35">
      <c r="A56" s="9">
        <v>45218</v>
      </c>
      <c r="B56" s="8">
        <v>698.61750000000006</v>
      </c>
      <c r="C56">
        <v>12.5</v>
      </c>
      <c r="D56">
        <f t="shared" si="0"/>
        <v>156.25</v>
      </c>
      <c r="E56">
        <f t="shared" si="1"/>
        <v>8732.71875</v>
      </c>
      <c r="F56">
        <f t="shared" ref="F56" si="57">M$3+$M$4*C56</f>
        <v>623.75920493520834</v>
      </c>
      <c r="G56">
        <f t="shared" si="3"/>
        <v>74.858295064791719</v>
      </c>
      <c r="H56">
        <f t="shared" si="4"/>
        <v>5603.7643400074203</v>
      </c>
      <c r="I56">
        <f t="shared" si="5"/>
        <v>10.715204681358784</v>
      </c>
    </row>
    <row r="57" spans="1:9" x14ac:dyDescent="0.35">
      <c r="A57" s="9">
        <v>45249</v>
      </c>
      <c r="B57" s="8">
        <v>737.63499999999988</v>
      </c>
      <c r="C57">
        <v>13.5</v>
      </c>
      <c r="D57">
        <f t="shared" si="0"/>
        <v>182.25</v>
      </c>
      <c r="E57">
        <f t="shared" si="1"/>
        <v>9958.0724999999984</v>
      </c>
      <c r="F57">
        <f t="shared" ref="F57" si="58">$M$3+$M$4*C57</f>
        <v>626.65395366607561</v>
      </c>
      <c r="G57">
        <f t="shared" si="3"/>
        <v>110.98104633392427</v>
      </c>
      <c r="H57">
        <f t="shared" si="4"/>
        <v>12316.792645372645</v>
      </c>
      <c r="I57">
        <f t="shared" si="5"/>
        <v>15.045523373202773</v>
      </c>
    </row>
    <row r="58" spans="1:9" x14ac:dyDescent="0.35">
      <c r="A58" s="9">
        <v>45279</v>
      </c>
      <c r="B58" s="8">
        <v>738.50238095238092</v>
      </c>
      <c r="C58">
        <v>14.5</v>
      </c>
      <c r="D58">
        <f t="shared" si="0"/>
        <v>210.25</v>
      </c>
      <c r="E58">
        <f t="shared" si="1"/>
        <v>10708.284523809523</v>
      </c>
      <c r="F58">
        <f t="shared" ref="F58" si="59">M$3+$M$4*C58</f>
        <v>629.54870239694287</v>
      </c>
      <c r="G58">
        <f t="shared" si="3"/>
        <v>108.95367855543805</v>
      </c>
      <c r="H58">
        <f t="shared" si="4"/>
        <v>11870.904070761721</v>
      </c>
      <c r="I58">
        <f t="shared" si="5"/>
        <v>14.753328000775051</v>
      </c>
    </row>
    <row r="59" spans="1:9" x14ac:dyDescent="0.35">
      <c r="A59" s="9">
        <v>44946</v>
      </c>
      <c r="B59" s="8">
        <v>734.97608695652173</v>
      </c>
      <c r="C59">
        <v>15.5</v>
      </c>
      <c r="D59">
        <f t="shared" si="0"/>
        <v>240.25</v>
      </c>
      <c r="E59">
        <f t="shared" si="1"/>
        <v>11392.129347826087</v>
      </c>
      <c r="F59">
        <f t="shared" ref="F59" si="60">$M$3+$M$4*C59</f>
        <v>632.44345112781014</v>
      </c>
      <c r="G59">
        <f t="shared" si="3"/>
        <v>102.53263582871159</v>
      </c>
      <c r="H59">
        <f t="shared" si="4"/>
        <v>10512.941409983192</v>
      </c>
      <c r="I59">
        <f t="shared" si="5"/>
        <v>13.95047235526957</v>
      </c>
    </row>
    <row r="60" spans="1:9" x14ac:dyDescent="0.35">
      <c r="A60" s="9">
        <v>44977</v>
      </c>
      <c r="B60" s="8">
        <v>732.16499999999985</v>
      </c>
      <c r="C60">
        <v>16.5</v>
      </c>
      <c r="D60">
        <f t="shared" si="0"/>
        <v>272.25</v>
      </c>
      <c r="E60">
        <f t="shared" si="1"/>
        <v>12080.722499999998</v>
      </c>
      <c r="F60">
        <f t="shared" ref="F60" si="61">M$3+$M$4*C60</f>
        <v>635.3381998586774</v>
      </c>
      <c r="G60">
        <f t="shared" si="3"/>
        <v>96.826800141322451</v>
      </c>
      <c r="H60">
        <f t="shared" si="4"/>
        <v>9375.4292256076005</v>
      </c>
      <c r="I60">
        <f t="shared" si="5"/>
        <v>13.224723954480543</v>
      </c>
    </row>
    <row r="61" spans="1:9" x14ac:dyDescent="0.35">
      <c r="A61" s="9">
        <v>45005</v>
      </c>
      <c r="B61" s="8">
        <v>497.98809523809524</v>
      </c>
      <c r="C61">
        <v>17.5</v>
      </c>
      <c r="D61">
        <f t="shared" si="0"/>
        <v>306.25</v>
      </c>
      <c r="E61">
        <f t="shared" si="1"/>
        <v>8714.7916666666661</v>
      </c>
      <c r="F61">
        <f t="shared" ref="F61" si="62">$M$3+$M$4*C61</f>
        <v>638.23294858954466</v>
      </c>
      <c r="G61">
        <f t="shared" si="3"/>
        <v>-140.24485335144942</v>
      </c>
      <c r="H61">
        <f t="shared" si="4"/>
        <v>19668.618891569553</v>
      </c>
      <c r="I61">
        <f t="shared" si="5"/>
        <v>28.162290362462649</v>
      </c>
    </row>
    <row r="62" spans="1:9" x14ac:dyDescent="0.35">
      <c r="A62" s="9">
        <v>45036</v>
      </c>
      <c r="B62" s="8">
        <v>418.36388888888882</v>
      </c>
      <c r="C62">
        <v>18.5</v>
      </c>
      <c r="D62">
        <f t="shared" si="0"/>
        <v>342.25</v>
      </c>
      <c r="E62">
        <f t="shared" si="1"/>
        <v>7739.7319444444429</v>
      </c>
      <c r="F62">
        <f t="shared" ref="F62" si="63">M$3+$M$4*C62</f>
        <v>641.12769732041193</v>
      </c>
      <c r="G62">
        <f t="shared" si="3"/>
        <v>-222.7638084315231</v>
      </c>
      <c r="H62">
        <f t="shared" si="4"/>
        <v>49623.71434691632</v>
      </c>
      <c r="I62">
        <f t="shared" si="5"/>
        <v>53.246423591469636</v>
      </c>
    </row>
    <row r="63" spans="1:9" x14ac:dyDescent="0.35">
      <c r="A63" s="9">
        <v>45066</v>
      </c>
      <c r="B63" s="8">
        <v>379.2157894736842</v>
      </c>
      <c r="C63">
        <v>19.5</v>
      </c>
      <c r="D63">
        <f t="shared" si="0"/>
        <v>380.25</v>
      </c>
      <c r="E63">
        <f t="shared" si="1"/>
        <v>7394.7078947368418</v>
      </c>
      <c r="F63">
        <f t="shared" ref="F63" si="64">$M$3+$M$4*C63</f>
        <v>644.02244605127919</v>
      </c>
      <c r="G63">
        <f t="shared" si="3"/>
        <v>-264.80665657759499</v>
      </c>
      <c r="H63">
        <f t="shared" si="4"/>
        <v>70122.565367804331</v>
      </c>
      <c r="I63">
        <f t="shared" si="5"/>
        <v>69.830071407396218</v>
      </c>
    </row>
    <row r="64" spans="1:9" x14ac:dyDescent="0.35">
      <c r="A64" s="9">
        <v>45097</v>
      </c>
      <c r="B64" s="8">
        <v>411.59545454545446</v>
      </c>
      <c r="C64">
        <v>20.5</v>
      </c>
      <c r="D64">
        <f t="shared" si="0"/>
        <v>420.25</v>
      </c>
      <c r="E64">
        <f t="shared" si="1"/>
        <v>8437.7068181818158</v>
      </c>
      <c r="F64">
        <f t="shared" ref="F64" si="65">M$3+$M$4*C64</f>
        <v>646.91719478214645</v>
      </c>
      <c r="G64">
        <f t="shared" si="3"/>
        <v>-235.32174023669199</v>
      </c>
      <c r="H64">
        <f t="shared" si="4"/>
        <v>55376.321428025141</v>
      </c>
      <c r="I64">
        <f t="shared" si="5"/>
        <v>57.173065843637559</v>
      </c>
    </row>
    <row r="65" spans="1:9" x14ac:dyDescent="0.35">
      <c r="A65" s="9">
        <v>45127</v>
      </c>
      <c r="B65" s="8">
        <v>438.60217391304343</v>
      </c>
      <c r="C65">
        <v>21.5</v>
      </c>
      <c r="D65">
        <f t="shared" si="0"/>
        <v>462.25</v>
      </c>
      <c r="E65">
        <f t="shared" si="1"/>
        <v>9429.9467391304333</v>
      </c>
      <c r="F65">
        <f t="shared" ref="F65" si="66">$M$3+$M$4*C65</f>
        <v>649.81194351301372</v>
      </c>
      <c r="G65">
        <f t="shared" si="3"/>
        <v>-211.20976959997029</v>
      </c>
      <c r="H65">
        <f t="shared" si="4"/>
        <v>44609.566774472536</v>
      </c>
      <c r="I65">
        <f t="shared" si="5"/>
        <v>48.155203544851652</v>
      </c>
    </row>
    <row r="66" spans="1:9" x14ac:dyDescent="0.35">
      <c r="A66" s="9">
        <v>45158</v>
      </c>
      <c r="B66" s="8">
        <v>447.87619047619046</v>
      </c>
      <c r="C66">
        <v>22.5</v>
      </c>
      <c r="D66">
        <f t="shared" si="0"/>
        <v>506.25</v>
      </c>
      <c r="E66">
        <f t="shared" si="1"/>
        <v>10077.214285714286</v>
      </c>
      <c r="F66">
        <f t="shared" ref="F66" si="67">M$3+$M$4*C66</f>
        <v>652.70669224388098</v>
      </c>
      <c r="G66">
        <f t="shared" si="3"/>
        <v>-204.83050176769052</v>
      </c>
      <c r="H66">
        <f t="shared" si="4"/>
        <v>41955.534454403867</v>
      </c>
      <c r="I66">
        <f t="shared" si="5"/>
        <v>45.733733143954545</v>
      </c>
    </row>
    <row r="67" spans="1:9" x14ac:dyDescent="0.35">
      <c r="A67" s="9">
        <v>45189</v>
      </c>
      <c r="B67" s="8">
        <v>441.55909090909086</v>
      </c>
      <c r="C67">
        <v>23.5</v>
      </c>
      <c r="D67">
        <f t="shared" si="0"/>
        <v>552.25</v>
      </c>
      <c r="E67">
        <f t="shared" si="1"/>
        <v>10376.638636363636</v>
      </c>
      <c r="F67">
        <f t="shared" ref="F67" si="68">$M$3+$M$4*C67</f>
        <v>655.60144097474824</v>
      </c>
      <c r="G67">
        <f t="shared" si="3"/>
        <v>-214.04235006565739</v>
      </c>
      <c r="H67">
        <f t="shared" si="4"/>
        <v>45814.127621629421</v>
      </c>
      <c r="I67">
        <f t="shared" si="5"/>
        <v>48.474225641008232</v>
      </c>
    </row>
    <row r="68" spans="1:9" x14ac:dyDescent="0.35">
      <c r="A68" s="9">
        <v>45219</v>
      </c>
      <c r="B68" s="8">
        <v>478.31190476190483</v>
      </c>
      <c r="C68">
        <v>24.5</v>
      </c>
      <c r="D68">
        <f t="shared" ref="D68:D85" si="69">C68*C68</f>
        <v>600.25</v>
      </c>
      <c r="E68">
        <f t="shared" ref="E68:E85" si="70">C68*B68</f>
        <v>11718.641666666668</v>
      </c>
      <c r="F68">
        <f t="shared" ref="F68" si="71">M$3+$M$4*C68</f>
        <v>658.49618970561551</v>
      </c>
      <c r="G68">
        <f t="shared" ref="G68:G85" si="72">B68-F68</f>
        <v>-180.18428494371068</v>
      </c>
      <c r="H68">
        <f t="shared" ref="H68:H85" si="73">G68*G68</f>
        <v>32466.376540676323</v>
      </c>
      <c r="I68">
        <f t="shared" ref="I68:I85" si="74">ABS(G68)/B68*100</f>
        <v>37.670876085219582</v>
      </c>
    </row>
    <row r="69" spans="1:9" x14ac:dyDescent="0.35">
      <c r="A69" s="9">
        <v>45250</v>
      </c>
      <c r="B69" s="8">
        <v>587.86</v>
      </c>
      <c r="C69">
        <v>25.5</v>
      </c>
      <c r="D69">
        <f t="shared" si="69"/>
        <v>650.25</v>
      </c>
      <c r="E69">
        <f t="shared" si="70"/>
        <v>14990.43</v>
      </c>
      <c r="F69">
        <f t="shared" ref="F69" si="75">$M$3+$M$4*C69</f>
        <v>661.39093843648288</v>
      </c>
      <c r="G69">
        <f t="shared" si="72"/>
        <v>-73.53093843648287</v>
      </c>
      <c r="H69">
        <f t="shared" si="73"/>
        <v>5406.7989073498338</v>
      </c>
      <c r="I69">
        <f t="shared" si="74"/>
        <v>12.508239791188865</v>
      </c>
    </row>
    <row r="70" spans="1:9" x14ac:dyDescent="0.35">
      <c r="A70" s="9">
        <v>45280</v>
      </c>
      <c r="B70" s="8">
        <v>611.62045454545466</v>
      </c>
      <c r="C70">
        <v>26.5</v>
      </c>
      <c r="D70">
        <f t="shared" si="69"/>
        <v>702.25</v>
      </c>
      <c r="E70">
        <f t="shared" si="70"/>
        <v>16207.942045454549</v>
      </c>
      <c r="F70">
        <f t="shared" ref="F70" si="76">M$3+$M$4*C70</f>
        <v>664.28568716735015</v>
      </c>
      <c r="G70">
        <f t="shared" si="72"/>
        <v>-52.665232621895484</v>
      </c>
      <c r="H70">
        <f t="shared" si="73"/>
        <v>2773.6267271183642</v>
      </c>
      <c r="I70">
        <f t="shared" si="74"/>
        <v>8.6107703283133894</v>
      </c>
    </row>
    <row r="71" spans="1:9" x14ac:dyDescent="0.35">
      <c r="A71" s="9">
        <v>44947</v>
      </c>
      <c r="B71" s="8">
        <v>661.91250000000002</v>
      </c>
      <c r="C71">
        <v>27.5</v>
      </c>
      <c r="D71">
        <f t="shared" si="69"/>
        <v>756.25</v>
      </c>
      <c r="E71">
        <f t="shared" si="70"/>
        <v>18202.59375</v>
      </c>
      <c r="F71">
        <f t="shared" ref="F71" si="77">$M$3+$M$4*C71</f>
        <v>667.18043589821741</v>
      </c>
      <c r="G71">
        <f t="shared" si="72"/>
        <v>-5.2679358982173881</v>
      </c>
      <c r="H71">
        <f t="shared" si="73"/>
        <v>27.751148627727439</v>
      </c>
      <c r="I71">
        <f t="shared" si="74"/>
        <v>0.79586590345663322</v>
      </c>
    </row>
    <row r="72" spans="1:9" x14ac:dyDescent="0.35">
      <c r="A72" s="9">
        <v>44978</v>
      </c>
      <c r="B72" s="8">
        <v>743.92499999999995</v>
      </c>
      <c r="C72">
        <v>28.5</v>
      </c>
      <c r="D72">
        <f t="shared" si="69"/>
        <v>812.25</v>
      </c>
      <c r="E72">
        <f t="shared" si="70"/>
        <v>21201.862499999999</v>
      </c>
      <c r="F72">
        <f t="shared" ref="F72" si="78">M$3+$M$4*C72</f>
        <v>670.07518462908467</v>
      </c>
      <c r="G72">
        <f t="shared" si="72"/>
        <v>73.84981537091528</v>
      </c>
      <c r="H72">
        <f t="shared" si="73"/>
        <v>5453.7952303182747</v>
      </c>
      <c r="I72">
        <f t="shared" si="74"/>
        <v>9.9270511638828225</v>
      </c>
    </row>
    <row r="73" spans="1:9" x14ac:dyDescent="0.35">
      <c r="A73" s="9">
        <v>45006</v>
      </c>
      <c r="B73" s="8">
        <v>727.39047619047631</v>
      </c>
      <c r="C73">
        <v>29.5</v>
      </c>
      <c r="D73">
        <f t="shared" si="69"/>
        <v>870.25</v>
      </c>
      <c r="E73">
        <f t="shared" si="70"/>
        <v>21458.019047619051</v>
      </c>
      <c r="F73">
        <f t="shared" ref="F73" si="79">$M$3+$M$4*C73</f>
        <v>672.96993335995194</v>
      </c>
      <c r="G73">
        <f t="shared" si="72"/>
        <v>54.420542830524369</v>
      </c>
      <c r="H73">
        <f t="shared" si="73"/>
        <v>2961.5954819689373</v>
      </c>
      <c r="I73">
        <f t="shared" si="74"/>
        <v>7.4816133303721815</v>
      </c>
    </row>
    <row r="74" spans="1:9" x14ac:dyDescent="0.35">
      <c r="A74" s="9">
        <v>45037</v>
      </c>
      <c r="B74" s="8">
        <v>680.06578947368416</v>
      </c>
      <c r="C74">
        <v>30.5</v>
      </c>
      <c r="D74">
        <f t="shared" si="69"/>
        <v>930.25</v>
      </c>
      <c r="E74">
        <f t="shared" si="70"/>
        <v>20742.006578947367</v>
      </c>
      <c r="F74">
        <f t="shared" ref="F74" si="80">M$3+$M$4*C74</f>
        <v>675.8646820908192</v>
      </c>
      <c r="G74">
        <f t="shared" si="72"/>
        <v>4.2011073828649614</v>
      </c>
      <c r="H74">
        <f t="shared" si="73"/>
        <v>17.649303242362485</v>
      </c>
      <c r="I74">
        <f t="shared" si="74"/>
        <v>0.61775014239670523</v>
      </c>
    </row>
    <row r="75" spans="1:9" x14ac:dyDescent="0.35">
      <c r="A75" s="9">
        <v>45067</v>
      </c>
      <c r="B75" s="8">
        <v>718.745</v>
      </c>
      <c r="C75">
        <v>31.5</v>
      </c>
      <c r="D75">
        <f t="shared" si="69"/>
        <v>992.25</v>
      </c>
      <c r="E75">
        <f t="shared" si="70"/>
        <v>22640.467499999999</v>
      </c>
      <c r="F75">
        <f t="shared" ref="F75" si="81">$M$3+$M$4*C75</f>
        <v>678.75943082168646</v>
      </c>
      <c r="G75">
        <f t="shared" si="72"/>
        <v>39.98556917831354</v>
      </c>
      <c r="H75">
        <f t="shared" si="73"/>
        <v>1598.8457425136978</v>
      </c>
      <c r="I75">
        <f t="shared" si="74"/>
        <v>5.5632483256667582</v>
      </c>
    </row>
    <row r="76" spans="1:9" x14ac:dyDescent="0.35">
      <c r="A76" s="9">
        <v>45098</v>
      </c>
      <c r="B76" s="8">
        <v>744.45454545454538</v>
      </c>
      <c r="C76">
        <v>32.5</v>
      </c>
      <c r="D76">
        <f t="shared" si="69"/>
        <v>1056.25</v>
      </c>
      <c r="E76">
        <f t="shared" si="70"/>
        <v>24194.772727272724</v>
      </c>
      <c r="F76">
        <f t="shared" ref="F76" si="82">M$3+$M$4*C76</f>
        <v>681.65417955255373</v>
      </c>
      <c r="G76">
        <f t="shared" si="72"/>
        <v>62.800365901991654</v>
      </c>
      <c r="H76">
        <f t="shared" si="73"/>
        <v>3943.885957424036</v>
      </c>
      <c r="I76">
        <f t="shared" si="74"/>
        <v>8.4357555858091118</v>
      </c>
    </row>
    <row r="77" spans="1:9" x14ac:dyDescent="0.35">
      <c r="A77" s="9">
        <v>45128</v>
      </c>
      <c r="B77" s="8">
        <v>750.4904761904761</v>
      </c>
      <c r="C77">
        <v>33.5</v>
      </c>
      <c r="D77">
        <f t="shared" si="69"/>
        <v>1122.25</v>
      </c>
      <c r="E77">
        <f t="shared" si="70"/>
        <v>25141.43095238095</v>
      </c>
      <c r="F77">
        <f t="shared" ref="F77" si="83">$M$3+$M$4*C77</f>
        <v>684.54892828342099</v>
      </c>
      <c r="G77">
        <f t="shared" si="72"/>
        <v>65.94154790705511</v>
      </c>
      <c r="H77">
        <f t="shared" si="73"/>
        <v>4348.2877403784441</v>
      </c>
      <c r="I77">
        <f t="shared" si="74"/>
        <v>8.786460321492342</v>
      </c>
    </row>
    <row r="78" spans="1:9" x14ac:dyDescent="0.35">
      <c r="A78" s="9">
        <v>45159</v>
      </c>
      <c r="B78" s="8">
        <v>752.52380952380952</v>
      </c>
      <c r="C78">
        <v>34.5</v>
      </c>
      <c r="D78">
        <f t="shared" si="69"/>
        <v>1190.25</v>
      </c>
      <c r="E78">
        <f t="shared" si="70"/>
        <v>25962.071428571428</v>
      </c>
      <c r="F78">
        <f t="shared" ref="F78" si="84">M$3+$M$4*C78</f>
        <v>687.44367701428826</v>
      </c>
      <c r="G78">
        <f t="shared" si="72"/>
        <v>65.080132509521263</v>
      </c>
      <c r="H78">
        <f t="shared" si="73"/>
        <v>4235.4236474568461</v>
      </c>
      <c r="I78">
        <f t="shared" si="74"/>
        <v>8.6482489571596943</v>
      </c>
    </row>
    <row r="79" spans="1:9" x14ac:dyDescent="0.35">
      <c r="A79" s="9">
        <v>45190</v>
      </c>
      <c r="B79" s="8">
        <v>794.37142857142851</v>
      </c>
      <c r="C79">
        <v>35.5</v>
      </c>
      <c r="D79">
        <f t="shared" si="69"/>
        <v>1260.25</v>
      </c>
      <c r="E79">
        <f t="shared" si="70"/>
        <v>28200.185714285712</v>
      </c>
      <c r="F79">
        <f t="shared" ref="F79" si="85">$M$3+$M$4*C79</f>
        <v>690.33842574515552</v>
      </c>
      <c r="G79">
        <f t="shared" si="72"/>
        <v>104.03300282627299</v>
      </c>
      <c r="H79">
        <f t="shared" si="73"/>
        <v>10822.865677051324</v>
      </c>
      <c r="I79">
        <f t="shared" si="74"/>
        <v>13.096266945723681</v>
      </c>
    </row>
    <row r="80" spans="1:9" x14ac:dyDescent="0.35">
      <c r="A80" s="9">
        <v>45220</v>
      </c>
      <c r="B80" s="8">
        <v>793.39</v>
      </c>
      <c r="C80">
        <v>36.5</v>
      </c>
      <c r="D80">
        <f t="shared" si="69"/>
        <v>1332.25</v>
      </c>
      <c r="E80">
        <f t="shared" si="70"/>
        <v>28958.735000000001</v>
      </c>
      <c r="F80">
        <f t="shared" ref="F80" si="86">M$3+$M$4*C80</f>
        <v>693.2331744760229</v>
      </c>
      <c r="G80">
        <f t="shared" si="72"/>
        <v>100.15682552397709</v>
      </c>
      <c r="H80">
        <f t="shared" si="73"/>
        <v>10031.389699040388</v>
      </c>
      <c r="I80">
        <f t="shared" si="74"/>
        <v>12.623908232266237</v>
      </c>
    </row>
    <row r="81" spans="1:9" x14ac:dyDescent="0.35">
      <c r="A81" s="9">
        <v>45251</v>
      </c>
      <c r="B81" s="8">
        <v>715.75</v>
      </c>
      <c r="C81">
        <v>37.5</v>
      </c>
      <c r="D81">
        <f t="shared" si="69"/>
        <v>1406.25</v>
      </c>
      <c r="E81">
        <f t="shared" si="70"/>
        <v>26840.625</v>
      </c>
      <c r="F81">
        <f t="shared" ref="F81" si="87">$M$3+$M$4*C81</f>
        <v>696.12792320689016</v>
      </c>
      <c r="G81">
        <f t="shared" si="72"/>
        <v>19.622076793109841</v>
      </c>
      <c r="H81">
        <f t="shared" si="73"/>
        <v>385.02589767469976</v>
      </c>
      <c r="I81">
        <f t="shared" si="74"/>
        <v>2.7414707360265234</v>
      </c>
    </row>
    <row r="82" spans="1:9" x14ac:dyDescent="0.35">
      <c r="A82" s="9">
        <v>45281</v>
      </c>
      <c r="B82" s="8">
        <v>682.83478260869572</v>
      </c>
      <c r="C82">
        <v>38.5</v>
      </c>
      <c r="D82">
        <f t="shared" si="69"/>
        <v>1482.25</v>
      </c>
      <c r="E82">
        <f t="shared" si="70"/>
        <v>26289.139130434785</v>
      </c>
      <c r="F82">
        <f t="shared" ref="F82" si="88">M$3+$M$4*C82</f>
        <v>699.02267193775742</v>
      </c>
      <c r="G82">
        <f t="shared" si="72"/>
        <v>-16.187889329061704</v>
      </c>
      <c r="H82">
        <f t="shared" si="73"/>
        <v>262.04776092994979</v>
      </c>
      <c r="I82">
        <f t="shared" si="74"/>
        <v>2.3706890365510733</v>
      </c>
    </row>
    <row r="83" spans="1:9" x14ac:dyDescent="0.35">
      <c r="A83" s="9">
        <v>44948</v>
      </c>
      <c r="B83" s="8">
        <v>733.29250000000002</v>
      </c>
      <c r="C83">
        <v>39.5</v>
      </c>
      <c r="D83">
        <f t="shared" si="69"/>
        <v>1560.25</v>
      </c>
      <c r="E83">
        <f t="shared" si="70"/>
        <v>28965.053749999999</v>
      </c>
      <c r="F83">
        <f t="shared" ref="F83" si="89">$M$3+$M$4*C83</f>
        <v>701.91742066862469</v>
      </c>
      <c r="G83">
        <f t="shared" si="72"/>
        <v>31.375079331375332</v>
      </c>
      <c r="H83">
        <f t="shared" si="73"/>
        <v>984.39560305009559</v>
      </c>
      <c r="I83">
        <f t="shared" si="74"/>
        <v>4.2786581522892071</v>
      </c>
    </row>
    <row r="84" spans="1:9" x14ac:dyDescent="0.35">
      <c r="A84" s="9">
        <v>44979</v>
      </c>
      <c r="B84" s="8">
        <v>785.16</v>
      </c>
      <c r="C84">
        <v>40.5</v>
      </c>
      <c r="D84">
        <f t="shared" si="69"/>
        <v>1640.25</v>
      </c>
      <c r="E84">
        <f t="shared" si="70"/>
        <v>31798.98</v>
      </c>
      <c r="F84">
        <f t="shared" ref="F84" si="90">M$3+$M$4*C84</f>
        <v>704.81216939949195</v>
      </c>
      <c r="G84">
        <f t="shared" si="72"/>
        <v>80.347830600508019</v>
      </c>
      <c r="H84">
        <f t="shared" si="73"/>
        <v>6455.7738822079327</v>
      </c>
      <c r="I84">
        <f t="shared" si="74"/>
        <v>10.233306663674668</v>
      </c>
    </row>
    <row r="85" spans="1:9" x14ac:dyDescent="0.35">
      <c r="A85" s="9">
        <v>45007</v>
      </c>
      <c r="B85" s="8">
        <v>716.19749999999999</v>
      </c>
      <c r="C85">
        <v>41.5</v>
      </c>
      <c r="D85">
        <f t="shared" si="69"/>
        <v>1722.25</v>
      </c>
      <c r="E85">
        <f t="shared" si="70"/>
        <v>29722.196250000001</v>
      </c>
      <c r="F85">
        <f t="shared" ref="F85" si="91">$M$3+$M$4*C85</f>
        <v>707.70691813035921</v>
      </c>
      <c r="G85">
        <f t="shared" si="72"/>
        <v>8.4905818696407778</v>
      </c>
      <c r="H85">
        <f t="shared" si="73"/>
        <v>72.089980485072687</v>
      </c>
      <c r="I85">
        <f t="shared" si="74"/>
        <v>1.1855084483875995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05A2-88E7-4D32-8774-11B71C2DC6DE}">
  <dimension ref="A1:P85"/>
  <sheetViews>
    <sheetView tabSelected="1" workbookViewId="0">
      <selection activeCell="C4" sqref="C4"/>
    </sheetView>
  </sheetViews>
  <sheetFormatPr defaultRowHeight="14.5" x14ac:dyDescent="0.35"/>
  <cols>
    <col min="6" max="6" width="12.6328125" customWidth="1"/>
  </cols>
  <sheetData>
    <row r="1" spans="1:16" x14ac:dyDescent="0.35">
      <c r="A1" t="s">
        <v>28</v>
      </c>
      <c r="B1" t="s">
        <v>29</v>
      </c>
      <c r="C1" t="s">
        <v>30</v>
      </c>
      <c r="D1" t="s">
        <v>31</v>
      </c>
      <c r="E1" t="s">
        <v>33</v>
      </c>
      <c r="F1" t="s">
        <v>32</v>
      </c>
    </row>
    <row r="2" spans="1:16" x14ac:dyDescent="0.35">
      <c r="A2" s="9">
        <v>45031</v>
      </c>
      <c r="B2" s="8">
        <v>548.38421052631577</v>
      </c>
      <c r="C2">
        <f>B2*P5</f>
        <v>246.77289473684209</v>
      </c>
      <c r="D2">
        <f>B2-C2</f>
        <v>301.61131578947368</v>
      </c>
      <c r="E2">
        <f>D2*D2</f>
        <v>90969.38581225762</v>
      </c>
      <c r="F2">
        <f>ABS(D2)/B2*100</f>
        <v>55.000000000000007</v>
      </c>
      <c r="I2" t="s">
        <v>38</v>
      </c>
      <c r="J2">
        <f>SUM(E:E)/84</f>
        <v>2673.0703029511988</v>
      </c>
    </row>
    <row r="3" spans="1:16" x14ac:dyDescent="0.35">
      <c r="A3" s="9">
        <v>45061</v>
      </c>
      <c r="B3" s="8">
        <v>559.79999999999995</v>
      </c>
      <c r="C3">
        <f>B3*$P$5+(1-$P$5)*C2</f>
        <v>387.6350921052632</v>
      </c>
      <c r="D3">
        <f>B3-C3</f>
        <v>172.16490789473676</v>
      </c>
      <c r="E3">
        <f>D3*D3</f>
        <v>29640.755510403193</v>
      </c>
      <c r="F3">
        <f>ABS(D3)/B3*100</f>
        <v>30.754717380267376</v>
      </c>
      <c r="I3" t="s">
        <v>37</v>
      </c>
      <c r="J3">
        <f>SQRT(J2)</f>
        <v>51.701743712869096</v>
      </c>
    </row>
    <row r="4" spans="1:16" x14ac:dyDescent="0.35">
      <c r="A4" s="9">
        <v>45092</v>
      </c>
      <c r="B4" s="8">
        <v>558.47499999999991</v>
      </c>
      <c r="C4">
        <f>B4*$P$5+(1-$P$5)*C3</f>
        <v>464.51305065789472</v>
      </c>
      <c r="D4">
        <f t="shared" ref="D4:D67" si="0">B4-C4</f>
        <v>93.961949342105186</v>
      </c>
      <c r="E4">
        <f t="shared" ref="E4:E67" si="1">D4*D4</f>
        <v>8828.8479241683417</v>
      </c>
      <c r="F4">
        <f t="shared" ref="F4:F67" si="2">ABS(D4)/B4*100</f>
        <v>16.824736889226052</v>
      </c>
      <c r="I4" t="s">
        <v>39</v>
      </c>
      <c r="J4">
        <f>SUM(F:F)/84</f>
        <v>5.4969235651007642</v>
      </c>
    </row>
    <row r="5" spans="1:16" x14ac:dyDescent="0.35">
      <c r="A5" s="9">
        <v>45122</v>
      </c>
      <c r="B5" s="8">
        <v>581.22173913043491</v>
      </c>
      <c r="C5">
        <f>B5*$P$5+(1-$P$5)*C4</f>
        <v>517.0319604705378</v>
      </c>
      <c r="D5">
        <f t="shared" si="0"/>
        <v>64.189778659897115</v>
      </c>
      <c r="E5">
        <f t="shared" si="1"/>
        <v>4120.3276844065831</v>
      </c>
      <c r="F5">
        <f t="shared" si="2"/>
        <v>11.0439397459447</v>
      </c>
      <c r="I5" s="8" t="s">
        <v>35</v>
      </c>
      <c r="J5" s="8">
        <f>100-J4</f>
        <v>94.503076434899242</v>
      </c>
      <c r="P5">
        <v>0.45</v>
      </c>
    </row>
    <row r="6" spans="1:16" x14ac:dyDescent="0.35">
      <c r="A6" s="9">
        <v>45153</v>
      </c>
      <c r="B6" s="8">
        <v>546.95238095238096</v>
      </c>
      <c r="C6">
        <f t="shared" ref="C6:C69" si="3">B6*$P$5+(1-$P$5)*C5</f>
        <v>530.49614968736728</v>
      </c>
      <c r="D6">
        <f t="shared" si="0"/>
        <v>16.456231265013685</v>
      </c>
      <c r="E6">
        <f t="shared" si="1"/>
        <v>270.8075474476139</v>
      </c>
      <c r="F6">
        <f t="shared" si="2"/>
        <v>3.0087137085607467</v>
      </c>
    </row>
    <row r="7" spans="1:16" x14ac:dyDescent="0.35">
      <c r="A7" s="9">
        <v>45184</v>
      </c>
      <c r="B7" s="8">
        <v>491.81499999999994</v>
      </c>
      <c r="C7">
        <f t="shared" si="3"/>
        <v>513.08963232805206</v>
      </c>
      <c r="D7">
        <f t="shared" si="0"/>
        <v>-21.274632328052121</v>
      </c>
      <c r="E7">
        <f t="shared" si="1"/>
        <v>452.60998069380042</v>
      </c>
      <c r="F7">
        <f t="shared" si="2"/>
        <v>4.3257388099289615</v>
      </c>
    </row>
    <row r="8" spans="1:16" x14ac:dyDescent="0.35">
      <c r="A8" s="9">
        <v>45214</v>
      </c>
      <c r="B8" s="8">
        <v>499.74999999999989</v>
      </c>
      <c r="C8">
        <f t="shared" si="3"/>
        <v>507.08679778042858</v>
      </c>
      <c r="D8">
        <f t="shared" si="0"/>
        <v>-7.3367977804286966</v>
      </c>
      <c r="E8">
        <f t="shared" si="1"/>
        <v>53.828601670903446</v>
      </c>
      <c r="F8">
        <f t="shared" si="2"/>
        <v>1.4680936028871832</v>
      </c>
    </row>
    <row r="9" spans="1:16" x14ac:dyDescent="0.35">
      <c r="A9" s="9">
        <v>45245</v>
      </c>
      <c r="B9" s="8">
        <v>469.91842105263163</v>
      </c>
      <c r="C9">
        <f t="shared" si="3"/>
        <v>490.36102825291994</v>
      </c>
      <c r="D9">
        <f t="shared" si="0"/>
        <v>-20.442607200288307</v>
      </c>
      <c r="E9">
        <f t="shared" si="1"/>
        <v>417.90018914527934</v>
      </c>
      <c r="F9">
        <f t="shared" si="2"/>
        <v>4.3502459755666187</v>
      </c>
    </row>
    <row r="10" spans="1:16" x14ac:dyDescent="0.35">
      <c r="A10" s="9">
        <v>45275</v>
      </c>
      <c r="B10" s="8">
        <v>449.53636363636366</v>
      </c>
      <c r="C10">
        <f t="shared" si="3"/>
        <v>471.98992917546963</v>
      </c>
      <c r="D10">
        <f t="shared" si="0"/>
        <v>-22.453565539105966</v>
      </c>
      <c r="E10">
        <f t="shared" si="1"/>
        <v>504.162605418927</v>
      </c>
      <c r="F10">
        <f t="shared" si="2"/>
        <v>4.99482741673574</v>
      </c>
    </row>
    <row r="11" spans="1:16" x14ac:dyDescent="0.35">
      <c r="A11" s="9">
        <v>44942</v>
      </c>
      <c r="B11" s="8">
        <v>410.53249999999991</v>
      </c>
      <c r="C11">
        <f t="shared" si="3"/>
        <v>444.33408604650833</v>
      </c>
      <c r="D11">
        <f t="shared" si="0"/>
        <v>-33.801586046508419</v>
      </c>
      <c r="E11">
        <f t="shared" si="1"/>
        <v>1142.5472192595125</v>
      </c>
      <c r="F11">
        <f t="shared" si="2"/>
        <v>8.2335956462663553</v>
      </c>
    </row>
    <row r="12" spans="1:16" x14ac:dyDescent="0.35">
      <c r="A12" s="9">
        <v>44973</v>
      </c>
      <c r="B12" s="8">
        <v>392.84523809523807</v>
      </c>
      <c r="C12">
        <f t="shared" si="3"/>
        <v>421.16410446843673</v>
      </c>
      <c r="D12">
        <f t="shared" si="0"/>
        <v>-28.318866373198659</v>
      </c>
      <c r="E12">
        <f t="shared" si="1"/>
        <v>801.95819266308183</v>
      </c>
      <c r="F12">
        <f t="shared" si="2"/>
        <v>7.208657157334124</v>
      </c>
    </row>
    <row r="13" spans="1:16" x14ac:dyDescent="0.35">
      <c r="A13" s="9">
        <v>45001</v>
      </c>
      <c r="B13" s="8">
        <v>423.7</v>
      </c>
      <c r="C13">
        <f t="shared" si="3"/>
        <v>422.30525745764021</v>
      </c>
      <c r="D13">
        <f t="shared" si="0"/>
        <v>1.3947425423597792</v>
      </c>
      <c r="E13">
        <f t="shared" si="1"/>
        <v>1.9453067594682205</v>
      </c>
      <c r="F13">
        <f t="shared" si="2"/>
        <v>0.32918162434736353</v>
      </c>
    </row>
    <row r="14" spans="1:16" x14ac:dyDescent="0.35">
      <c r="A14" s="9">
        <v>45032</v>
      </c>
      <c r="B14" s="8">
        <v>450.48333333333335</v>
      </c>
      <c r="C14">
        <f t="shared" si="3"/>
        <v>434.98539160170213</v>
      </c>
      <c r="D14">
        <f t="shared" si="0"/>
        <v>15.497941731631215</v>
      </c>
      <c r="E14">
        <f t="shared" si="1"/>
        <v>240.18619791703634</v>
      </c>
      <c r="F14">
        <f t="shared" si="2"/>
        <v>3.4402919231117428</v>
      </c>
    </row>
    <row r="15" spans="1:16" x14ac:dyDescent="0.35">
      <c r="A15" s="9">
        <v>45062</v>
      </c>
      <c r="B15" s="8">
        <v>490.16590909090917</v>
      </c>
      <c r="C15">
        <f t="shared" si="3"/>
        <v>459.81662447184533</v>
      </c>
      <c r="D15">
        <f t="shared" si="0"/>
        <v>30.349284619063837</v>
      </c>
      <c r="E15">
        <f t="shared" si="1"/>
        <v>921.07907688894477</v>
      </c>
      <c r="F15">
        <f t="shared" si="2"/>
        <v>6.1916351292874339</v>
      </c>
    </row>
    <row r="16" spans="1:16" x14ac:dyDescent="0.35">
      <c r="A16" s="9">
        <v>45093</v>
      </c>
      <c r="B16" s="8">
        <v>526.43409090909086</v>
      </c>
      <c r="C16">
        <f t="shared" si="3"/>
        <v>489.79448436860582</v>
      </c>
      <c r="D16">
        <f t="shared" si="0"/>
        <v>36.639606540485033</v>
      </c>
      <c r="E16">
        <f t="shared" si="1"/>
        <v>1342.4607674415536</v>
      </c>
      <c r="F16">
        <f t="shared" si="2"/>
        <v>6.9599608333139411</v>
      </c>
    </row>
    <row r="17" spans="1:6" x14ac:dyDescent="0.35">
      <c r="A17" s="9">
        <v>45123</v>
      </c>
      <c r="B17" s="8">
        <v>550.19499999999994</v>
      </c>
      <c r="C17">
        <f t="shared" si="3"/>
        <v>516.97471640273318</v>
      </c>
      <c r="D17">
        <f t="shared" si="0"/>
        <v>33.220283597266757</v>
      </c>
      <c r="E17">
        <f t="shared" si="1"/>
        <v>1103.5872422828309</v>
      </c>
      <c r="F17">
        <f t="shared" si="2"/>
        <v>6.0379108492928433</v>
      </c>
    </row>
    <row r="18" spans="1:6" x14ac:dyDescent="0.35">
      <c r="A18" s="9">
        <v>45154</v>
      </c>
      <c r="B18" s="8">
        <v>576.77045454545453</v>
      </c>
      <c r="C18">
        <f t="shared" si="3"/>
        <v>543.88279856695783</v>
      </c>
      <c r="D18">
        <f t="shared" si="0"/>
        <v>32.887655978496696</v>
      </c>
      <c r="E18">
        <f t="shared" si="1"/>
        <v>1081.5979157599495</v>
      </c>
      <c r="F18">
        <f t="shared" si="2"/>
        <v>5.7020354838416676</v>
      </c>
    </row>
    <row r="19" spans="1:6" x14ac:dyDescent="0.35">
      <c r="A19" s="9">
        <v>45185</v>
      </c>
      <c r="B19" s="8">
        <v>586.88750000000005</v>
      </c>
      <c r="C19">
        <f t="shared" si="3"/>
        <v>563.23491421182689</v>
      </c>
      <c r="D19">
        <f t="shared" si="0"/>
        <v>23.652585788173155</v>
      </c>
      <c r="E19">
        <f t="shared" si="1"/>
        <v>559.44481446689076</v>
      </c>
      <c r="F19">
        <f t="shared" si="2"/>
        <v>4.0301737195242966</v>
      </c>
    </row>
    <row r="20" spans="1:6" x14ac:dyDescent="0.35">
      <c r="A20" s="9">
        <v>45215</v>
      </c>
      <c r="B20" s="8">
        <v>522.12894736842111</v>
      </c>
      <c r="C20">
        <f t="shared" si="3"/>
        <v>544.73722913229437</v>
      </c>
      <c r="D20">
        <f t="shared" si="0"/>
        <v>-22.608281763873265</v>
      </c>
      <c r="E20">
        <f t="shared" si="1"/>
        <v>511.13440431468445</v>
      </c>
      <c r="F20">
        <f t="shared" si="2"/>
        <v>4.330018834968091</v>
      </c>
    </row>
    <row r="21" spans="1:6" x14ac:dyDescent="0.35">
      <c r="A21" s="9">
        <v>45246</v>
      </c>
      <c r="B21" s="8">
        <v>478.0928571428571</v>
      </c>
      <c r="C21">
        <f t="shared" si="3"/>
        <v>514.74726173704767</v>
      </c>
      <c r="D21">
        <f t="shared" si="0"/>
        <v>-36.654404594190567</v>
      </c>
      <c r="E21">
        <f t="shared" si="1"/>
        <v>1343.5453761546185</v>
      </c>
      <c r="F21">
        <f t="shared" si="2"/>
        <v>7.6667961143033772</v>
      </c>
    </row>
    <row r="22" spans="1:6" x14ac:dyDescent="0.35">
      <c r="A22" s="9">
        <v>45276</v>
      </c>
      <c r="B22" s="8">
        <v>454.00909090909096</v>
      </c>
      <c r="C22">
        <f t="shared" si="3"/>
        <v>487.41508486446719</v>
      </c>
      <c r="D22">
        <f t="shared" si="0"/>
        <v>-33.405993955376232</v>
      </c>
      <c r="E22">
        <f t="shared" si="1"/>
        <v>1115.9604321466334</v>
      </c>
      <c r="F22">
        <f t="shared" si="2"/>
        <v>7.3580011114943336</v>
      </c>
    </row>
    <row r="23" spans="1:6" x14ac:dyDescent="0.35">
      <c r="A23" s="9">
        <v>44943</v>
      </c>
      <c r="B23" s="8">
        <v>462.33809523809515</v>
      </c>
      <c r="C23">
        <f t="shared" si="3"/>
        <v>476.13043953259978</v>
      </c>
      <c r="D23">
        <f t="shared" si="0"/>
        <v>-13.79234429450463</v>
      </c>
      <c r="E23">
        <f t="shared" si="1"/>
        <v>190.22876113815443</v>
      </c>
      <c r="F23">
        <f t="shared" si="2"/>
        <v>2.983172798555966</v>
      </c>
    </row>
    <row r="24" spans="1:6" x14ac:dyDescent="0.35">
      <c r="A24" s="9">
        <v>44974</v>
      </c>
      <c r="B24" s="8">
        <v>494.97105263157897</v>
      </c>
      <c r="C24">
        <f t="shared" si="3"/>
        <v>484.6087154271404</v>
      </c>
      <c r="D24">
        <f t="shared" si="0"/>
        <v>10.362337204438575</v>
      </c>
      <c r="E24">
        <f t="shared" si="1"/>
        <v>107.37803233849185</v>
      </c>
      <c r="F24">
        <f t="shared" si="2"/>
        <v>2.0935238837394308</v>
      </c>
    </row>
    <row r="25" spans="1:6" x14ac:dyDescent="0.35">
      <c r="A25" s="9">
        <v>45002</v>
      </c>
      <c r="B25" s="8">
        <v>504.42272727272717</v>
      </c>
      <c r="C25">
        <f t="shared" si="3"/>
        <v>493.52502075765449</v>
      </c>
      <c r="D25">
        <f t="shared" si="0"/>
        <v>10.897706515072684</v>
      </c>
      <c r="E25">
        <f t="shared" si="1"/>
        <v>118.76000728865763</v>
      </c>
      <c r="F25">
        <f t="shared" si="2"/>
        <v>2.1604313060978715</v>
      </c>
    </row>
    <row r="26" spans="1:6" x14ac:dyDescent="0.35">
      <c r="A26" s="9">
        <v>45033</v>
      </c>
      <c r="B26" s="8">
        <v>504.74166666666656</v>
      </c>
      <c r="C26">
        <f t="shared" si="3"/>
        <v>498.57251141670997</v>
      </c>
      <c r="D26">
        <f t="shared" si="0"/>
        <v>6.1691552499565887</v>
      </c>
      <c r="E26">
        <f t="shared" si="1"/>
        <v>38.058476498066938</v>
      </c>
      <c r="F26">
        <f t="shared" si="2"/>
        <v>1.2222401393366091</v>
      </c>
    </row>
    <row r="27" spans="1:6" x14ac:dyDescent="0.35">
      <c r="A27" s="9">
        <v>45063</v>
      </c>
      <c r="B27" s="8">
        <v>507.28636363636366</v>
      </c>
      <c r="C27">
        <f t="shared" si="3"/>
        <v>502.49374491555409</v>
      </c>
      <c r="D27">
        <f t="shared" si="0"/>
        <v>4.7926187208095712</v>
      </c>
      <c r="E27">
        <f t="shared" si="1"/>
        <v>22.969194203054371</v>
      </c>
      <c r="F27">
        <f t="shared" si="2"/>
        <v>0.94475607159136021</v>
      </c>
    </row>
    <row r="28" spans="1:6" x14ac:dyDescent="0.35">
      <c r="A28" s="9">
        <v>45094</v>
      </c>
      <c r="B28" s="8">
        <v>509.19047619047626</v>
      </c>
      <c r="C28">
        <f t="shared" si="3"/>
        <v>505.50727398926915</v>
      </c>
      <c r="D28">
        <f t="shared" si="0"/>
        <v>3.6832022012071093</v>
      </c>
      <c r="E28">
        <f t="shared" si="1"/>
        <v>13.565978454976895</v>
      </c>
      <c r="F28">
        <f t="shared" si="2"/>
        <v>0.72334467619329734</v>
      </c>
    </row>
    <row r="29" spans="1:6" x14ac:dyDescent="0.35">
      <c r="A29" s="9">
        <v>45124</v>
      </c>
      <c r="B29" s="8">
        <v>518.89285714285711</v>
      </c>
      <c r="C29">
        <f t="shared" si="3"/>
        <v>511.53078640838373</v>
      </c>
      <c r="D29">
        <f t="shared" si="0"/>
        <v>7.3620707344733773</v>
      </c>
      <c r="E29">
        <f t="shared" si="1"/>
        <v>54.200085499389374</v>
      </c>
      <c r="F29">
        <f t="shared" si="2"/>
        <v>1.4188036380016147</v>
      </c>
    </row>
    <row r="30" spans="1:6" x14ac:dyDescent="0.35">
      <c r="A30" s="9">
        <v>45155</v>
      </c>
      <c r="B30" s="8">
        <v>500.74761904761897</v>
      </c>
      <c r="C30">
        <f t="shared" si="3"/>
        <v>506.67836109603962</v>
      </c>
      <c r="D30">
        <f t="shared" si="0"/>
        <v>-5.9307420484206546</v>
      </c>
      <c r="E30">
        <f t="shared" si="1"/>
        <v>35.173701244904819</v>
      </c>
      <c r="F30">
        <f t="shared" si="2"/>
        <v>1.1843774833518812</v>
      </c>
    </row>
    <row r="31" spans="1:6" x14ac:dyDescent="0.35">
      <c r="A31" s="9">
        <v>45186</v>
      </c>
      <c r="B31" s="8">
        <v>506.91666666666657</v>
      </c>
      <c r="C31">
        <f t="shared" si="3"/>
        <v>506.78559860282178</v>
      </c>
      <c r="D31">
        <f t="shared" si="0"/>
        <v>0.13106806384479341</v>
      </c>
      <c r="E31">
        <f t="shared" si="1"/>
        <v>1.7178837360022844E-2</v>
      </c>
      <c r="F31">
        <f t="shared" si="2"/>
        <v>2.585593894686045E-2</v>
      </c>
    </row>
    <row r="32" spans="1:6" x14ac:dyDescent="0.35">
      <c r="A32" s="9">
        <v>45216</v>
      </c>
      <c r="B32" s="8">
        <v>496.07749999999999</v>
      </c>
      <c r="C32">
        <f t="shared" si="3"/>
        <v>501.96695423155199</v>
      </c>
      <c r="D32">
        <f t="shared" si="0"/>
        <v>-5.8894542315520084</v>
      </c>
      <c r="E32">
        <f t="shared" si="1"/>
        <v>34.685671145545861</v>
      </c>
      <c r="F32">
        <f t="shared" si="2"/>
        <v>1.1872044653410019</v>
      </c>
    </row>
    <row r="33" spans="1:6" x14ac:dyDescent="0.35">
      <c r="A33" s="9">
        <v>45247</v>
      </c>
      <c r="B33" s="8">
        <v>542.63636363636351</v>
      </c>
      <c r="C33">
        <f t="shared" si="3"/>
        <v>520.26818846371725</v>
      </c>
      <c r="D33">
        <f t="shared" si="0"/>
        <v>22.368175172646261</v>
      </c>
      <c r="E33">
        <f t="shared" si="1"/>
        <v>500.33526055418855</v>
      </c>
      <c r="F33">
        <f t="shared" si="2"/>
        <v>4.1221297855437919</v>
      </c>
    </row>
    <row r="34" spans="1:6" x14ac:dyDescent="0.35">
      <c r="A34" s="9">
        <v>45277</v>
      </c>
      <c r="B34" s="8">
        <v>544.88</v>
      </c>
      <c r="C34">
        <f t="shared" si="3"/>
        <v>531.34350365504451</v>
      </c>
      <c r="D34">
        <f t="shared" si="0"/>
        <v>13.536496344955481</v>
      </c>
      <c r="E34">
        <f t="shared" si="1"/>
        <v>183.23673329699309</v>
      </c>
      <c r="F34">
        <f t="shared" si="2"/>
        <v>2.4843078007920059</v>
      </c>
    </row>
    <row r="35" spans="1:6" x14ac:dyDescent="0.35">
      <c r="A35" s="9">
        <v>44944</v>
      </c>
      <c r="B35" s="8">
        <v>579.4818181818182</v>
      </c>
      <c r="C35">
        <f t="shared" si="3"/>
        <v>553.00574519209272</v>
      </c>
      <c r="D35">
        <f t="shared" si="0"/>
        <v>26.476072989725481</v>
      </c>
      <c r="E35">
        <f t="shared" si="1"/>
        <v>700.98244095727114</v>
      </c>
      <c r="F35">
        <f t="shared" si="2"/>
        <v>4.5689221230092762</v>
      </c>
    </row>
    <row r="36" spans="1:6" x14ac:dyDescent="0.35">
      <c r="A36" s="9">
        <v>44975</v>
      </c>
      <c r="B36" s="8">
        <v>550.37105263157889</v>
      </c>
      <c r="C36">
        <f t="shared" si="3"/>
        <v>551.82013353986156</v>
      </c>
      <c r="D36">
        <f t="shared" si="0"/>
        <v>-1.4490809082826672</v>
      </c>
      <c r="E36">
        <f t="shared" si="1"/>
        <v>2.0998354787493199</v>
      </c>
      <c r="F36">
        <f t="shared" si="2"/>
        <v>0.26329162868467376</v>
      </c>
    </row>
    <row r="37" spans="1:6" x14ac:dyDescent="0.35">
      <c r="A37" s="9">
        <v>45003</v>
      </c>
      <c r="B37" s="8">
        <v>518.9394736842105</v>
      </c>
      <c r="C37">
        <f t="shared" si="3"/>
        <v>537.0238366048186</v>
      </c>
      <c r="D37">
        <f t="shared" si="0"/>
        <v>-18.0843629206081</v>
      </c>
      <c r="E37">
        <f t="shared" si="1"/>
        <v>327.04418224426513</v>
      </c>
      <c r="F37">
        <f t="shared" si="2"/>
        <v>3.4848693995502362</v>
      </c>
    </row>
    <row r="38" spans="1:6" x14ac:dyDescent="0.35">
      <c r="A38" s="9">
        <v>45034</v>
      </c>
      <c r="B38" s="8">
        <v>517.33571428571429</v>
      </c>
      <c r="C38">
        <f t="shared" si="3"/>
        <v>528.16418156122177</v>
      </c>
      <c r="D38">
        <f t="shared" si="0"/>
        <v>-10.828467275507478</v>
      </c>
      <c r="E38">
        <f t="shared" si="1"/>
        <v>117.25570353673635</v>
      </c>
      <c r="F38">
        <f t="shared" si="2"/>
        <v>2.0931219276941566</v>
      </c>
    </row>
    <row r="39" spans="1:6" x14ac:dyDescent="0.35">
      <c r="A39" s="9">
        <v>45064</v>
      </c>
      <c r="B39" s="8">
        <v>538.81818181818176</v>
      </c>
      <c r="C39">
        <f t="shared" si="3"/>
        <v>532.95848167685381</v>
      </c>
      <c r="D39">
        <f t="shared" si="0"/>
        <v>5.8597001413279486</v>
      </c>
      <c r="E39">
        <f t="shared" si="1"/>
        <v>34.336085746278783</v>
      </c>
      <c r="F39">
        <f t="shared" si="2"/>
        <v>1.0875097275958738</v>
      </c>
    </row>
    <row r="40" spans="1:6" x14ac:dyDescent="0.35">
      <c r="A40" s="9">
        <v>45095</v>
      </c>
      <c r="B40" s="8">
        <v>525.92857142857156</v>
      </c>
      <c r="C40">
        <f t="shared" si="3"/>
        <v>529.79502206512689</v>
      </c>
      <c r="D40">
        <f t="shared" si="0"/>
        <v>-3.8664506365553279</v>
      </c>
      <c r="E40">
        <f t="shared" si="1"/>
        <v>14.949440524919101</v>
      </c>
      <c r="F40">
        <f t="shared" si="2"/>
        <v>0.73516649343711227</v>
      </c>
    </row>
    <row r="41" spans="1:6" x14ac:dyDescent="0.35">
      <c r="A41" s="9">
        <v>45125</v>
      </c>
      <c r="B41" s="8">
        <v>531.80227272727268</v>
      </c>
      <c r="C41">
        <f t="shared" si="3"/>
        <v>530.69828486309257</v>
      </c>
      <c r="D41">
        <f t="shared" si="0"/>
        <v>1.1039878641801124</v>
      </c>
      <c r="E41">
        <f t="shared" si="1"/>
        <v>1.2187892042569664</v>
      </c>
      <c r="F41">
        <f t="shared" si="2"/>
        <v>0.20759367170780726</v>
      </c>
    </row>
    <row r="42" spans="1:6" x14ac:dyDescent="0.35">
      <c r="A42" s="9">
        <v>45156</v>
      </c>
      <c r="B42" s="8">
        <v>617.21428571428567</v>
      </c>
      <c r="C42">
        <f t="shared" si="3"/>
        <v>569.63048524612952</v>
      </c>
      <c r="D42">
        <f t="shared" si="0"/>
        <v>47.583800468156142</v>
      </c>
      <c r="E42">
        <f t="shared" si="1"/>
        <v>2264.2180669932968</v>
      </c>
      <c r="F42">
        <f t="shared" si="2"/>
        <v>7.7094457418607334</v>
      </c>
    </row>
    <row r="43" spans="1:6" x14ac:dyDescent="0.35">
      <c r="A43" s="9">
        <v>45187</v>
      </c>
      <c r="B43" s="8">
        <v>625.21388888888896</v>
      </c>
      <c r="C43">
        <f t="shared" si="3"/>
        <v>594.64301688537125</v>
      </c>
      <c r="D43">
        <f t="shared" si="0"/>
        <v>30.570872003517707</v>
      </c>
      <c r="E43">
        <f t="shared" si="1"/>
        <v>934.57821505546269</v>
      </c>
      <c r="F43">
        <f t="shared" si="2"/>
        <v>4.8896661681408462</v>
      </c>
    </row>
    <row r="44" spans="1:6" x14ac:dyDescent="0.35">
      <c r="A44" s="9">
        <v>45217</v>
      </c>
      <c r="B44" s="8">
        <v>570.86904761904782</v>
      </c>
      <c r="C44">
        <f t="shared" si="3"/>
        <v>583.94473071552579</v>
      </c>
      <c r="D44">
        <f t="shared" si="0"/>
        <v>-13.075683096477974</v>
      </c>
      <c r="E44">
        <f t="shared" si="1"/>
        <v>170.97348843951983</v>
      </c>
      <c r="F44">
        <f t="shared" si="2"/>
        <v>2.2904873107087136</v>
      </c>
    </row>
    <row r="45" spans="1:6" x14ac:dyDescent="0.35">
      <c r="A45" s="9">
        <v>45248</v>
      </c>
      <c r="B45" s="8">
        <v>617.995</v>
      </c>
      <c r="C45">
        <f t="shared" si="3"/>
        <v>599.26735189353917</v>
      </c>
      <c r="D45">
        <f t="shared" si="0"/>
        <v>18.727648106460833</v>
      </c>
      <c r="E45">
        <f t="shared" si="1"/>
        <v>350.72480359942602</v>
      </c>
      <c r="F45">
        <f t="shared" si="2"/>
        <v>3.030388288976583</v>
      </c>
    </row>
    <row r="46" spans="1:6" x14ac:dyDescent="0.35">
      <c r="A46" s="9">
        <v>45278</v>
      </c>
      <c r="B46" s="8">
        <v>617.49249999999995</v>
      </c>
      <c r="C46">
        <f t="shared" si="3"/>
        <v>607.4686685414465</v>
      </c>
      <c r="D46">
        <f t="shared" si="0"/>
        <v>10.023831458553445</v>
      </c>
      <c r="E46">
        <f t="shared" si="1"/>
        <v>100.47719710948569</v>
      </c>
      <c r="F46">
        <f t="shared" si="2"/>
        <v>1.6233122602385366</v>
      </c>
    </row>
    <row r="47" spans="1:6" x14ac:dyDescent="0.35">
      <c r="A47" s="9">
        <v>44945</v>
      </c>
      <c r="B47" s="8">
        <v>658.07608695652186</v>
      </c>
      <c r="C47">
        <f t="shared" si="3"/>
        <v>630.24200682823039</v>
      </c>
      <c r="D47">
        <f t="shared" si="0"/>
        <v>27.834080128291475</v>
      </c>
      <c r="E47">
        <f t="shared" si="1"/>
        <v>774.73601658815039</v>
      </c>
      <c r="F47">
        <f t="shared" si="2"/>
        <v>4.2296142771299987</v>
      </c>
    </row>
    <row r="48" spans="1:6" x14ac:dyDescent="0.35">
      <c r="A48" s="9">
        <v>44976</v>
      </c>
      <c r="B48" s="8">
        <v>708.28250000000003</v>
      </c>
      <c r="C48">
        <f t="shared" si="3"/>
        <v>665.3602287555268</v>
      </c>
      <c r="D48">
        <f t="shared" si="0"/>
        <v>42.922271244473222</v>
      </c>
      <c r="E48">
        <f t="shared" si="1"/>
        <v>1842.3213687841328</v>
      </c>
      <c r="F48">
        <f t="shared" si="2"/>
        <v>6.0600496616072288</v>
      </c>
    </row>
    <row r="49" spans="1:6" x14ac:dyDescent="0.35">
      <c r="A49" s="9">
        <v>45004</v>
      </c>
      <c r="B49" s="8">
        <v>745.1736842105264</v>
      </c>
      <c r="C49">
        <f t="shared" si="3"/>
        <v>701.27628371027663</v>
      </c>
      <c r="D49">
        <f t="shared" si="0"/>
        <v>43.897400500249773</v>
      </c>
      <c r="E49">
        <f t="shared" si="1"/>
        <v>1926.981770679329</v>
      </c>
      <c r="F49">
        <f t="shared" si="2"/>
        <v>5.8908951604694462</v>
      </c>
    </row>
    <row r="50" spans="1:6" x14ac:dyDescent="0.35">
      <c r="A50" s="9">
        <v>45035</v>
      </c>
      <c r="B50" s="8">
        <v>760.46052631578959</v>
      </c>
      <c r="C50">
        <f t="shared" si="3"/>
        <v>727.90919288275745</v>
      </c>
      <c r="D50">
        <f t="shared" si="0"/>
        <v>32.551333433032141</v>
      </c>
      <c r="E50">
        <f t="shared" si="1"/>
        <v>1059.5893082684361</v>
      </c>
      <c r="F50">
        <f t="shared" si="2"/>
        <v>4.2804764095690668</v>
      </c>
    </row>
    <row r="51" spans="1:6" x14ac:dyDescent="0.35">
      <c r="A51" s="9">
        <v>45065</v>
      </c>
      <c r="B51" s="8">
        <v>764.25681818181829</v>
      </c>
      <c r="C51">
        <f t="shared" si="3"/>
        <v>744.26562426733494</v>
      </c>
      <c r="D51">
        <f t="shared" si="0"/>
        <v>19.991193914483347</v>
      </c>
      <c r="E51">
        <f t="shared" si="1"/>
        <v>399.64783412647603</v>
      </c>
      <c r="F51">
        <f t="shared" si="2"/>
        <v>2.6157691287652209</v>
      </c>
    </row>
    <row r="52" spans="1:6" x14ac:dyDescent="0.35">
      <c r="A52" s="9">
        <v>45096</v>
      </c>
      <c r="B52" s="8">
        <v>795.77368421052631</v>
      </c>
      <c r="C52">
        <f t="shared" si="3"/>
        <v>767.4442512417711</v>
      </c>
      <c r="D52">
        <f t="shared" si="0"/>
        <v>28.329432968755214</v>
      </c>
      <c r="E52">
        <f t="shared" si="1"/>
        <v>802.55677233119479</v>
      </c>
      <c r="F52">
        <f t="shared" si="2"/>
        <v>3.5599861532064061</v>
      </c>
    </row>
    <row r="53" spans="1:6" x14ac:dyDescent="0.35">
      <c r="A53" s="9">
        <v>45126</v>
      </c>
      <c r="B53" s="8">
        <v>754.36956521739114</v>
      </c>
      <c r="C53">
        <f t="shared" si="3"/>
        <v>761.56064253080012</v>
      </c>
      <c r="D53">
        <f t="shared" si="0"/>
        <v>-7.1910773134089823</v>
      </c>
      <c r="E53">
        <f t="shared" si="1"/>
        <v>51.711592927425343</v>
      </c>
      <c r="F53">
        <f t="shared" si="2"/>
        <v>0.95325655288554578</v>
      </c>
    </row>
    <row r="54" spans="1:6" x14ac:dyDescent="0.35">
      <c r="A54" s="9">
        <v>45157</v>
      </c>
      <c r="B54" s="8">
        <v>668.53750000000002</v>
      </c>
      <c r="C54">
        <f t="shared" si="3"/>
        <v>719.70022839194007</v>
      </c>
      <c r="D54">
        <f t="shared" si="0"/>
        <v>-51.16272839194005</v>
      </c>
      <c r="E54">
        <f t="shared" si="1"/>
        <v>2617.6247765074286</v>
      </c>
      <c r="F54">
        <f t="shared" si="2"/>
        <v>7.6529332149565352</v>
      </c>
    </row>
    <row r="55" spans="1:6" x14ac:dyDescent="0.35">
      <c r="A55" s="9">
        <v>45188</v>
      </c>
      <c r="B55" s="8">
        <v>673.30263157894728</v>
      </c>
      <c r="C55">
        <f t="shared" si="3"/>
        <v>698.82130982609328</v>
      </c>
      <c r="D55">
        <f t="shared" si="0"/>
        <v>-25.518678247145999</v>
      </c>
      <c r="E55">
        <f t="shared" si="1"/>
        <v>651.20293948136236</v>
      </c>
      <c r="F55">
        <f t="shared" si="2"/>
        <v>3.7900755247759399</v>
      </c>
    </row>
    <row r="56" spans="1:6" x14ac:dyDescent="0.35">
      <c r="A56" s="9">
        <v>45218</v>
      </c>
      <c r="B56" s="8">
        <v>698.61750000000006</v>
      </c>
      <c r="C56">
        <f t="shared" si="3"/>
        <v>698.72959540435136</v>
      </c>
      <c r="D56">
        <f t="shared" si="0"/>
        <v>-0.11209540435129384</v>
      </c>
      <c r="E56">
        <f t="shared" si="1"/>
        <v>1.2565379676680066E-2</v>
      </c>
      <c r="F56">
        <f t="shared" si="2"/>
        <v>1.6045318697469477E-2</v>
      </c>
    </row>
    <row r="57" spans="1:6" x14ac:dyDescent="0.35">
      <c r="A57" s="9">
        <v>45249</v>
      </c>
      <c r="B57" s="8">
        <v>737.63499999999988</v>
      </c>
      <c r="C57">
        <f t="shared" si="3"/>
        <v>716.23702747239327</v>
      </c>
      <c r="D57">
        <f t="shared" si="0"/>
        <v>21.397972527606612</v>
      </c>
      <c r="E57">
        <f t="shared" si="1"/>
        <v>457.87322829220727</v>
      </c>
      <c r="F57">
        <f t="shared" si="2"/>
        <v>2.9008889935546192</v>
      </c>
    </row>
    <row r="58" spans="1:6" x14ac:dyDescent="0.35">
      <c r="A58" s="9">
        <v>45279</v>
      </c>
      <c r="B58" s="8">
        <v>738.50238095238092</v>
      </c>
      <c r="C58">
        <f t="shared" si="3"/>
        <v>726.25643653838779</v>
      </c>
      <c r="D58">
        <f t="shared" si="0"/>
        <v>12.245944413993129</v>
      </c>
      <c r="E58">
        <f t="shared" si="1"/>
        <v>149.96315459060952</v>
      </c>
      <c r="F58">
        <f t="shared" si="2"/>
        <v>1.6582132610324998</v>
      </c>
    </row>
    <row r="59" spans="1:6" x14ac:dyDescent="0.35">
      <c r="A59" s="9">
        <v>44946</v>
      </c>
      <c r="B59" s="8">
        <v>734.97608695652173</v>
      </c>
      <c r="C59">
        <f t="shared" si="3"/>
        <v>730.18027922654812</v>
      </c>
      <c r="D59">
        <f t="shared" si="0"/>
        <v>4.7958077299736033</v>
      </c>
      <c r="E59">
        <f t="shared" si="1"/>
        <v>22.999771782874564</v>
      </c>
      <c r="F59">
        <f t="shared" si="2"/>
        <v>0.65251207693472946</v>
      </c>
    </row>
    <row r="60" spans="1:6" x14ac:dyDescent="0.35">
      <c r="A60" s="9">
        <v>44977</v>
      </c>
      <c r="B60" s="8">
        <v>732.16499999999985</v>
      </c>
      <c r="C60">
        <f t="shared" si="3"/>
        <v>731.07340357460134</v>
      </c>
      <c r="D60">
        <f t="shared" si="0"/>
        <v>1.0915964253985067</v>
      </c>
      <c r="E60">
        <f t="shared" si="1"/>
        <v>1.1915827559427976</v>
      </c>
      <c r="F60">
        <f t="shared" si="2"/>
        <v>0.14909158801615852</v>
      </c>
    </row>
    <row r="61" spans="1:6" x14ac:dyDescent="0.35">
      <c r="A61" s="9">
        <v>45005</v>
      </c>
      <c r="B61" s="8">
        <v>497.98809523809524</v>
      </c>
      <c r="C61">
        <f t="shared" si="3"/>
        <v>626.18501482317367</v>
      </c>
      <c r="D61">
        <f t="shared" si="0"/>
        <v>-128.19691958507843</v>
      </c>
      <c r="E61">
        <f t="shared" si="1"/>
        <v>16434.450191103067</v>
      </c>
      <c r="F61">
        <f t="shared" si="2"/>
        <v>25.742968719721233</v>
      </c>
    </row>
    <row r="62" spans="1:6" x14ac:dyDescent="0.35">
      <c r="A62" s="9">
        <v>45036</v>
      </c>
      <c r="B62" s="8">
        <v>418.36388888888882</v>
      </c>
      <c r="C62">
        <f t="shared" si="3"/>
        <v>532.66550815274559</v>
      </c>
      <c r="D62">
        <f t="shared" si="0"/>
        <v>-114.30161926385676</v>
      </c>
      <c r="E62">
        <f t="shared" si="1"/>
        <v>13064.860166339671</v>
      </c>
      <c r="F62">
        <f t="shared" si="2"/>
        <v>27.321100673249919</v>
      </c>
    </row>
    <row r="63" spans="1:6" x14ac:dyDescent="0.35">
      <c r="A63" s="9">
        <v>45066</v>
      </c>
      <c r="B63" s="8">
        <v>379.2157894736842</v>
      </c>
      <c r="C63">
        <f t="shared" si="3"/>
        <v>463.61313474716803</v>
      </c>
      <c r="D63">
        <f t="shared" si="0"/>
        <v>-84.397345273483836</v>
      </c>
      <c r="E63">
        <f t="shared" si="1"/>
        <v>7122.9118892116448</v>
      </c>
      <c r="F63">
        <f t="shared" si="2"/>
        <v>22.255757174726138</v>
      </c>
    </row>
    <row r="64" spans="1:6" x14ac:dyDescent="0.35">
      <c r="A64" s="9">
        <v>45097</v>
      </c>
      <c r="B64" s="8">
        <v>411.59545454545446</v>
      </c>
      <c r="C64">
        <f t="shared" si="3"/>
        <v>440.20517865639692</v>
      </c>
      <c r="D64">
        <f t="shared" si="0"/>
        <v>-28.609724110942466</v>
      </c>
      <c r="E64">
        <f t="shared" si="1"/>
        <v>818.51631370424263</v>
      </c>
      <c r="F64">
        <f t="shared" si="2"/>
        <v>6.9509329597766385</v>
      </c>
    </row>
    <row r="65" spans="1:6" x14ac:dyDescent="0.35">
      <c r="A65" s="9">
        <v>45127</v>
      </c>
      <c r="B65" s="8">
        <v>438.60217391304343</v>
      </c>
      <c r="C65">
        <f t="shared" si="3"/>
        <v>439.48382652188786</v>
      </c>
      <c r="D65">
        <f t="shared" si="0"/>
        <v>-0.88165260884443342</v>
      </c>
      <c r="E65">
        <f t="shared" si="1"/>
        <v>0.77731132268219549</v>
      </c>
      <c r="F65">
        <f t="shared" si="2"/>
        <v>0.2010141903718034</v>
      </c>
    </row>
    <row r="66" spans="1:6" x14ac:dyDescent="0.35">
      <c r="A66" s="9">
        <v>45158</v>
      </c>
      <c r="B66" s="8">
        <v>447.87619047619046</v>
      </c>
      <c r="C66">
        <f t="shared" si="3"/>
        <v>443.26039030132404</v>
      </c>
      <c r="D66">
        <f t="shared" si="0"/>
        <v>4.6158001748664219</v>
      </c>
      <c r="E66">
        <f t="shared" si="1"/>
        <v>21.305611254296892</v>
      </c>
      <c r="F66">
        <f t="shared" si="2"/>
        <v>1.0305973554787129</v>
      </c>
    </row>
    <row r="67" spans="1:6" x14ac:dyDescent="0.35">
      <c r="A67" s="9">
        <v>45189</v>
      </c>
      <c r="B67" s="8">
        <v>441.55909090909086</v>
      </c>
      <c r="C67">
        <f t="shared" si="3"/>
        <v>442.49480557481911</v>
      </c>
      <c r="D67">
        <f t="shared" si="0"/>
        <v>-0.93571466572825557</v>
      </c>
      <c r="E67">
        <f t="shared" si="1"/>
        <v>0.87556193565894103</v>
      </c>
      <c r="F67">
        <f t="shared" si="2"/>
        <v>0.21191153913325328</v>
      </c>
    </row>
    <row r="68" spans="1:6" x14ac:dyDescent="0.35">
      <c r="A68" s="9">
        <v>45219</v>
      </c>
      <c r="B68" s="8">
        <v>478.31190476190483</v>
      </c>
      <c r="C68">
        <f t="shared" si="3"/>
        <v>458.61250020900769</v>
      </c>
      <c r="D68">
        <f t="shared" ref="D68:D85" si="4">B68-C68</f>
        <v>19.699404552897136</v>
      </c>
      <c r="E68">
        <f t="shared" ref="E68:E85" si="5">D68*D68</f>
        <v>388.06653973870442</v>
      </c>
      <c r="F68">
        <f t="shared" ref="F68:F85" si="6">ABS(D68)/B68*100</f>
        <v>4.118526918685653</v>
      </c>
    </row>
    <row r="69" spans="1:6" x14ac:dyDescent="0.35">
      <c r="A69" s="9">
        <v>45250</v>
      </c>
      <c r="B69" s="8">
        <v>587.86</v>
      </c>
      <c r="C69">
        <f t="shared" si="3"/>
        <v>516.77387511495431</v>
      </c>
      <c r="D69">
        <f t="shared" si="4"/>
        <v>71.086124885045706</v>
      </c>
      <c r="E69">
        <f t="shared" si="5"/>
        <v>5053.237151172314</v>
      </c>
      <c r="F69">
        <f t="shared" si="6"/>
        <v>12.09235615368382</v>
      </c>
    </row>
    <row r="70" spans="1:6" x14ac:dyDescent="0.35">
      <c r="A70" s="9">
        <v>45280</v>
      </c>
      <c r="B70" s="8">
        <v>611.62045454545466</v>
      </c>
      <c r="C70">
        <f t="shared" ref="C70:C85" si="7">B70*$P$5+(1-$P$5)*C69</f>
        <v>559.45483585867942</v>
      </c>
      <c r="D70">
        <f t="shared" si="4"/>
        <v>52.165618686775247</v>
      </c>
      <c r="E70">
        <f t="shared" si="5"/>
        <v>2721.2517729740348</v>
      </c>
      <c r="F70">
        <f t="shared" si="6"/>
        <v>8.5290834044364647</v>
      </c>
    </row>
    <row r="71" spans="1:6" x14ac:dyDescent="0.35">
      <c r="A71" s="9">
        <v>44947</v>
      </c>
      <c r="B71" s="8">
        <v>661.91250000000002</v>
      </c>
      <c r="C71">
        <f t="shared" si="7"/>
        <v>605.56078472227375</v>
      </c>
      <c r="D71">
        <f t="shared" si="4"/>
        <v>56.351715277726271</v>
      </c>
      <c r="E71">
        <f t="shared" si="5"/>
        <v>3175.5158147419284</v>
      </c>
      <c r="F71">
        <f t="shared" si="6"/>
        <v>8.5134689672315105</v>
      </c>
    </row>
    <row r="72" spans="1:6" x14ac:dyDescent="0.35">
      <c r="A72" s="9">
        <v>44978</v>
      </c>
      <c r="B72" s="8">
        <v>743.92499999999995</v>
      </c>
      <c r="C72">
        <f t="shared" si="7"/>
        <v>667.82468159725067</v>
      </c>
      <c r="D72">
        <f t="shared" si="4"/>
        <v>76.100318402749281</v>
      </c>
      <c r="E72">
        <f t="shared" si="5"/>
        <v>5791.2584609998212</v>
      </c>
      <c r="F72">
        <f t="shared" si="6"/>
        <v>10.229568626239107</v>
      </c>
    </row>
    <row r="73" spans="1:6" x14ac:dyDescent="0.35">
      <c r="A73" s="9">
        <v>45006</v>
      </c>
      <c r="B73" s="8">
        <v>727.39047619047631</v>
      </c>
      <c r="C73">
        <f t="shared" si="7"/>
        <v>694.62928916420219</v>
      </c>
      <c r="D73">
        <f t="shared" si="4"/>
        <v>32.761187026274115</v>
      </c>
      <c r="E73">
        <f t="shared" si="5"/>
        <v>1073.2953753705115</v>
      </c>
      <c r="F73">
        <f t="shared" si="6"/>
        <v>4.5039340077495309</v>
      </c>
    </row>
    <row r="74" spans="1:6" x14ac:dyDescent="0.35">
      <c r="A74" s="9">
        <v>45037</v>
      </c>
      <c r="B74" s="8">
        <v>680.06578947368416</v>
      </c>
      <c r="C74">
        <f t="shared" si="7"/>
        <v>688.07571430346911</v>
      </c>
      <c r="D74">
        <f t="shared" si="4"/>
        <v>-8.0099248297849499</v>
      </c>
      <c r="E74">
        <f t="shared" si="5"/>
        <v>64.158895778805459</v>
      </c>
      <c r="F74">
        <f t="shared" si="6"/>
        <v>1.1778161692244487</v>
      </c>
    </row>
    <row r="75" spans="1:6" x14ac:dyDescent="0.35">
      <c r="A75" s="9">
        <v>45067</v>
      </c>
      <c r="B75" s="8">
        <v>718.745</v>
      </c>
      <c r="C75">
        <f t="shared" si="7"/>
        <v>701.87689286690807</v>
      </c>
      <c r="D75">
        <f t="shared" si="4"/>
        <v>16.868107133091939</v>
      </c>
      <c r="E75">
        <f t="shared" si="5"/>
        <v>284.53303825346717</v>
      </c>
      <c r="F75">
        <f t="shared" si="6"/>
        <v>2.3468834055321341</v>
      </c>
    </row>
    <row r="76" spans="1:6" x14ac:dyDescent="0.35">
      <c r="A76" s="9">
        <v>45098</v>
      </c>
      <c r="B76" s="8">
        <v>744.45454545454538</v>
      </c>
      <c r="C76">
        <f t="shared" si="7"/>
        <v>721.03683653134499</v>
      </c>
      <c r="D76">
        <f t="shared" si="4"/>
        <v>23.417708923200394</v>
      </c>
      <c r="E76">
        <f t="shared" si="5"/>
        <v>548.38909121173936</v>
      </c>
      <c r="F76">
        <f t="shared" si="6"/>
        <v>3.1456197112615012</v>
      </c>
    </row>
    <row r="77" spans="1:6" x14ac:dyDescent="0.35">
      <c r="A77" s="9">
        <v>45128</v>
      </c>
      <c r="B77" s="8">
        <v>750.4904761904761</v>
      </c>
      <c r="C77">
        <f t="shared" si="7"/>
        <v>734.29097437795406</v>
      </c>
      <c r="D77">
        <f t="shared" si="4"/>
        <v>16.199501812522044</v>
      </c>
      <c r="E77">
        <f t="shared" si="5"/>
        <v>262.423858973905</v>
      </c>
      <c r="F77">
        <f t="shared" si="6"/>
        <v>2.1585219701589624</v>
      </c>
    </row>
    <row r="78" spans="1:6" x14ac:dyDescent="0.35">
      <c r="A78" s="9">
        <v>45159</v>
      </c>
      <c r="B78" s="8">
        <v>752.52380952380952</v>
      </c>
      <c r="C78">
        <f t="shared" si="7"/>
        <v>742.49575019358906</v>
      </c>
      <c r="D78">
        <f t="shared" si="4"/>
        <v>10.028059330220458</v>
      </c>
      <c r="E78">
        <f t="shared" si="5"/>
        <v>100.56197393042157</v>
      </c>
      <c r="F78">
        <f t="shared" si="6"/>
        <v>1.3325903052245121</v>
      </c>
    </row>
    <row r="79" spans="1:6" x14ac:dyDescent="0.35">
      <c r="A79" s="9">
        <v>45190</v>
      </c>
      <c r="B79" s="8">
        <v>794.37142857142851</v>
      </c>
      <c r="C79">
        <f t="shared" si="7"/>
        <v>765.83980546361681</v>
      </c>
      <c r="D79">
        <f t="shared" si="4"/>
        <v>28.531623107811697</v>
      </c>
      <c r="E79">
        <f t="shared" si="5"/>
        <v>814.05351716621442</v>
      </c>
      <c r="F79">
        <f t="shared" si="6"/>
        <v>3.5917232268942541</v>
      </c>
    </row>
    <row r="80" spans="1:6" x14ac:dyDescent="0.35">
      <c r="A80" s="9">
        <v>45220</v>
      </c>
      <c r="B80" s="8">
        <v>793.39</v>
      </c>
      <c r="C80">
        <f t="shared" si="7"/>
        <v>778.23739300498937</v>
      </c>
      <c r="D80">
        <f t="shared" si="4"/>
        <v>15.152606995010615</v>
      </c>
      <c r="E80">
        <f t="shared" si="5"/>
        <v>229.60149874524461</v>
      </c>
      <c r="F80">
        <f t="shared" si="6"/>
        <v>1.9098560600726775</v>
      </c>
    </row>
    <row r="81" spans="1:6" x14ac:dyDescent="0.35">
      <c r="A81" s="9">
        <v>45251</v>
      </c>
      <c r="B81" s="8">
        <v>715.75</v>
      </c>
      <c r="C81">
        <f t="shared" si="7"/>
        <v>750.11806615274418</v>
      </c>
      <c r="D81">
        <f t="shared" si="4"/>
        <v>-34.368066152744177</v>
      </c>
      <c r="E81">
        <f t="shared" si="5"/>
        <v>1181.1639710794</v>
      </c>
      <c r="F81">
        <f t="shared" si="6"/>
        <v>4.8016858054829452</v>
      </c>
    </row>
    <row r="82" spans="1:6" x14ac:dyDescent="0.35">
      <c r="A82" s="9">
        <v>45281</v>
      </c>
      <c r="B82" s="8">
        <v>682.83478260869572</v>
      </c>
      <c r="C82">
        <f t="shared" si="7"/>
        <v>719.8405885579225</v>
      </c>
      <c r="D82">
        <f t="shared" si="4"/>
        <v>-37.005805949226783</v>
      </c>
      <c r="E82">
        <f t="shared" si="5"/>
        <v>1369.4296739518284</v>
      </c>
      <c r="F82">
        <f t="shared" si="6"/>
        <v>5.4194377456652312</v>
      </c>
    </row>
    <row r="83" spans="1:6" x14ac:dyDescent="0.35">
      <c r="A83" s="9">
        <v>44948</v>
      </c>
      <c r="B83" s="8">
        <v>733.29250000000002</v>
      </c>
      <c r="C83">
        <f t="shared" si="7"/>
        <v>725.89394870685737</v>
      </c>
      <c r="D83">
        <f t="shared" si="4"/>
        <v>7.3985512931426456</v>
      </c>
      <c r="E83">
        <f t="shared" si="5"/>
        <v>54.738561237262715</v>
      </c>
      <c r="F83">
        <f t="shared" si="6"/>
        <v>1.0089495383005616</v>
      </c>
    </row>
    <row r="84" spans="1:6" x14ac:dyDescent="0.35">
      <c r="A84" s="9">
        <v>44979</v>
      </c>
      <c r="B84" s="8">
        <v>785.16</v>
      </c>
      <c r="C84">
        <f t="shared" si="7"/>
        <v>752.56367178877167</v>
      </c>
      <c r="D84">
        <f t="shared" si="4"/>
        <v>32.596328211228297</v>
      </c>
      <c r="E84">
        <f t="shared" si="5"/>
        <v>1062.5206128541176</v>
      </c>
      <c r="F84">
        <f t="shared" si="6"/>
        <v>4.1515523219761956</v>
      </c>
    </row>
    <row r="85" spans="1:6" x14ac:dyDescent="0.35">
      <c r="A85" s="9">
        <v>45007</v>
      </c>
      <c r="B85" s="8">
        <v>716.19749999999999</v>
      </c>
      <c r="C85">
        <f t="shared" si="7"/>
        <v>736.19889448382446</v>
      </c>
      <c r="D85">
        <f t="shared" si="4"/>
        <v>-20.00139448382447</v>
      </c>
      <c r="E85">
        <f t="shared" si="5"/>
        <v>400.05578129756395</v>
      </c>
      <c r="F85">
        <f t="shared" si="6"/>
        <v>2.7927205112869662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21F5-0A06-4B0F-8E42-1885E299A71B}">
  <dimension ref="A1:P85"/>
  <sheetViews>
    <sheetView topLeftCell="B1" workbookViewId="0">
      <selection activeCell="I5" sqref="I5:J5"/>
    </sheetView>
  </sheetViews>
  <sheetFormatPr defaultRowHeight="14.5" x14ac:dyDescent="0.35"/>
  <cols>
    <col min="6" max="6" width="12.6328125" customWidth="1"/>
  </cols>
  <sheetData>
    <row r="1" spans="1:16" x14ac:dyDescent="0.35">
      <c r="A1" t="s">
        <v>28</v>
      </c>
      <c r="B1" t="s">
        <v>29</v>
      </c>
      <c r="C1" t="s">
        <v>30</v>
      </c>
      <c r="D1" t="s">
        <v>31</v>
      </c>
      <c r="E1" t="s">
        <v>33</v>
      </c>
      <c r="F1" t="s">
        <v>32</v>
      </c>
    </row>
    <row r="2" spans="1:16" x14ac:dyDescent="0.35">
      <c r="A2" s="9">
        <v>45031</v>
      </c>
      <c r="B2" s="8">
        <v>548.38421052631577</v>
      </c>
      <c r="C2">
        <f>B2*P5</f>
        <v>274.19210526315788</v>
      </c>
      <c r="D2">
        <f>B2-C2</f>
        <v>274.19210526315788</v>
      </c>
      <c r="E2">
        <f>D2*D2</f>
        <v>75181.310588642649</v>
      </c>
      <c r="F2">
        <f>ABS(D2)/B2*100</f>
        <v>50</v>
      </c>
      <c r="I2" t="s">
        <v>38</v>
      </c>
      <c r="J2">
        <f>SUM(E:E)/84</f>
        <v>2050.0368149277369</v>
      </c>
    </row>
    <row r="3" spans="1:16" x14ac:dyDescent="0.35">
      <c r="A3" s="9">
        <v>45061</v>
      </c>
      <c r="B3" s="8">
        <v>559.79999999999995</v>
      </c>
      <c r="C3">
        <f>B3*$P$5+(1-$P$5)*C2</f>
        <v>416.99605263157889</v>
      </c>
      <c r="D3">
        <f>B3-C3</f>
        <v>142.80394736842106</v>
      </c>
      <c r="E3">
        <f>D3*D3</f>
        <v>20392.967384002772</v>
      </c>
      <c r="F3">
        <f>ABS(D3)/B3*100</f>
        <v>25.50981553562363</v>
      </c>
      <c r="I3" t="s">
        <v>37</v>
      </c>
      <c r="J3">
        <f>SQRT(J2)</f>
        <v>45.277332241727059</v>
      </c>
    </row>
    <row r="4" spans="1:16" x14ac:dyDescent="0.35">
      <c r="A4" s="9">
        <v>45092</v>
      </c>
      <c r="B4" s="8">
        <v>558.47499999999991</v>
      </c>
      <c r="C4">
        <f>B4*$P$5+(1-$P$5)*C3</f>
        <v>487.7355263157894</v>
      </c>
      <c r="D4">
        <f t="shared" ref="D4:D67" si="0">B4-C4</f>
        <v>70.739473684210509</v>
      </c>
      <c r="E4">
        <f t="shared" ref="E4:E67" si="1">D4*D4</f>
        <v>5004.0731371191114</v>
      </c>
      <c r="F4">
        <f t="shared" ref="F4:F67" si="2">ABS(D4)/B4*100</f>
        <v>12.666542581890061</v>
      </c>
      <c r="I4" t="s">
        <v>39</v>
      </c>
      <c r="J4">
        <f>SUM(F:F)/84</f>
        <v>4.7895327552791871</v>
      </c>
    </row>
    <row r="5" spans="1:16" x14ac:dyDescent="0.35">
      <c r="A5" s="9">
        <v>45122</v>
      </c>
      <c r="B5" s="8">
        <v>581.22173913043491</v>
      </c>
      <c r="C5">
        <f>B5*$P$5+(1-$P$5)*C4</f>
        <v>534.47863272311213</v>
      </c>
      <c r="D5">
        <f t="shared" si="0"/>
        <v>46.743106407322784</v>
      </c>
      <c r="E5">
        <f t="shared" si="1"/>
        <v>2184.9179966063002</v>
      </c>
      <c r="F5">
        <f t="shared" si="2"/>
        <v>8.0422157776230261</v>
      </c>
      <c r="I5" s="8" t="s">
        <v>35</v>
      </c>
      <c r="J5" s="8">
        <f>100-J4</f>
        <v>95.210467244720817</v>
      </c>
      <c r="P5">
        <v>0.5</v>
      </c>
    </row>
    <row r="6" spans="1:16" x14ac:dyDescent="0.35">
      <c r="A6" s="9">
        <v>45153</v>
      </c>
      <c r="B6" s="8">
        <v>546.95238095238096</v>
      </c>
      <c r="C6">
        <f t="shared" ref="C6:C69" si="3">B6*$P$5+(1-$P$5)*C5</f>
        <v>540.71550683774649</v>
      </c>
      <c r="D6">
        <f t="shared" si="0"/>
        <v>6.2368741146344746</v>
      </c>
      <c r="E6">
        <f t="shared" si="1"/>
        <v>38.898598721797562</v>
      </c>
      <c r="F6">
        <f t="shared" si="2"/>
        <v>1.1402956330082183</v>
      </c>
    </row>
    <row r="7" spans="1:16" x14ac:dyDescent="0.35">
      <c r="A7" s="9">
        <v>45184</v>
      </c>
      <c r="B7" s="8">
        <v>491.81499999999994</v>
      </c>
      <c r="C7">
        <f t="shared" si="3"/>
        <v>516.26525341887327</v>
      </c>
      <c r="D7">
        <f t="shared" si="0"/>
        <v>-24.450253418873331</v>
      </c>
      <c r="E7">
        <f t="shared" si="1"/>
        <v>597.81489224712698</v>
      </c>
      <c r="F7">
        <f t="shared" si="2"/>
        <v>4.9714330426833939</v>
      </c>
    </row>
    <row r="8" spans="1:16" x14ac:dyDescent="0.35">
      <c r="A8" s="9">
        <v>45214</v>
      </c>
      <c r="B8" s="8">
        <v>499.74999999999989</v>
      </c>
      <c r="C8">
        <f t="shared" si="3"/>
        <v>508.00762670943658</v>
      </c>
      <c r="D8">
        <f t="shared" si="0"/>
        <v>-8.2576267094366926</v>
      </c>
      <c r="E8">
        <f t="shared" si="1"/>
        <v>68.18839887240226</v>
      </c>
      <c r="F8">
        <f t="shared" si="2"/>
        <v>1.6523515176461618</v>
      </c>
    </row>
    <row r="9" spans="1:16" x14ac:dyDescent="0.35">
      <c r="A9" s="9">
        <v>45245</v>
      </c>
      <c r="B9" s="8">
        <v>469.91842105263163</v>
      </c>
      <c r="C9">
        <f t="shared" si="3"/>
        <v>488.96302388103413</v>
      </c>
      <c r="D9">
        <f t="shared" si="0"/>
        <v>-19.044602828402503</v>
      </c>
      <c r="E9">
        <f t="shared" si="1"/>
        <v>362.69689689159662</v>
      </c>
      <c r="F9">
        <f t="shared" si="2"/>
        <v>4.0527465992378016</v>
      </c>
    </row>
    <row r="10" spans="1:16" x14ac:dyDescent="0.35">
      <c r="A10" s="9">
        <v>45275</v>
      </c>
      <c r="B10" s="8">
        <v>449.53636363636366</v>
      </c>
      <c r="C10">
        <f t="shared" si="3"/>
        <v>469.24969375869887</v>
      </c>
      <c r="D10">
        <f t="shared" si="0"/>
        <v>-19.713330122335208</v>
      </c>
      <c r="E10">
        <f t="shared" si="1"/>
        <v>388.61538451216865</v>
      </c>
      <c r="F10">
        <f t="shared" si="2"/>
        <v>4.3852581719688422</v>
      </c>
    </row>
    <row r="11" spans="1:16" x14ac:dyDescent="0.35">
      <c r="A11" s="9">
        <v>44942</v>
      </c>
      <c r="B11" s="8">
        <v>410.53249999999991</v>
      </c>
      <c r="C11">
        <f t="shared" si="3"/>
        <v>439.89109687934939</v>
      </c>
      <c r="D11">
        <f t="shared" si="0"/>
        <v>-29.358596879349477</v>
      </c>
      <c r="E11">
        <f t="shared" si="1"/>
        <v>861.92721072414884</v>
      </c>
      <c r="F11">
        <f t="shared" si="2"/>
        <v>7.1513453573954511</v>
      </c>
    </row>
    <row r="12" spans="1:16" x14ac:dyDescent="0.35">
      <c r="A12" s="9">
        <v>44973</v>
      </c>
      <c r="B12" s="8">
        <v>392.84523809523807</v>
      </c>
      <c r="C12">
        <f t="shared" si="3"/>
        <v>416.3681674872937</v>
      </c>
      <c r="D12">
        <f t="shared" si="0"/>
        <v>-23.52292939205563</v>
      </c>
      <c r="E12">
        <f t="shared" si="1"/>
        <v>553.32820718363462</v>
      </c>
      <c r="F12">
        <f t="shared" si="2"/>
        <v>5.9878362039233703</v>
      </c>
    </row>
    <row r="13" spans="1:16" x14ac:dyDescent="0.35">
      <c r="A13" s="9">
        <v>45001</v>
      </c>
      <c r="B13" s="8">
        <v>423.7</v>
      </c>
      <c r="C13">
        <f t="shared" si="3"/>
        <v>420.03408374364687</v>
      </c>
      <c r="D13">
        <f t="shared" si="0"/>
        <v>3.665916256353114</v>
      </c>
      <c r="E13">
        <f t="shared" si="1"/>
        <v>13.43894199859403</v>
      </c>
      <c r="F13">
        <f t="shared" si="2"/>
        <v>0.8652150711241714</v>
      </c>
    </row>
    <row r="14" spans="1:16" x14ac:dyDescent="0.35">
      <c r="A14" s="9">
        <v>45032</v>
      </c>
      <c r="B14" s="8">
        <v>450.48333333333335</v>
      </c>
      <c r="C14">
        <f t="shared" si="3"/>
        <v>435.25870853849011</v>
      </c>
      <c r="D14">
        <f t="shared" si="0"/>
        <v>15.224624794843237</v>
      </c>
      <c r="E14">
        <f t="shared" si="1"/>
        <v>231.78920014375547</v>
      </c>
      <c r="F14">
        <f t="shared" si="2"/>
        <v>3.3796199921957681</v>
      </c>
    </row>
    <row r="15" spans="1:16" x14ac:dyDescent="0.35">
      <c r="A15" s="9">
        <v>45062</v>
      </c>
      <c r="B15" s="8">
        <v>490.16590909090917</v>
      </c>
      <c r="C15">
        <f t="shared" si="3"/>
        <v>462.71230881469967</v>
      </c>
      <c r="D15">
        <f t="shared" si="0"/>
        <v>27.453600276209499</v>
      </c>
      <c r="E15">
        <f t="shared" si="1"/>
        <v>753.70016812589029</v>
      </c>
      <c r="F15">
        <f t="shared" si="2"/>
        <v>5.6008791650008014</v>
      </c>
    </row>
    <row r="16" spans="1:16" x14ac:dyDescent="0.35">
      <c r="A16" s="9">
        <v>45093</v>
      </c>
      <c r="B16" s="8">
        <v>526.43409090909086</v>
      </c>
      <c r="C16">
        <f t="shared" si="3"/>
        <v>494.57319986189526</v>
      </c>
      <c r="D16">
        <f t="shared" si="0"/>
        <v>31.860891047195594</v>
      </c>
      <c r="E16">
        <f t="shared" si="1"/>
        <v>1015.1163783212684</v>
      </c>
      <c r="F16">
        <f t="shared" si="2"/>
        <v>6.052208927460514</v>
      </c>
    </row>
    <row r="17" spans="1:6" x14ac:dyDescent="0.35">
      <c r="A17" s="9">
        <v>45123</v>
      </c>
      <c r="B17" s="8">
        <v>550.19499999999994</v>
      </c>
      <c r="C17">
        <f t="shared" si="3"/>
        <v>522.38409993094763</v>
      </c>
      <c r="D17">
        <f t="shared" si="0"/>
        <v>27.810900069052309</v>
      </c>
      <c r="E17">
        <f t="shared" si="1"/>
        <v>773.44616265081368</v>
      </c>
      <c r="F17">
        <f t="shared" si="2"/>
        <v>5.0547351519101973</v>
      </c>
    </row>
    <row r="18" spans="1:6" x14ac:dyDescent="0.35">
      <c r="A18" s="9">
        <v>45154</v>
      </c>
      <c r="B18" s="8">
        <v>576.77045454545453</v>
      </c>
      <c r="C18">
        <f t="shared" si="3"/>
        <v>549.57727723820108</v>
      </c>
      <c r="D18">
        <f t="shared" si="0"/>
        <v>27.19317730725345</v>
      </c>
      <c r="E18">
        <f t="shared" si="1"/>
        <v>739.46889206372396</v>
      </c>
      <c r="F18">
        <f t="shared" si="2"/>
        <v>4.7147313273326468</v>
      </c>
    </row>
    <row r="19" spans="1:6" x14ac:dyDescent="0.35">
      <c r="A19" s="9">
        <v>45185</v>
      </c>
      <c r="B19" s="8">
        <v>586.88750000000005</v>
      </c>
      <c r="C19">
        <f t="shared" si="3"/>
        <v>568.23238861910056</v>
      </c>
      <c r="D19">
        <f t="shared" si="0"/>
        <v>18.655111380899484</v>
      </c>
      <c r="E19">
        <f t="shared" si="1"/>
        <v>348.01318063376544</v>
      </c>
      <c r="F19">
        <f t="shared" si="2"/>
        <v>3.1786520211964784</v>
      </c>
    </row>
    <row r="20" spans="1:6" x14ac:dyDescent="0.35">
      <c r="A20" s="9">
        <v>45215</v>
      </c>
      <c r="B20" s="8">
        <v>522.12894736842111</v>
      </c>
      <c r="C20">
        <f t="shared" si="3"/>
        <v>545.18066799376084</v>
      </c>
      <c r="D20">
        <f t="shared" si="0"/>
        <v>-23.051720625339726</v>
      </c>
      <c r="E20">
        <f t="shared" si="1"/>
        <v>531.38182378871295</v>
      </c>
      <c r="F20">
        <f t="shared" si="2"/>
        <v>4.4149478287925925</v>
      </c>
    </row>
    <row r="21" spans="1:6" x14ac:dyDescent="0.35">
      <c r="A21" s="9">
        <v>45246</v>
      </c>
      <c r="B21" s="8">
        <v>478.0928571428571</v>
      </c>
      <c r="C21">
        <f t="shared" si="3"/>
        <v>511.636762568309</v>
      </c>
      <c r="D21">
        <f t="shared" si="0"/>
        <v>-33.543905425451896</v>
      </c>
      <c r="E21">
        <f t="shared" si="1"/>
        <v>1125.1935911916612</v>
      </c>
      <c r="F21">
        <f t="shared" si="2"/>
        <v>7.0161904584633383</v>
      </c>
    </row>
    <row r="22" spans="1:6" x14ac:dyDescent="0.35">
      <c r="A22" s="9">
        <v>45276</v>
      </c>
      <c r="B22" s="8">
        <v>454.00909090909096</v>
      </c>
      <c r="C22">
        <f t="shared" si="3"/>
        <v>482.82292673869995</v>
      </c>
      <c r="D22">
        <f t="shared" si="0"/>
        <v>-28.81383582960899</v>
      </c>
      <c r="E22">
        <f t="shared" si="1"/>
        <v>830.23713521565878</v>
      </c>
      <c r="F22">
        <f t="shared" si="2"/>
        <v>6.3465327912076024</v>
      </c>
    </row>
    <row r="23" spans="1:6" x14ac:dyDescent="0.35">
      <c r="A23" s="9">
        <v>44943</v>
      </c>
      <c r="B23" s="8">
        <v>462.33809523809515</v>
      </c>
      <c r="C23">
        <f t="shared" si="3"/>
        <v>472.58051098839758</v>
      </c>
      <c r="D23">
        <f t="shared" si="0"/>
        <v>-10.242415750302428</v>
      </c>
      <c r="E23">
        <f t="shared" si="1"/>
        <v>104.90708040204323</v>
      </c>
      <c r="F23">
        <f t="shared" si="2"/>
        <v>2.2153518941647632</v>
      </c>
    </row>
    <row r="24" spans="1:6" x14ac:dyDescent="0.35">
      <c r="A24" s="9">
        <v>44974</v>
      </c>
      <c r="B24" s="8">
        <v>494.97105263157897</v>
      </c>
      <c r="C24">
        <f t="shared" si="3"/>
        <v>483.7757818099883</v>
      </c>
      <c r="D24">
        <f t="shared" si="0"/>
        <v>11.195270821590668</v>
      </c>
      <c r="E24">
        <f t="shared" si="1"/>
        <v>125.3340887687594</v>
      </c>
      <c r="F24">
        <f t="shared" si="2"/>
        <v>2.2618031422382243</v>
      </c>
    </row>
    <row r="25" spans="1:6" x14ac:dyDescent="0.35">
      <c r="A25" s="9">
        <v>45002</v>
      </c>
      <c r="B25" s="8">
        <v>504.42272727272717</v>
      </c>
      <c r="C25">
        <f t="shared" si="3"/>
        <v>494.09925454135771</v>
      </c>
      <c r="D25">
        <f t="shared" si="0"/>
        <v>10.323472731369463</v>
      </c>
      <c r="E25">
        <f t="shared" si="1"/>
        <v>106.57408923532888</v>
      </c>
      <c r="F25">
        <f t="shared" si="2"/>
        <v>2.046591514063135</v>
      </c>
    </row>
    <row r="26" spans="1:6" x14ac:dyDescent="0.35">
      <c r="A26" s="9">
        <v>45033</v>
      </c>
      <c r="B26" s="8">
        <v>504.74166666666656</v>
      </c>
      <c r="C26">
        <f t="shared" si="3"/>
        <v>499.42046060401213</v>
      </c>
      <c r="D26">
        <f t="shared" si="0"/>
        <v>5.3212060626544258</v>
      </c>
      <c r="E26">
        <f t="shared" si="1"/>
        <v>28.315233961230216</v>
      </c>
      <c r="F26">
        <f t="shared" si="2"/>
        <v>1.0542434702876575</v>
      </c>
    </row>
    <row r="27" spans="1:6" x14ac:dyDescent="0.35">
      <c r="A27" s="9">
        <v>45063</v>
      </c>
      <c r="B27" s="8">
        <v>507.28636363636366</v>
      </c>
      <c r="C27">
        <f t="shared" si="3"/>
        <v>503.3534121201879</v>
      </c>
      <c r="D27">
        <f t="shared" si="0"/>
        <v>3.9329515161757627</v>
      </c>
      <c r="E27">
        <f t="shared" si="1"/>
        <v>15.46810762858923</v>
      </c>
      <c r="F27">
        <f t="shared" si="2"/>
        <v>0.77529218171435155</v>
      </c>
    </row>
    <row r="28" spans="1:6" x14ac:dyDescent="0.35">
      <c r="A28" s="9">
        <v>45094</v>
      </c>
      <c r="B28" s="8">
        <v>509.19047619047626</v>
      </c>
      <c r="C28">
        <f t="shared" si="3"/>
        <v>506.27194415533211</v>
      </c>
      <c r="D28">
        <f t="shared" si="0"/>
        <v>2.9185320351441533</v>
      </c>
      <c r="E28">
        <f t="shared" si="1"/>
        <v>8.5178292401626727</v>
      </c>
      <c r="F28">
        <f t="shared" si="2"/>
        <v>0.57317097856567112</v>
      </c>
    </row>
    <row r="29" spans="1:6" x14ac:dyDescent="0.35">
      <c r="A29" s="9">
        <v>45124</v>
      </c>
      <c r="B29" s="8">
        <v>518.89285714285711</v>
      </c>
      <c r="C29">
        <f t="shared" si="3"/>
        <v>512.58240064909455</v>
      </c>
      <c r="D29">
        <f t="shared" si="0"/>
        <v>6.3104564937625582</v>
      </c>
      <c r="E29">
        <f t="shared" si="1"/>
        <v>39.821861159670043</v>
      </c>
      <c r="F29">
        <f t="shared" si="2"/>
        <v>1.216138631876603</v>
      </c>
    </row>
    <row r="30" spans="1:6" x14ac:dyDescent="0.35">
      <c r="A30" s="9">
        <v>45155</v>
      </c>
      <c r="B30" s="8">
        <v>500.74761904761897</v>
      </c>
      <c r="C30">
        <f t="shared" si="3"/>
        <v>506.66500984835676</v>
      </c>
      <c r="D30">
        <f t="shared" si="0"/>
        <v>-5.9173908007377918</v>
      </c>
      <c r="E30">
        <f t="shared" si="1"/>
        <v>35.015513888656244</v>
      </c>
      <c r="F30">
        <f t="shared" si="2"/>
        <v>1.1817112205130771</v>
      </c>
    </row>
    <row r="31" spans="1:6" x14ac:dyDescent="0.35">
      <c r="A31" s="9">
        <v>45186</v>
      </c>
      <c r="B31" s="8">
        <v>506.91666666666657</v>
      </c>
      <c r="C31">
        <f t="shared" si="3"/>
        <v>506.79083825751167</v>
      </c>
      <c r="D31">
        <f t="shared" si="0"/>
        <v>0.12582840915490578</v>
      </c>
      <c r="E31">
        <f t="shared" si="1"/>
        <v>1.5832788550454377E-2</v>
      </c>
      <c r="F31">
        <f t="shared" si="2"/>
        <v>2.4822306589821961E-2</v>
      </c>
    </row>
    <row r="32" spans="1:6" x14ac:dyDescent="0.35">
      <c r="A32" s="9">
        <v>45216</v>
      </c>
      <c r="B32" s="8">
        <v>496.07749999999999</v>
      </c>
      <c r="C32">
        <f t="shared" si="3"/>
        <v>501.4341691287558</v>
      </c>
      <c r="D32">
        <f t="shared" si="0"/>
        <v>-5.3566691287558115</v>
      </c>
      <c r="E32">
        <f t="shared" si="1"/>
        <v>28.693904154965544</v>
      </c>
      <c r="F32">
        <f t="shared" si="2"/>
        <v>1.0798048951536428</v>
      </c>
    </row>
    <row r="33" spans="1:6" x14ac:dyDescent="0.35">
      <c r="A33" s="9">
        <v>45247</v>
      </c>
      <c r="B33" s="8">
        <v>542.63636363636351</v>
      </c>
      <c r="C33">
        <f t="shared" si="3"/>
        <v>522.03526638255971</v>
      </c>
      <c r="D33">
        <f t="shared" si="0"/>
        <v>20.6010972538038</v>
      </c>
      <c r="E33">
        <f t="shared" si="1"/>
        <v>424.40520806068247</v>
      </c>
      <c r="F33">
        <f t="shared" si="2"/>
        <v>3.7964829919893091</v>
      </c>
    </row>
    <row r="34" spans="1:6" x14ac:dyDescent="0.35">
      <c r="A34" s="9">
        <v>45277</v>
      </c>
      <c r="B34" s="8">
        <v>544.88</v>
      </c>
      <c r="C34">
        <f t="shared" si="3"/>
        <v>533.45763319127991</v>
      </c>
      <c r="D34">
        <f t="shared" si="0"/>
        <v>11.422366808720085</v>
      </c>
      <c r="E34">
        <f t="shared" si="1"/>
        <v>130.47046351295026</v>
      </c>
      <c r="F34">
        <f t="shared" si="2"/>
        <v>2.0963086934224204</v>
      </c>
    </row>
    <row r="35" spans="1:6" x14ac:dyDescent="0.35">
      <c r="A35" s="9">
        <v>44944</v>
      </c>
      <c r="B35" s="8">
        <v>579.4818181818182</v>
      </c>
      <c r="C35">
        <f t="shared" si="3"/>
        <v>556.46972568654905</v>
      </c>
      <c r="D35">
        <f t="shared" si="0"/>
        <v>23.012092495269144</v>
      </c>
      <c r="E35">
        <f t="shared" si="1"/>
        <v>529.55640101082247</v>
      </c>
      <c r="F35">
        <f t="shared" si="2"/>
        <v>3.9711500470319967</v>
      </c>
    </row>
    <row r="36" spans="1:6" x14ac:dyDescent="0.35">
      <c r="A36" s="9">
        <v>44975</v>
      </c>
      <c r="B36" s="8">
        <v>550.37105263157889</v>
      </c>
      <c r="C36">
        <f t="shared" si="3"/>
        <v>553.42038915906392</v>
      </c>
      <c r="D36">
        <f t="shared" si="0"/>
        <v>-3.0493365274850248</v>
      </c>
      <c r="E36">
        <f t="shared" si="1"/>
        <v>9.2984532578544297</v>
      </c>
      <c r="F36">
        <f t="shared" si="2"/>
        <v>0.55405103755089136</v>
      </c>
    </row>
    <row r="37" spans="1:6" x14ac:dyDescent="0.35">
      <c r="A37" s="9">
        <v>45003</v>
      </c>
      <c r="B37" s="8">
        <v>518.9394736842105</v>
      </c>
      <c r="C37">
        <f t="shared" si="3"/>
        <v>536.17993142163721</v>
      </c>
      <c r="D37">
        <f t="shared" si="0"/>
        <v>-17.240457737426709</v>
      </c>
      <c r="E37">
        <f t="shared" si="1"/>
        <v>297.23338299599646</v>
      </c>
      <c r="F37">
        <f t="shared" si="2"/>
        <v>3.3222482797517965</v>
      </c>
    </row>
    <row r="38" spans="1:6" x14ac:dyDescent="0.35">
      <c r="A38" s="9">
        <v>45034</v>
      </c>
      <c r="B38" s="8">
        <v>517.33571428571429</v>
      </c>
      <c r="C38">
        <f t="shared" si="3"/>
        <v>526.75782285367575</v>
      </c>
      <c r="D38">
        <f t="shared" si="0"/>
        <v>-9.4221085679614589</v>
      </c>
      <c r="E38">
        <f t="shared" si="1"/>
        <v>88.776129866452735</v>
      </c>
      <c r="F38">
        <f t="shared" si="2"/>
        <v>1.8212754905140409</v>
      </c>
    </row>
    <row r="39" spans="1:6" x14ac:dyDescent="0.35">
      <c r="A39" s="9">
        <v>45064</v>
      </c>
      <c r="B39" s="8">
        <v>538.81818181818176</v>
      </c>
      <c r="C39">
        <f t="shared" si="3"/>
        <v>532.7880023359287</v>
      </c>
      <c r="D39">
        <f t="shared" si="0"/>
        <v>6.030179482253061</v>
      </c>
      <c r="E39">
        <f t="shared" si="1"/>
        <v>36.363064588185793</v>
      </c>
      <c r="F39">
        <f t="shared" si="2"/>
        <v>1.1191492205969913</v>
      </c>
    </row>
    <row r="40" spans="1:6" x14ac:dyDescent="0.35">
      <c r="A40" s="9">
        <v>45095</v>
      </c>
      <c r="B40" s="8">
        <v>525.92857142857156</v>
      </c>
      <c r="C40">
        <f t="shared" si="3"/>
        <v>529.35828688225013</v>
      </c>
      <c r="D40">
        <f t="shared" si="0"/>
        <v>-3.4297154536785683</v>
      </c>
      <c r="E40">
        <f t="shared" si="1"/>
        <v>11.762948093201588</v>
      </c>
      <c r="F40">
        <f t="shared" si="2"/>
        <v>0.65212571440309586</v>
      </c>
    </row>
    <row r="41" spans="1:6" x14ac:dyDescent="0.35">
      <c r="A41" s="9">
        <v>45125</v>
      </c>
      <c r="B41" s="8">
        <v>531.80227272727268</v>
      </c>
      <c r="C41">
        <f t="shared" si="3"/>
        <v>530.5802798047614</v>
      </c>
      <c r="D41">
        <f t="shared" si="0"/>
        <v>1.2219929225112764</v>
      </c>
      <c r="E41">
        <f t="shared" si="1"/>
        <v>1.4932667026676505</v>
      </c>
      <c r="F41">
        <f t="shared" si="2"/>
        <v>0.2297833208279571</v>
      </c>
    </row>
    <row r="42" spans="1:6" x14ac:dyDescent="0.35">
      <c r="A42" s="9">
        <v>45156</v>
      </c>
      <c r="B42" s="8">
        <v>617.21428571428567</v>
      </c>
      <c r="C42">
        <f t="shared" si="3"/>
        <v>573.89728275952348</v>
      </c>
      <c r="D42">
        <f t="shared" si="0"/>
        <v>43.317002954762188</v>
      </c>
      <c r="E42">
        <f t="shared" si="1"/>
        <v>1876.3627449828762</v>
      </c>
      <c r="F42">
        <f t="shared" si="2"/>
        <v>7.018146526636623</v>
      </c>
    </row>
    <row r="43" spans="1:6" x14ac:dyDescent="0.35">
      <c r="A43" s="9">
        <v>45187</v>
      </c>
      <c r="B43" s="8">
        <v>625.21388888888896</v>
      </c>
      <c r="C43">
        <f t="shared" si="3"/>
        <v>599.55558582420622</v>
      </c>
      <c r="D43">
        <f t="shared" si="0"/>
        <v>25.658303064682741</v>
      </c>
      <c r="E43">
        <f t="shared" si="1"/>
        <v>658.3485161591077</v>
      </c>
      <c r="F43">
        <f t="shared" si="2"/>
        <v>4.1039240363456884</v>
      </c>
    </row>
    <row r="44" spans="1:6" x14ac:dyDescent="0.35">
      <c r="A44" s="9">
        <v>45217</v>
      </c>
      <c r="B44" s="8">
        <v>570.86904761904782</v>
      </c>
      <c r="C44">
        <f t="shared" si="3"/>
        <v>585.21231672162708</v>
      </c>
      <c r="D44">
        <f t="shared" si="0"/>
        <v>-14.343269102579256</v>
      </c>
      <c r="E44">
        <f t="shared" si="1"/>
        <v>205.72936854900476</v>
      </c>
      <c r="F44">
        <f t="shared" si="2"/>
        <v>2.512532280809662</v>
      </c>
    </row>
    <row r="45" spans="1:6" x14ac:dyDescent="0.35">
      <c r="A45" s="9">
        <v>45248</v>
      </c>
      <c r="B45" s="8">
        <v>617.995</v>
      </c>
      <c r="C45">
        <f t="shared" si="3"/>
        <v>601.6036583608136</v>
      </c>
      <c r="D45">
        <f t="shared" si="0"/>
        <v>16.391341639186408</v>
      </c>
      <c r="E45">
        <f t="shared" si="1"/>
        <v>268.67608073252615</v>
      </c>
      <c r="F45">
        <f t="shared" si="2"/>
        <v>2.6523421126686149</v>
      </c>
    </row>
    <row r="46" spans="1:6" x14ac:dyDescent="0.35">
      <c r="A46" s="9">
        <v>45278</v>
      </c>
      <c r="B46" s="8">
        <v>617.49249999999995</v>
      </c>
      <c r="C46">
        <f t="shared" si="3"/>
        <v>609.54807918040683</v>
      </c>
      <c r="D46">
        <f t="shared" si="0"/>
        <v>7.9444208195931196</v>
      </c>
      <c r="E46">
        <f t="shared" si="1"/>
        <v>63.113822158784615</v>
      </c>
      <c r="F46">
        <f t="shared" si="2"/>
        <v>1.2865615079686183</v>
      </c>
    </row>
    <row r="47" spans="1:6" x14ac:dyDescent="0.35">
      <c r="A47" s="9">
        <v>44945</v>
      </c>
      <c r="B47" s="8">
        <v>658.07608695652186</v>
      </c>
      <c r="C47">
        <f t="shared" si="3"/>
        <v>633.81208306846429</v>
      </c>
      <c r="D47">
        <f t="shared" si="0"/>
        <v>24.264003888057573</v>
      </c>
      <c r="E47">
        <f t="shared" si="1"/>
        <v>588.74188467967303</v>
      </c>
      <c r="F47">
        <f t="shared" si="2"/>
        <v>3.6871122304829562</v>
      </c>
    </row>
    <row r="48" spans="1:6" x14ac:dyDescent="0.35">
      <c r="A48" s="9">
        <v>44976</v>
      </c>
      <c r="B48" s="8">
        <v>708.28250000000003</v>
      </c>
      <c r="C48">
        <f t="shared" si="3"/>
        <v>671.04729153423216</v>
      </c>
      <c r="D48">
        <f t="shared" si="0"/>
        <v>37.235208465767869</v>
      </c>
      <c r="E48">
        <f t="shared" si="1"/>
        <v>1386.4607494891911</v>
      </c>
      <c r="F48">
        <f t="shared" si="2"/>
        <v>5.2571125879529523</v>
      </c>
    </row>
    <row r="49" spans="1:6" x14ac:dyDescent="0.35">
      <c r="A49" s="9">
        <v>45004</v>
      </c>
      <c r="B49" s="8">
        <v>745.1736842105264</v>
      </c>
      <c r="C49">
        <f t="shared" si="3"/>
        <v>708.11048787237928</v>
      </c>
      <c r="D49">
        <f t="shared" si="0"/>
        <v>37.063196338147122</v>
      </c>
      <c r="E49">
        <f t="shared" si="1"/>
        <v>1373.6805228000424</v>
      </c>
      <c r="F49">
        <f t="shared" si="2"/>
        <v>4.9737661331148182</v>
      </c>
    </row>
    <row r="50" spans="1:6" x14ac:dyDescent="0.35">
      <c r="A50" s="9">
        <v>45035</v>
      </c>
      <c r="B50" s="8">
        <v>760.46052631578959</v>
      </c>
      <c r="C50">
        <f t="shared" si="3"/>
        <v>734.28550709408444</v>
      </c>
      <c r="D50">
        <f t="shared" si="0"/>
        <v>26.175019221705156</v>
      </c>
      <c r="E50">
        <f t="shared" si="1"/>
        <v>685.13163125663436</v>
      </c>
      <c r="F50">
        <f t="shared" si="2"/>
        <v>3.4419957796515126</v>
      </c>
    </row>
    <row r="51" spans="1:6" x14ac:dyDescent="0.35">
      <c r="A51" s="9">
        <v>45065</v>
      </c>
      <c r="B51" s="8">
        <v>764.25681818181829</v>
      </c>
      <c r="C51">
        <f t="shared" si="3"/>
        <v>749.27116263795142</v>
      </c>
      <c r="D51">
        <f t="shared" si="0"/>
        <v>14.985655543866869</v>
      </c>
      <c r="E51">
        <f t="shared" si="1"/>
        <v>224.56987207942782</v>
      </c>
      <c r="F51">
        <f t="shared" si="2"/>
        <v>1.9608141121355036</v>
      </c>
    </row>
    <row r="52" spans="1:6" x14ac:dyDescent="0.35">
      <c r="A52" s="9">
        <v>45096</v>
      </c>
      <c r="B52" s="8">
        <v>795.77368421052631</v>
      </c>
      <c r="C52">
        <f t="shared" si="3"/>
        <v>772.52242342423892</v>
      </c>
      <c r="D52">
        <f t="shared" si="0"/>
        <v>23.251260786287389</v>
      </c>
      <c r="E52">
        <f t="shared" si="1"/>
        <v>540.62112815194564</v>
      </c>
      <c r="F52">
        <f t="shared" si="2"/>
        <v>2.9218433893493945</v>
      </c>
    </row>
    <row r="53" spans="1:6" x14ac:dyDescent="0.35">
      <c r="A53" s="9">
        <v>45126</v>
      </c>
      <c r="B53" s="8">
        <v>754.36956521739114</v>
      </c>
      <c r="C53">
        <f t="shared" si="3"/>
        <v>763.44599432081509</v>
      </c>
      <c r="D53">
        <f t="shared" si="0"/>
        <v>-9.0764291034239477</v>
      </c>
      <c r="E53">
        <f t="shared" si="1"/>
        <v>82.381565269481243</v>
      </c>
      <c r="F53">
        <f t="shared" si="2"/>
        <v>1.203180711672579</v>
      </c>
    </row>
    <row r="54" spans="1:6" x14ac:dyDescent="0.35">
      <c r="A54" s="9">
        <v>45157</v>
      </c>
      <c r="B54" s="8">
        <v>668.53750000000002</v>
      </c>
      <c r="C54">
        <f t="shared" si="3"/>
        <v>715.99174716040761</v>
      </c>
      <c r="D54">
        <f t="shared" si="0"/>
        <v>-47.45424716040759</v>
      </c>
      <c r="E54">
        <f t="shared" si="1"/>
        <v>2251.9055735610518</v>
      </c>
      <c r="F54">
        <f t="shared" si="2"/>
        <v>7.0982177006387204</v>
      </c>
    </row>
    <row r="55" spans="1:6" x14ac:dyDescent="0.35">
      <c r="A55" s="9">
        <v>45188</v>
      </c>
      <c r="B55" s="8">
        <v>673.30263157894728</v>
      </c>
      <c r="C55">
        <f t="shared" si="3"/>
        <v>694.64718936967745</v>
      </c>
      <c r="D55">
        <f t="shared" si="0"/>
        <v>-21.344557790730164</v>
      </c>
      <c r="E55">
        <f t="shared" si="1"/>
        <v>455.59014728181972</v>
      </c>
      <c r="F55">
        <f t="shared" si="2"/>
        <v>3.1701283775878775</v>
      </c>
    </row>
    <row r="56" spans="1:6" x14ac:dyDescent="0.35">
      <c r="A56" s="9">
        <v>45218</v>
      </c>
      <c r="B56" s="8">
        <v>698.61750000000006</v>
      </c>
      <c r="C56">
        <f t="shared" si="3"/>
        <v>696.6323446848387</v>
      </c>
      <c r="D56">
        <f t="shared" si="0"/>
        <v>1.9851553151613643</v>
      </c>
      <c r="E56">
        <f t="shared" si="1"/>
        <v>3.940841625313416</v>
      </c>
      <c r="F56">
        <f t="shared" si="2"/>
        <v>0.28415482222551885</v>
      </c>
    </row>
    <row r="57" spans="1:6" x14ac:dyDescent="0.35">
      <c r="A57" s="9">
        <v>45249</v>
      </c>
      <c r="B57" s="8">
        <v>737.63499999999988</v>
      </c>
      <c r="C57">
        <f t="shared" si="3"/>
        <v>717.13367234241923</v>
      </c>
      <c r="D57">
        <f t="shared" si="0"/>
        <v>20.501327657580646</v>
      </c>
      <c r="E57">
        <f t="shared" si="1"/>
        <v>420.30443572348111</v>
      </c>
      <c r="F57">
        <f t="shared" si="2"/>
        <v>2.7793322791869488</v>
      </c>
    </row>
    <row r="58" spans="1:6" x14ac:dyDescent="0.35">
      <c r="A58" s="9">
        <v>45279</v>
      </c>
      <c r="B58" s="8">
        <v>738.50238095238092</v>
      </c>
      <c r="C58">
        <f t="shared" si="3"/>
        <v>727.81802664740007</v>
      </c>
      <c r="D58">
        <f t="shared" si="0"/>
        <v>10.684354304980843</v>
      </c>
      <c r="E58">
        <f t="shared" si="1"/>
        <v>114.15542691436268</v>
      </c>
      <c r="F58">
        <f t="shared" si="2"/>
        <v>1.4467596287505777</v>
      </c>
    </row>
    <row r="59" spans="1:6" x14ac:dyDescent="0.35">
      <c r="A59" s="9">
        <v>44946</v>
      </c>
      <c r="B59" s="8">
        <v>734.97608695652173</v>
      </c>
      <c r="C59">
        <f t="shared" si="3"/>
        <v>731.39705680196084</v>
      </c>
      <c r="D59">
        <f t="shared" si="0"/>
        <v>3.5790301545608827</v>
      </c>
      <c r="E59">
        <f t="shared" si="1"/>
        <v>12.809456847256095</v>
      </c>
      <c r="F59">
        <f t="shared" si="2"/>
        <v>0.48695872125328121</v>
      </c>
    </row>
    <row r="60" spans="1:6" x14ac:dyDescent="0.35">
      <c r="A60" s="9">
        <v>44977</v>
      </c>
      <c r="B60" s="8">
        <v>732.16499999999985</v>
      </c>
      <c r="C60">
        <f t="shared" si="3"/>
        <v>731.7810284009804</v>
      </c>
      <c r="D60">
        <f t="shared" si="0"/>
        <v>0.38397159901944633</v>
      </c>
      <c r="E60">
        <f t="shared" si="1"/>
        <v>0.14743418885355047</v>
      </c>
      <c r="F60">
        <f t="shared" si="2"/>
        <v>5.2443315238975698E-2</v>
      </c>
    </row>
    <row r="61" spans="1:6" x14ac:dyDescent="0.35">
      <c r="A61" s="9">
        <v>45005</v>
      </c>
      <c r="B61" s="8">
        <v>497.98809523809524</v>
      </c>
      <c r="C61">
        <f t="shared" si="3"/>
        <v>614.88456181953779</v>
      </c>
      <c r="D61">
        <f t="shared" si="0"/>
        <v>-116.89646658144255</v>
      </c>
      <c r="E61">
        <f t="shared" si="1"/>
        <v>13664.783899226315</v>
      </c>
      <c r="F61">
        <f t="shared" si="2"/>
        <v>23.473747203846845</v>
      </c>
    </row>
    <row r="62" spans="1:6" x14ac:dyDescent="0.35">
      <c r="A62" s="9">
        <v>45036</v>
      </c>
      <c r="B62" s="8">
        <v>418.36388888888882</v>
      </c>
      <c r="C62">
        <f t="shared" si="3"/>
        <v>516.62422535421331</v>
      </c>
      <c r="D62">
        <f t="shared" si="0"/>
        <v>-98.260336465324485</v>
      </c>
      <c r="E62">
        <f t="shared" si="1"/>
        <v>9655.0937222787761</v>
      </c>
      <c r="F62">
        <f t="shared" si="2"/>
        <v>23.486811140963688</v>
      </c>
    </row>
    <row r="63" spans="1:6" x14ac:dyDescent="0.35">
      <c r="A63" s="9">
        <v>45066</v>
      </c>
      <c r="B63" s="8">
        <v>379.2157894736842</v>
      </c>
      <c r="C63">
        <f t="shared" si="3"/>
        <v>447.92000741394872</v>
      </c>
      <c r="D63">
        <f t="shared" si="0"/>
        <v>-68.704217940264527</v>
      </c>
      <c r="E63">
        <f t="shared" si="1"/>
        <v>4720.2695627833664</v>
      </c>
      <c r="F63">
        <f t="shared" si="2"/>
        <v>18.117446542935227</v>
      </c>
    </row>
    <row r="64" spans="1:6" x14ac:dyDescent="0.35">
      <c r="A64" s="9">
        <v>45097</v>
      </c>
      <c r="B64" s="8">
        <v>411.59545454545446</v>
      </c>
      <c r="C64">
        <f t="shared" si="3"/>
        <v>429.75773097970159</v>
      </c>
      <c r="D64">
        <f t="shared" si="0"/>
        <v>-18.162276434247133</v>
      </c>
      <c r="E64">
        <f t="shared" si="1"/>
        <v>329.86828527400877</v>
      </c>
      <c r="F64">
        <f t="shared" si="2"/>
        <v>4.4126523346339299</v>
      </c>
    </row>
    <row r="65" spans="1:6" x14ac:dyDescent="0.35">
      <c r="A65" s="9">
        <v>45127</v>
      </c>
      <c r="B65" s="8">
        <v>438.60217391304343</v>
      </c>
      <c r="C65">
        <f t="shared" si="3"/>
        <v>434.17995244637251</v>
      </c>
      <c r="D65">
        <f t="shared" si="0"/>
        <v>4.4222214666709192</v>
      </c>
      <c r="E65">
        <f t="shared" si="1"/>
        <v>19.556042700285097</v>
      </c>
      <c r="F65">
        <f t="shared" si="2"/>
        <v>1.0082534309434732</v>
      </c>
    </row>
    <row r="66" spans="1:6" x14ac:dyDescent="0.35">
      <c r="A66" s="9">
        <v>45158</v>
      </c>
      <c r="B66" s="8">
        <v>447.87619047619046</v>
      </c>
      <c r="C66">
        <f t="shared" si="3"/>
        <v>441.02807146128146</v>
      </c>
      <c r="D66">
        <f t="shared" si="0"/>
        <v>6.8481190149090025</v>
      </c>
      <c r="E66">
        <f t="shared" si="1"/>
        <v>46.896734042358247</v>
      </c>
      <c r="F66">
        <f t="shared" si="2"/>
        <v>1.5290205553521281</v>
      </c>
    </row>
    <row r="67" spans="1:6" x14ac:dyDescent="0.35">
      <c r="A67" s="9">
        <v>45189</v>
      </c>
      <c r="B67" s="8">
        <v>441.55909090909086</v>
      </c>
      <c r="C67">
        <f t="shared" si="3"/>
        <v>441.29358118518616</v>
      </c>
      <c r="D67">
        <f t="shared" si="0"/>
        <v>0.26550972390469951</v>
      </c>
      <c r="E67">
        <f t="shared" si="1"/>
        <v>7.0495413487949771E-2</v>
      </c>
      <c r="F67">
        <f t="shared" si="2"/>
        <v>6.0130054928336472E-2</v>
      </c>
    </row>
    <row r="68" spans="1:6" x14ac:dyDescent="0.35">
      <c r="A68" s="9">
        <v>45219</v>
      </c>
      <c r="B68" s="8">
        <v>478.31190476190483</v>
      </c>
      <c r="C68">
        <f t="shared" si="3"/>
        <v>459.80274297354549</v>
      </c>
      <c r="D68">
        <f t="shared" ref="D68:D85" si="4">B68-C68</f>
        <v>18.509161788359336</v>
      </c>
      <c r="E68">
        <f t="shared" ref="E68:E85" si="5">D68*D68</f>
        <v>342.58907010766137</v>
      </c>
      <c r="F68">
        <f t="shared" ref="F68:F85" si="6">ABS(D68)/B68*100</f>
        <v>3.8696845309699883</v>
      </c>
    </row>
    <row r="69" spans="1:6" x14ac:dyDescent="0.35">
      <c r="A69" s="9">
        <v>45250</v>
      </c>
      <c r="B69" s="8">
        <v>587.86</v>
      </c>
      <c r="C69">
        <f t="shared" si="3"/>
        <v>523.8313714867727</v>
      </c>
      <c r="D69">
        <f t="shared" si="4"/>
        <v>64.028628513227318</v>
      </c>
      <c r="E69">
        <f t="shared" si="5"/>
        <v>4099.6652692848666</v>
      </c>
      <c r="F69">
        <f t="shared" si="6"/>
        <v>10.89181582574547</v>
      </c>
    </row>
    <row r="70" spans="1:6" x14ac:dyDescent="0.35">
      <c r="A70" s="9">
        <v>45280</v>
      </c>
      <c r="B70" s="8">
        <v>611.62045454545466</v>
      </c>
      <c r="C70">
        <f t="shared" ref="C70:C85" si="7">B70*$P$5+(1-$P$5)*C69</f>
        <v>567.72591301611374</v>
      </c>
      <c r="D70">
        <f t="shared" si="4"/>
        <v>43.894541529340927</v>
      </c>
      <c r="E70">
        <f t="shared" si="5"/>
        <v>1926.7307760710353</v>
      </c>
      <c r="F70">
        <f t="shared" si="6"/>
        <v>7.1767615361985504</v>
      </c>
    </row>
    <row r="71" spans="1:6" x14ac:dyDescent="0.35">
      <c r="A71" s="9">
        <v>44947</v>
      </c>
      <c r="B71" s="8">
        <v>661.91250000000002</v>
      </c>
      <c r="C71">
        <f t="shared" si="7"/>
        <v>614.81920650805682</v>
      </c>
      <c r="D71">
        <f t="shared" si="4"/>
        <v>47.0932934919432</v>
      </c>
      <c r="E71">
        <f t="shared" si="5"/>
        <v>2217.7782919182996</v>
      </c>
      <c r="F71">
        <f t="shared" si="6"/>
        <v>7.1147309488706139</v>
      </c>
    </row>
    <row r="72" spans="1:6" x14ac:dyDescent="0.35">
      <c r="A72" s="9">
        <v>44978</v>
      </c>
      <c r="B72" s="8">
        <v>743.92499999999995</v>
      </c>
      <c r="C72">
        <f t="shared" si="7"/>
        <v>679.37210325402839</v>
      </c>
      <c r="D72">
        <f t="shared" si="4"/>
        <v>64.552896745971566</v>
      </c>
      <c r="E72">
        <f t="shared" si="5"/>
        <v>4167.0764782960659</v>
      </c>
      <c r="F72">
        <f t="shared" si="6"/>
        <v>8.6773393481831587</v>
      </c>
    </row>
    <row r="73" spans="1:6" x14ac:dyDescent="0.35">
      <c r="A73" s="9">
        <v>45006</v>
      </c>
      <c r="B73" s="8">
        <v>727.39047619047631</v>
      </c>
      <c r="C73">
        <f t="shared" si="7"/>
        <v>703.3812897222524</v>
      </c>
      <c r="D73">
        <f t="shared" si="4"/>
        <v>24.009186468223902</v>
      </c>
      <c r="E73">
        <f t="shared" si="5"/>
        <v>576.44103486594577</v>
      </c>
      <c r="F73">
        <f t="shared" si="6"/>
        <v>3.3007287356807233</v>
      </c>
    </row>
    <row r="74" spans="1:6" x14ac:dyDescent="0.35">
      <c r="A74" s="9">
        <v>45037</v>
      </c>
      <c r="B74" s="8">
        <v>680.06578947368416</v>
      </c>
      <c r="C74">
        <f t="shared" si="7"/>
        <v>691.72353959796828</v>
      </c>
      <c r="D74">
        <f t="shared" si="4"/>
        <v>-11.657750124284121</v>
      </c>
      <c r="E74">
        <f t="shared" si="5"/>
        <v>135.90313796024643</v>
      </c>
      <c r="F74">
        <f t="shared" si="6"/>
        <v>1.7142091698666793</v>
      </c>
    </row>
    <row r="75" spans="1:6" x14ac:dyDescent="0.35">
      <c r="A75" s="9">
        <v>45067</v>
      </c>
      <c r="B75" s="8">
        <v>718.745</v>
      </c>
      <c r="C75">
        <f t="shared" si="7"/>
        <v>705.23426979898409</v>
      </c>
      <c r="D75">
        <f t="shared" si="4"/>
        <v>13.510730201015917</v>
      </c>
      <c r="E75">
        <f t="shared" si="5"/>
        <v>182.53983056464361</v>
      </c>
      <c r="F75">
        <f t="shared" si="6"/>
        <v>1.8797668437367798</v>
      </c>
    </row>
    <row r="76" spans="1:6" x14ac:dyDescent="0.35">
      <c r="A76" s="9">
        <v>45098</v>
      </c>
      <c r="B76" s="8">
        <v>744.45454545454538</v>
      </c>
      <c r="C76">
        <f t="shared" si="7"/>
        <v>724.84440762676468</v>
      </c>
      <c r="D76">
        <f t="shared" si="4"/>
        <v>19.610137827780704</v>
      </c>
      <c r="E76">
        <f t="shared" si="5"/>
        <v>384.55750562455574</v>
      </c>
      <c r="F76">
        <f t="shared" si="6"/>
        <v>2.6341618769762825</v>
      </c>
    </row>
    <row r="77" spans="1:6" x14ac:dyDescent="0.35">
      <c r="A77" s="9">
        <v>45128</v>
      </c>
      <c r="B77" s="8">
        <v>750.4904761904761</v>
      </c>
      <c r="C77">
        <f t="shared" si="7"/>
        <v>737.66744190862039</v>
      </c>
      <c r="D77">
        <f t="shared" si="4"/>
        <v>12.823034281855712</v>
      </c>
      <c r="E77">
        <f t="shared" si="5"/>
        <v>164.43020819364682</v>
      </c>
      <c r="F77">
        <f t="shared" si="6"/>
        <v>1.7086205206688323</v>
      </c>
    </row>
    <row r="78" spans="1:6" x14ac:dyDescent="0.35">
      <c r="A78" s="9">
        <v>45159</v>
      </c>
      <c r="B78" s="8">
        <v>752.52380952380952</v>
      </c>
      <c r="C78">
        <f t="shared" si="7"/>
        <v>745.09562571621495</v>
      </c>
      <c r="D78">
        <f t="shared" si="4"/>
        <v>7.4281838075945643</v>
      </c>
      <c r="E78">
        <f t="shared" si="5"/>
        <v>55.17791467941008</v>
      </c>
      <c r="F78">
        <f t="shared" si="6"/>
        <v>0.98710282832048246</v>
      </c>
    </row>
    <row r="79" spans="1:6" x14ac:dyDescent="0.35">
      <c r="A79" s="9">
        <v>45190</v>
      </c>
      <c r="B79" s="8">
        <v>794.37142857142851</v>
      </c>
      <c r="C79">
        <f t="shared" si="7"/>
        <v>769.73352714382168</v>
      </c>
      <c r="D79">
        <f t="shared" si="4"/>
        <v>24.637901427606835</v>
      </c>
      <c r="E79">
        <f t="shared" si="5"/>
        <v>607.02618675647091</v>
      </c>
      <c r="F79">
        <f t="shared" si="6"/>
        <v>3.1015593639759711</v>
      </c>
    </row>
    <row r="80" spans="1:6" x14ac:dyDescent="0.35">
      <c r="A80" s="9">
        <v>45220</v>
      </c>
      <c r="B80" s="8">
        <v>793.39</v>
      </c>
      <c r="C80">
        <f t="shared" si="7"/>
        <v>781.56176357191089</v>
      </c>
      <c r="D80">
        <f t="shared" si="4"/>
        <v>11.828236428089099</v>
      </c>
      <c r="E80">
        <f t="shared" si="5"/>
        <v>139.90717699877396</v>
      </c>
      <c r="F80">
        <f t="shared" si="6"/>
        <v>1.4908476824876919</v>
      </c>
    </row>
    <row r="81" spans="1:6" x14ac:dyDescent="0.35">
      <c r="A81" s="9">
        <v>45251</v>
      </c>
      <c r="B81" s="8">
        <v>715.75</v>
      </c>
      <c r="C81">
        <f t="shared" si="7"/>
        <v>748.65588178595544</v>
      </c>
      <c r="D81">
        <f t="shared" si="4"/>
        <v>-32.905881785955444</v>
      </c>
      <c r="E81">
        <f t="shared" si="5"/>
        <v>1082.7970561112743</v>
      </c>
      <c r="F81">
        <f t="shared" si="6"/>
        <v>4.5973987825295763</v>
      </c>
    </row>
    <row r="82" spans="1:6" x14ac:dyDescent="0.35">
      <c r="A82" s="9">
        <v>45281</v>
      </c>
      <c r="B82" s="8">
        <v>682.83478260869572</v>
      </c>
      <c r="C82">
        <f t="shared" si="7"/>
        <v>715.74533219732552</v>
      </c>
      <c r="D82">
        <f t="shared" si="4"/>
        <v>-32.910549588629806</v>
      </c>
      <c r="E82">
        <f t="shared" si="5"/>
        <v>1083.1042742256616</v>
      </c>
      <c r="F82">
        <f t="shared" si="6"/>
        <v>4.819694372172818</v>
      </c>
    </row>
    <row r="83" spans="1:6" x14ac:dyDescent="0.35">
      <c r="A83" s="9">
        <v>44948</v>
      </c>
      <c r="B83" s="8">
        <v>733.29250000000002</v>
      </c>
      <c r="C83">
        <f t="shared" si="7"/>
        <v>724.51891609866277</v>
      </c>
      <c r="D83">
        <f t="shared" si="4"/>
        <v>8.773583901337247</v>
      </c>
      <c r="E83">
        <f t="shared" si="5"/>
        <v>76.975774473804108</v>
      </c>
      <c r="F83">
        <f t="shared" si="6"/>
        <v>1.1964644260424384</v>
      </c>
    </row>
    <row r="84" spans="1:6" x14ac:dyDescent="0.35">
      <c r="A84" s="9">
        <v>44979</v>
      </c>
      <c r="B84" s="8">
        <v>785.16</v>
      </c>
      <c r="C84">
        <f t="shared" si="7"/>
        <v>754.83945804933137</v>
      </c>
      <c r="D84">
        <f t="shared" si="4"/>
        <v>30.320541950668598</v>
      </c>
      <c r="E84">
        <f t="shared" si="5"/>
        <v>919.33526418225438</v>
      </c>
      <c r="F84">
        <f t="shared" si="6"/>
        <v>3.8617023219049114</v>
      </c>
    </row>
    <row r="85" spans="1:6" x14ac:dyDescent="0.35">
      <c r="A85" s="9">
        <v>45007</v>
      </c>
      <c r="B85" s="8">
        <v>716.19749999999999</v>
      </c>
      <c r="C85">
        <f t="shared" si="7"/>
        <v>735.51847902466568</v>
      </c>
      <c r="D85">
        <f t="shared" si="4"/>
        <v>-19.320979024665689</v>
      </c>
      <c r="E85">
        <f t="shared" si="5"/>
        <v>373.30023047157152</v>
      </c>
      <c r="F85">
        <f t="shared" si="6"/>
        <v>2.6977166249066342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2CC1-F855-4B21-9C22-9E44DDEBDECB}">
  <dimension ref="A1:P85"/>
  <sheetViews>
    <sheetView workbookViewId="0">
      <selection activeCell="I5" sqref="I5:J5"/>
    </sheetView>
  </sheetViews>
  <sheetFormatPr defaultRowHeight="14.5" x14ac:dyDescent="0.35"/>
  <cols>
    <col min="6" max="6" width="12.6328125" customWidth="1"/>
  </cols>
  <sheetData>
    <row r="1" spans="1:16" x14ac:dyDescent="0.35">
      <c r="A1" t="s">
        <v>28</v>
      </c>
      <c r="B1" t="s">
        <v>29</v>
      </c>
      <c r="C1" t="s">
        <v>30</v>
      </c>
      <c r="D1" t="s">
        <v>31</v>
      </c>
      <c r="E1" t="s">
        <v>33</v>
      </c>
      <c r="F1" t="s">
        <v>32</v>
      </c>
    </row>
    <row r="2" spans="1:16" x14ac:dyDescent="0.35">
      <c r="A2" s="9">
        <v>45031</v>
      </c>
      <c r="B2" s="8">
        <v>548.38421052631577</v>
      </c>
      <c r="C2">
        <f>B2*P5</f>
        <v>301.61131578947368</v>
      </c>
      <c r="D2">
        <f>B2-C2</f>
        <v>246.77289473684209</v>
      </c>
      <c r="E2">
        <f>D2*D2</f>
        <v>60896.861576800547</v>
      </c>
      <c r="F2">
        <f>ABS(D2)/B2*100</f>
        <v>45</v>
      </c>
      <c r="I2" t="s">
        <v>38</v>
      </c>
      <c r="J2">
        <f>SUM(E:E)/84</f>
        <v>1554.1076265932004</v>
      </c>
    </row>
    <row r="3" spans="1:16" x14ac:dyDescent="0.35">
      <c r="A3" s="9">
        <v>45061</v>
      </c>
      <c r="B3" s="8">
        <v>559.79999999999995</v>
      </c>
      <c r="C3">
        <f>B3*$P$5+(1-$P$5)*C2</f>
        <v>443.6150921052631</v>
      </c>
      <c r="D3">
        <f>B3-C3</f>
        <v>116.18490789473685</v>
      </c>
      <c r="E3">
        <f>D3*D3</f>
        <v>13498.932822508486</v>
      </c>
      <c r="F3">
        <f>ABS(D3)/B3*100</f>
        <v>20.754717380267394</v>
      </c>
      <c r="I3" t="s">
        <v>37</v>
      </c>
      <c r="J3">
        <f>SQRT(J2)</f>
        <v>39.422171764036548</v>
      </c>
    </row>
    <row r="4" spans="1:16" x14ac:dyDescent="0.35">
      <c r="A4" s="9">
        <v>45092</v>
      </c>
      <c r="B4" s="8">
        <v>558.47499999999991</v>
      </c>
      <c r="C4">
        <f>B4*$P$5+(1-$P$5)*C3</f>
        <v>506.78804144736841</v>
      </c>
      <c r="D4">
        <f t="shared" ref="D4:D67" si="0">B4-C4</f>
        <v>51.686958552631495</v>
      </c>
      <c r="E4">
        <f t="shared" ref="E4:E67" si="1">D4*D4</f>
        <v>2671.541684421446</v>
      </c>
      <c r="F4">
        <f t="shared" ref="F4:F67" si="2">ABS(D4)/B4*100</f>
        <v>9.2550174229162447</v>
      </c>
      <c r="I4" t="s">
        <v>39</v>
      </c>
      <c r="J4">
        <f>SUM(F:F)/84</f>
        <v>4.1292164035229328</v>
      </c>
    </row>
    <row r="5" spans="1:16" x14ac:dyDescent="0.35">
      <c r="A5" s="9">
        <v>45122</v>
      </c>
      <c r="B5" s="8">
        <v>581.22173913043491</v>
      </c>
      <c r="C5">
        <f>B5*$P$5+(1-$P$5)*C4</f>
        <v>547.72657517305493</v>
      </c>
      <c r="D5">
        <f t="shared" si="0"/>
        <v>33.495163957379987</v>
      </c>
      <c r="E5">
        <f t="shared" si="1"/>
        <v>1121.9260085317674</v>
      </c>
      <c r="F5">
        <f t="shared" si="2"/>
        <v>5.7628890494516014</v>
      </c>
      <c r="I5" s="8" t="s">
        <v>35</v>
      </c>
      <c r="J5" s="8">
        <f>100-J4</f>
        <v>95.870783596477068</v>
      </c>
      <c r="P5">
        <v>0.55000000000000004</v>
      </c>
    </row>
    <row r="6" spans="1:16" x14ac:dyDescent="0.35">
      <c r="A6" s="9">
        <v>45153</v>
      </c>
      <c r="B6" s="8">
        <v>546.95238095238096</v>
      </c>
      <c r="C6">
        <f t="shared" ref="C6:C69" si="3">B6*$P$5+(1-$P$5)*C5</f>
        <v>547.30076835168416</v>
      </c>
      <c r="D6">
        <f t="shared" si="0"/>
        <v>-0.34838739930319207</v>
      </c>
      <c r="E6">
        <f t="shared" si="1"/>
        <v>0.1213737799932418</v>
      </c>
      <c r="F6">
        <f t="shared" si="2"/>
        <v>6.3696111660865695E-2</v>
      </c>
    </row>
    <row r="7" spans="1:16" x14ac:dyDescent="0.35">
      <c r="A7" s="9">
        <v>45184</v>
      </c>
      <c r="B7" s="8">
        <v>491.81499999999994</v>
      </c>
      <c r="C7">
        <f t="shared" si="3"/>
        <v>516.78359575825789</v>
      </c>
      <c r="D7">
        <f t="shared" si="0"/>
        <v>-24.968595758257948</v>
      </c>
      <c r="E7">
        <f t="shared" si="1"/>
        <v>623.43077413929677</v>
      </c>
      <c r="F7">
        <f t="shared" si="2"/>
        <v>5.0768268064735622</v>
      </c>
    </row>
    <row r="8" spans="1:16" x14ac:dyDescent="0.35">
      <c r="A8" s="9">
        <v>45214</v>
      </c>
      <c r="B8" s="8">
        <v>499.74999999999989</v>
      </c>
      <c r="C8">
        <f t="shared" si="3"/>
        <v>507.41511809121596</v>
      </c>
      <c r="D8">
        <f t="shared" si="0"/>
        <v>-7.6651180912160726</v>
      </c>
      <c r="E8">
        <f t="shared" si="1"/>
        <v>58.754035352287929</v>
      </c>
      <c r="F8">
        <f t="shared" si="2"/>
        <v>1.533790513499965</v>
      </c>
    </row>
    <row r="9" spans="1:16" x14ac:dyDescent="0.35">
      <c r="A9" s="9">
        <v>45245</v>
      </c>
      <c r="B9" s="8">
        <v>469.91842105263163</v>
      </c>
      <c r="C9">
        <f t="shared" si="3"/>
        <v>486.79193471999463</v>
      </c>
      <c r="D9">
        <f t="shared" si="0"/>
        <v>-16.873513667363</v>
      </c>
      <c r="E9">
        <f t="shared" si="1"/>
        <v>284.71546348268595</v>
      </c>
      <c r="F9">
        <f t="shared" si="2"/>
        <v>3.5907325423774221</v>
      </c>
    </row>
    <row r="10" spans="1:16" x14ac:dyDescent="0.35">
      <c r="A10" s="9">
        <v>45275</v>
      </c>
      <c r="B10" s="8">
        <v>449.53636363636366</v>
      </c>
      <c r="C10">
        <f t="shared" si="3"/>
        <v>466.30137062399763</v>
      </c>
      <c r="D10">
        <f t="shared" si="0"/>
        <v>-16.765006987633967</v>
      </c>
      <c r="E10">
        <f t="shared" si="1"/>
        <v>281.06545929541574</v>
      </c>
      <c r="F10">
        <f t="shared" si="2"/>
        <v>3.7293995199897596</v>
      </c>
    </row>
    <row r="11" spans="1:16" x14ac:dyDescent="0.35">
      <c r="A11" s="9">
        <v>44942</v>
      </c>
      <c r="B11" s="8">
        <v>410.53249999999991</v>
      </c>
      <c r="C11">
        <f t="shared" si="3"/>
        <v>435.62849178079887</v>
      </c>
      <c r="D11">
        <f t="shared" si="0"/>
        <v>-25.095991780798954</v>
      </c>
      <c r="E11">
        <f t="shared" si="1"/>
        <v>629.80880346192862</v>
      </c>
      <c r="F11">
        <f t="shared" si="2"/>
        <v>6.1130341156422352</v>
      </c>
    </row>
    <row r="12" spans="1:16" x14ac:dyDescent="0.35">
      <c r="A12" s="9">
        <v>44973</v>
      </c>
      <c r="B12" s="8">
        <v>392.84523809523807</v>
      </c>
      <c r="C12">
        <f t="shared" si="3"/>
        <v>412.09770225374041</v>
      </c>
      <c r="D12">
        <f t="shared" si="0"/>
        <v>-19.252464158502335</v>
      </c>
      <c r="E12">
        <f t="shared" si="1"/>
        <v>370.65737617441698</v>
      </c>
      <c r="F12">
        <f t="shared" si="2"/>
        <v>4.9007757487020704</v>
      </c>
    </row>
    <row r="13" spans="1:16" x14ac:dyDescent="0.35">
      <c r="A13" s="9">
        <v>45001</v>
      </c>
      <c r="B13" s="8">
        <v>423.7</v>
      </c>
      <c r="C13">
        <f t="shared" si="3"/>
        <v>418.47896601418319</v>
      </c>
      <c r="D13">
        <f t="shared" si="0"/>
        <v>5.2210339858168027</v>
      </c>
      <c r="E13">
        <f t="shared" si="1"/>
        <v>27.25919588105409</v>
      </c>
      <c r="F13">
        <f t="shared" si="2"/>
        <v>1.2322478135040837</v>
      </c>
    </row>
    <row r="14" spans="1:16" x14ac:dyDescent="0.35">
      <c r="A14" s="9">
        <v>45032</v>
      </c>
      <c r="B14" s="8">
        <v>450.48333333333335</v>
      </c>
      <c r="C14">
        <f t="shared" si="3"/>
        <v>436.08136803971581</v>
      </c>
      <c r="D14">
        <f t="shared" si="0"/>
        <v>14.401965293617536</v>
      </c>
      <c r="E14">
        <f t="shared" si="1"/>
        <v>207.41660431856405</v>
      </c>
      <c r="F14">
        <f t="shared" si="2"/>
        <v>3.1970029139703731</v>
      </c>
    </row>
    <row r="15" spans="1:16" x14ac:dyDescent="0.35">
      <c r="A15" s="9">
        <v>45062</v>
      </c>
      <c r="B15" s="8">
        <v>490.16590909090917</v>
      </c>
      <c r="C15">
        <f t="shared" si="3"/>
        <v>465.82786561787213</v>
      </c>
      <c r="D15">
        <f t="shared" si="0"/>
        <v>24.338043473037033</v>
      </c>
      <c r="E15">
        <f t="shared" si="1"/>
        <v>592.34036009544047</v>
      </c>
      <c r="F15">
        <f t="shared" si="2"/>
        <v>4.9652664580806558</v>
      </c>
    </row>
    <row r="16" spans="1:16" x14ac:dyDescent="0.35">
      <c r="A16" s="9">
        <v>45093</v>
      </c>
      <c r="B16" s="8">
        <v>526.43409090909086</v>
      </c>
      <c r="C16">
        <f t="shared" si="3"/>
        <v>499.1612895280424</v>
      </c>
      <c r="D16">
        <f t="shared" si="0"/>
        <v>27.272801381048453</v>
      </c>
      <c r="E16">
        <f t="shared" si="1"/>
        <v>743.80569517011838</v>
      </c>
      <c r="F16">
        <f t="shared" si="2"/>
        <v>5.1806677895710509</v>
      </c>
    </row>
    <row r="17" spans="1:6" x14ac:dyDescent="0.35">
      <c r="A17" s="9">
        <v>45123</v>
      </c>
      <c r="B17" s="8">
        <v>550.19499999999994</v>
      </c>
      <c r="C17">
        <f t="shared" si="3"/>
        <v>527.22983028761905</v>
      </c>
      <c r="D17">
        <f t="shared" si="0"/>
        <v>22.965169712380884</v>
      </c>
      <c r="E17">
        <f t="shared" si="1"/>
        <v>527.39901991845636</v>
      </c>
      <c r="F17">
        <f t="shared" si="2"/>
        <v>4.1740055275640255</v>
      </c>
    </row>
    <row r="18" spans="1:6" x14ac:dyDescent="0.35">
      <c r="A18" s="9">
        <v>45154</v>
      </c>
      <c r="B18" s="8">
        <v>576.77045454545453</v>
      </c>
      <c r="C18">
        <f t="shared" si="3"/>
        <v>554.47717362942853</v>
      </c>
      <c r="D18">
        <f t="shared" si="0"/>
        <v>22.293280916025992</v>
      </c>
      <c r="E18">
        <f t="shared" si="1"/>
        <v>496.9903740008487</v>
      </c>
      <c r="F18">
        <f t="shared" si="2"/>
        <v>3.8651912108769588</v>
      </c>
    </row>
    <row r="19" spans="1:6" x14ac:dyDescent="0.35">
      <c r="A19" s="9">
        <v>45185</v>
      </c>
      <c r="B19" s="8">
        <v>586.88750000000005</v>
      </c>
      <c r="C19">
        <f t="shared" si="3"/>
        <v>572.30285313324282</v>
      </c>
      <c r="D19">
        <f t="shared" si="0"/>
        <v>14.584646866757225</v>
      </c>
      <c r="E19">
        <f t="shared" si="1"/>
        <v>212.71192422801136</v>
      </c>
      <c r="F19">
        <f t="shared" si="2"/>
        <v>2.4850839158709674</v>
      </c>
    </row>
    <row r="20" spans="1:6" x14ac:dyDescent="0.35">
      <c r="A20" s="9">
        <v>45215</v>
      </c>
      <c r="B20" s="8">
        <v>522.12894736842111</v>
      </c>
      <c r="C20">
        <f t="shared" si="3"/>
        <v>544.70720496259082</v>
      </c>
      <c r="D20">
        <f t="shared" si="0"/>
        <v>-22.578257594169713</v>
      </c>
      <c r="E20">
        <f t="shared" si="1"/>
        <v>509.7777159886823</v>
      </c>
      <c r="F20">
        <f t="shared" si="2"/>
        <v>4.3242684988002003</v>
      </c>
    </row>
    <row r="21" spans="1:6" x14ac:dyDescent="0.35">
      <c r="A21" s="9">
        <v>45246</v>
      </c>
      <c r="B21" s="8">
        <v>478.0928571428571</v>
      </c>
      <c r="C21">
        <f t="shared" si="3"/>
        <v>508.06931366173728</v>
      </c>
      <c r="D21">
        <f t="shared" si="0"/>
        <v>-29.976456518880184</v>
      </c>
      <c r="E21">
        <f t="shared" si="1"/>
        <v>898.58794542831424</v>
      </c>
      <c r="F21">
        <f t="shared" si="2"/>
        <v>6.2700071902398307</v>
      </c>
    </row>
    <row r="22" spans="1:6" x14ac:dyDescent="0.35">
      <c r="A22" s="9">
        <v>45276</v>
      </c>
      <c r="B22" s="8">
        <v>454.00909090909096</v>
      </c>
      <c r="C22">
        <f t="shared" si="3"/>
        <v>478.33619114778179</v>
      </c>
      <c r="D22">
        <f t="shared" si="0"/>
        <v>-24.327100238690832</v>
      </c>
      <c r="E22">
        <f t="shared" si="1"/>
        <v>591.80780602331151</v>
      </c>
      <c r="F22">
        <f t="shared" si="2"/>
        <v>5.358284828609742</v>
      </c>
    </row>
    <row r="23" spans="1:6" x14ac:dyDescent="0.35">
      <c r="A23" s="9">
        <v>44943</v>
      </c>
      <c r="B23" s="8">
        <v>462.33809523809515</v>
      </c>
      <c r="C23">
        <f t="shared" si="3"/>
        <v>469.53723839745413</v>
      </c>
      <c r="D23">
        <f t="shared" si="0"/>
        <v>-7.1991431593589823</v>
      </c>
      <c r="E23">
        <f t="shared" si="1"/>
        <v>51.827662228945229</v>
      </c>
      <c r="F23">
        <f t="shared" si="2"/>
        <v>1.5571165849207307</v>
      </c>
    </row>
    <row r="24" spans="1:6" x14ac:dyDescent="0.35">
      <c r="A24" s="9">
        <v>44974</v>
      </c>
      <c r="B24" s="8">
        <v>494.97105263157897</v>
      </c>
      <c r="C24">
        <f t="shared" si="3"/>
        <v>483.52583622622279</v>
      </c>
      <c r="D24">
        <f t="shared" si="0"/>
        <v>11.445216405356177</v>
      </c>
      <c r="E24">
        <f t="shared" si="1"/>
        <v>130.99297856543419</v>
      </c>
      <c r="F24">
        <f t="shared" si="2"/>
        <v>2.3123001526061318</v>
      </c>
    </row>
    <row r="25" spans="1:6" x14ac:dyDescent="0.35">
      <c r="A25" s="9">
        <v>45002</v>
      </c>
      <c r="B25" s="8">
        <v>504.42272727272717</v>
      </c>
      <c r="C25">
        <f t="shared" si="3"/>
        <v>495.01912630180016</v>
      </c>
      <c r="D25">
        <f t="shared" si="0"/>
        <v>9.4036009709270161</v>
      </c>
      <c r="E25">
        <f t="shared" si="1"/>
        <v>88.427711220419525</v>
      </c>
      <c r="F25">
        <f t="shared" si="2"/>
        <v>1.8642302304199616</v>
      </c>
    </row>
    <row r="26" spans="1:6" x14ac:dyDescent="0.35">
      <c r="A26" s="9">
        <v>45033</v>
      </c>
      <c r="B26" s="8">
        <v>504.74166666666656</v>
      </c>
      <c r="C26">
        <f t="shared" si="3"/>
        <v>500.3665235024767</v>
      </c>
      <c r="D26">
        <f t="shared" si="0"/>
        <v>4.3751431641898648</v>
      </c>
      <c r="E26">
        <f t="shared" si="1"/>
        <v>19.141877707157303</v>
      </c>
      <c r="F26">
        <f t="shared" si="2"/>
        <v>0.86680839984609925</v>
      </c>
    </row>
    <row r="27" spans="1:6" x14ac:dyDescent="0.35">
      <c r="A27" s="9">
        <v>45063</v>
      </c>
      <c r="B27" s="8">
        <v>507.28636363636366</v>
      </c>
      <c r="C27">
        <f t="shared" si="3"/>
        <v>504.17243557611454</v>
      </c>
      <c r="D27">
        <f t="shared" si="0"/>
        <v>3.1139280602491226</v>
      </c>
      <c r="E27">
        <f t="shared" si="1"/>
        <v>9.6965479644068626</v>
      </c>
      <c r="F27">
        <f t="shared" si="2"/>
        <v>0.61384028498768572</v>
      </c>
    </row>
    <row r="28" spans="1:6" x14ac:dyDescent="0.35">
      <c r="A28" s="9">
        <v>45094</v>
      </c>
      <c r="B28" s="8">
        <v>509.19047619047626</v>
      </c>
      <c r="C28">
        <f t="shared" si="3"/>
        <v>506.93235791401349</v>
      </c>
      <c r="D28">
        <f t="shared" si="0"/>
        <v>2.258118276462767</v>
      </c>
      <c r="E28">
        <f t="shared" si="1"/>
        <v>5.0990981504951769</v>
      </c>
      <c r="F28">
        <f t="shared" si="2"/>
        <v>0.44347221365115591</v>
      </c>
    </row>
    <row r="29" spans="1:6" x14ac:dyDescent="0.35">
      <c r="A29" s="9">
        <v>45124</v>
      </c>
      <c r="B29" s="8">
        <v>518.89285714285711</v>
      </c>
      <c r="C29">
        <f t="shared" si="3"/>
        <v>513.51063248987748</v>
      </c>
      <c r="D29">
        <f t="shared" si="0"/>
        <v>5.3822246529796303</v>
      </c>
      <c r="E29">
        <f t="shared" si="1"/>
        <v>28.9683422151417</v>
      </c>
      <c r="F29">
        <f t="shared" si="2"/>
        <v>1.0372516366124966</v>
      </c>
    </row>
    <row r="30" spans="1:6" x14ac:dyDescent="0.35">
      <c r="A30" s="9">
        <v>45155</v>
      </c>
      <c r="B30" s="8">
        <v>500.74761904761897</v>
      </c>
      <c r="C30">
        <f t="shared" si="3"/>
        <v>506.49097509663528</v>
      </c>
      <c r="D30">
        <f t="shared" si="0"/>
        <v>-5.7433560490163131</v>
      </c>
      <c r="E30">
        <f t="shared" si="1"/>
        <v>32.986138705772277</v>
      </c>
      <c r="F30">
        <f t="shared" si="2"/>
        <v>1.1469562371439141</v>
      </c>
    </row>
    <row r="31" spans="1:6" x14ac:dyDescent="0.35">
      <c r="A31" s="9">
        <v>45186</v>
      </c>
      <c r="B31" s="8">
        <v>506.91666666666657</v>
      </c>
      <c r="C31">
        <f t="shared" si="3"/>
        <v>506.72510546015246</v>
      </c>
      <c r="D31">
        <f t="shared" si="0"/>
        <v>0.19156120651410902</v>
      </c>
      <c r="E31">
        <f t="shared" si="1"/>
        <v>3.6695695841141122E-2</v>
      </c>
      <c r="F31">
        <f t="shared" si="2"/>
        <v>3.7789486736302953E-2</v>
      </c>
    </row>
    <row r="32" spans="1:6" x14ac:dyDescent="0.35">
      <c r="A32" s="9">
        <v>45216</v>
      </c>
      <c r="B32" s="8">
        <v>496.07749999999999</v>
      </c>
      <c r="C32">
        <f t="shared" si="3"/>
        <v>500.86892245706861</v>
      </c>
      <c r="D32">
        <f t="shared" si="0"/>
        <v>-4.7914224570686201</v>
      </c>
      <c r="E32">
        <f t="shared" si="1"/>
        <v>22.957729162101494</v>
      </c>
      <c r="F32">
        <f t="shared" si="2"/>
        <v>0.9658616762640152</v>
      </c>
    </row>
    <row r="33" spans="1:6" x14ac:dyDescent="0.35">
      <c r="A33" s="9">
        <v>45247</v>
      </c>
      <c r="B33" s="8">
        <v>542.63636363636351</v>
      </c>
      <c r="C33">
        <f t="shared" si="3"/>
        <v>523.84101510568075</v>
      </c>
      <c r="D33">
        <f t="shared" si="0"/>
        <v>18.795348530682759</v>
      </c>
      <c r="E33">
        <f t="shared" si="1"/>
        <v>353.26512638983854</v>
      </c>
      <c r="F33">
        <f t="shared" si="2"/>
        <v>3.4637097309014977</v>
      </c>
    </row>
    <row r="34" spans="1:6" x14ac:dyDescent="0.35">
      <c r="A34" s="9">
        <v>45277</v>
      </c>
      <c r="B34" s="8">
        <v>544.88</v>
      </c>
      <c r="C34">
        <f t="shared" si="3"/>
        <v>535.41245679755639</v>
      </c>
      <c r="D34">
        <f t="shared" si="0"/>
        <v>9.4675432024436077</v>
      </c>
      <c r="E34">
        <f t="shared" si="1"/>
        <v>89.634374290136165</v>
      </c>
      <c r="F34">
        <f t="shared" si="2"/>
        <v>1.7375464693957583</v>
      </c>
    </row>
    <row r="35" spans="1:6" x14ac:dyDescent="0.35">
      <c r="A35" s="9">
        <v>44944</v>
      </c>
      <c r="B35" s="8">
        <v>579.4818181818182</v>
      </c>
      <c r="C35">
        <f t="shared" si="3"/>
        <v>559.65060555890045</v>
      </c>
      <c r="D35">
        <f t="shared" si="0"/>
        <v>19.831212622917747</v>
      </c>
      <c r="E35">
        <f t="shared" si="1"/>
        <v>393.27699409537217</v>
      </c>
      <c r="F35">
        <f t="shared" si="2"/>
        <v>3.4222320702209688</v>
      </c>
    </row>
    <row r="36" spans="1:6" x14ac:dyDescent="0.35">
      <c r="A36" s="9">
        <v>44975</v>
      </c>
      <c r="B36" s="8">
        <v>550.37105263157889</v>
      </c>
      <c r="C36">
        <f t="shared" si="3"/>
        <v>554.54685144887367</v>
      </c>
      <c r="D36">
        <f t="shared" si="0"/>
        <v>-4.1757988172947762</v>
      </c>
      <c r="E36">
        <f t="shared" si="1"/>
        <v>17.437295762520453</v>
      </c>
      <c r="F36">
        <f t="shared" si="2"/>
        <v>0.75872428197819419</v>
      </c>
    </row>
    <row r="37" spans="1:6" x14ac:dyDescent="0.35">
      <c r="A37" s="9">
        <v>45003</v>
      </c>
      <c r="B37" s="8">
        <v>518.9394736842105</v>
      </c>
      <c r="C37">
        <f t="shared" si="3"/>
        <v>534.96279367830891</v>
      </c>
      <c r="D37">
        <f t="shared" si="0"/>
        <v>-16.023319994098415</v>
      </c>
      <c r="E37">
        <f t="shared" si="1"/>
        <v>256.74678363327405</v>
      </c>
      <c r="F37">
        <f t="shared" si="2"/>
        <v>3.0877049842327207</v>
      </c>
    </row>
    <row r="38" spans="1:6" x14ac:dyDescent="0.35">
      <c r="A38" s="9">
        <v>45034</v>
      </c>
      <c r="B38" s="8">
        <v>517.33571428571429</v>
      </c>
      <c r="C38">
        <f t="shared" si="3"/>
        <v>525.26790001238192</v>
      </c>
      <c r="D38">
        <f t="shared" si="0"/>
        <v>-7.9321857266676261</v>
      </c>
      <c r="E38">
        <f t="shared" si="1"/>
        <v>62.919570402349613</v>
      </c>
      <c r="F38">
        <f t="shared" si="2"/>
        <v>1.5332762667699444</v>
      </c>
    </row>
    <row r="39" spans="1:6" x14ac:dyDescent="0.35">
      <c r="A39" s="9">
        <v>45064</v>
      </c>
      <c r="B39" s="8">
        <v>538.81818181818176</v>
      </c>
      <c r="C39">
        <f t="shared" si="3"/>
        <v>532.72055500557178</v>
      </c>
      <c r="D39">
        <f t="shared" si="0"/>
        <v>6.097626812609974</v>
      </c>
      <c r="E39">
        <f t="shared" si="1"/>
        <v>37.181052745860072</v>
      </c>
      <c r="F39">
        <f t="shared" si="2"/>
        <v>1.1316668624719035</v>
      </c>
    </row>
    <row r="40" spans="1:6" x14ac:dyDescent="0.35">
      <c r="A40" s="9">
        <v>45095</v>
      </c>
      <c r="B40" s="8">
        <v>525.92857142857156</v>
      </c>
      <c r="C40">
        <f t="shared" si="3"/>
        <v>528.98496403822162</v>
      </c>
      <c r="D40">
        <f t="shared" si="0"/>
        <v>-3.0563926096500609</v>
      </c>
      <c r="E40">
        <f t="shared" si="1"/>
        <v>9.3415357843235096</v>
      </c>
      <c r="F40">
        <f t="shared" si="2"/>
        <v>0.58114215041560291</v>
      </c>
    </row>
    <row r="41" spans="1:6" x14ac:dyDescent="0.35">
      <c r="A41" s="9">
        <v>45125</v>
      </c>
      <c r="B41" s="8">
        <v>531.80227272727268</v>
      </c>
      <c r="C41">
        <f t="shared" si="3"/>
        <v>530.53448381719966</v>
      </c>
      <c r="D41">
        <f t="shared" si="0"/>
        <v>1.2677889100730226</v>
      </c>
      <c r="E41">
        <f t="shared" si="1"/>
        <v>1.6072887205041426</v>
      </c>
      <c r="F41">
        <f t="shared" si="2"/>
        <v>0.2383947897723992</v>
      </c>
    </row>
    <row r="42" spans="1:6" x14ac:dyDescent="0.35">
      <c r="A42" s="9">
        <v>45156</v>
      </c>
      <c r="B42" s="8">
        <v>617.21428571428567</v>
      </c>
      <c r="C42">
        <f t="shared" si="3"/>
        <v>578.20837486059702</v>
      </c>
      <c r="D42">
        <f t="shared" si="0"/>
        <v>39.005910853688647</v>
      </c>
      <c r="E42">
        <f t="shared" si="1"/>
        <v>1521.4610815259057</v>
      </c>
      <c r="F42">
        <f t="shared" si="2"/>
        <v>6.3196707782853965</v>
      </c>
    </row>
    <row r="43" spans="1:6" x14ac:dyDescent="0.35">
      <c r="A43" s="9">
        <v>45187</v>
      </c>
      <c r="B43" s="8">
        <v>625.21388888888896</v>
      </c>
      <c r="C43">
        <f t="shared" si="3"/>
        <v>604.06140757615754</v>
      </c>
      <c r="D43">
        <f t="shared" si="0"/>
        <v>21.152481312731425</v>
      </c>
      <c r="E43">
        <f t="shared" si="1"/>
        <v>447.42746568545215</v>
      </c>
      <c r="F43">
        <f t="shared" si="2"/>
        <v>3.3832391904029784</v>
      </c>
    </row>
    <row r="44" spans="1:6" x14ac:dyDescent="0.35">
      <c r="A44" s="9">
        <v>45217</v>
      </c>
      <c r="B44" s="8">
        <v>570.86904761904782</v>
      </c>
      <c r="C44">
        <f t="shared" si="3"/>
        <v>585.80560959974719</v>
      </c>
      <c r="D44">
        <f t="shared" si="0"/>
        <v>-14.936561980699366</v>
      </c>
      <c r="E44">
        <f t="shared" si="1"/>
        <v>223.10088380327377</v>
      </c>
      <c r="F44">
        <f t="shared" si="2"/>
        <v>2.6164602973301907</v>
      </c>
    </row>
    <row r="45" spans="1:6" x14ac:dyDescent="0.35">
      <c r="A45" s="9">
        <v>45248</v>
      </c>
      <c r="B45" s="8">
        <v>617.995</v>
      </c>
      <c r="C45">
        <f t="shared" si="3"/>
        <v>603.50977431988622</v>
      </c>
      <c r="D45">
        <f t="shared" si="0"/>
        <v>14.485225680113786</v>
      </c>
      <c r="E45">
        <f t="shared" si="1"/>
        <v>209.82176300382787</v>
      </c>
      <c r="F45">
        <f t="shared" si="2"/>
        <v>2.3439066141495943</v>
      </c>
    </row>
    <row r="46" spans="1:6" x14ac:dyDescent="0.35">
      <c r="A46" s="9">
        <v>45278</v>
      </c>
      <c r="B46" s="8">
        <v>617.49249999999995</v>
      </c>
      <c r="C46">
        <f t="shared" si="3"/>
        <v>611.20027344394884</v>
      </c>
      <c r="D46">
        <f t="shared" si="0"/>
        <v>6.292226556051105</v>
      </c>
      <c r="E46">
        <f t="shared" si="1"/>
        <v>39.592115032674748</v>
      </c>
      <c r="F46">
        <f t="shared" si="2"/>
        <v>1.0189964341350066</v>
      </c>
    </row>
    <row r="47" spans="1:6" x14ac:dyDescent="0.35">
      <c r="A47" s="9">
        <v>44945</v>
      </c>
      <c r="B47" s="8">
        <v>658.07608695652186</v>
      </c>
      <c r="C47">
        <f t="shared" si="3"/>
        <v>636.98197087586402</v>
      </c>
      <c r="D47">
        <f t="shared" si="0"/>
        <v>21.094116080657841</v>
      </c>
      <c r="E47">
        <f t="shared" si="1"/>
        <v>444.96173322426773</v>
      </c>
      <c r="F47">
        <f t="shared" si="2"/>
        <v>3.2054220627000993</v>
      </c>
    </row>
    <row r="48" spans="1:6" x14ac:dyDescent="0.35">
      <c r="A48" s="9">
        <v>44976</v>
      </c>
      <c r="B48" s="8">
        <v>708.28250000000003</v>
      </c>
      <c r="C48">
        <f t="shared" si="3"/>
        <v>676.19726189413882</v>
      </c>
      <c r="D48">
        <f t="shared" si="0"/>
        <v>32.085238105861208</v>
      </c>
      <c r="E48">
        <f t="shared" si="1"/>
        <v>1029.4625043098081</v>
      </c>
      <c r="F48">
        <f t="shared" si="2"/>
        <v>4.5300057683002484</v>
      </c>
    </row>
    <row r="49" spans="1:6" x14ac:dyDescent="0.35">
      <c r="A49" s="9">
        <v>45004</v>
      </c>
      <c r="B49" s="8">
        <v>745.1736842105264</v>
      </c>
      <c r="C49">
        <f t="shared" si="3"/>
        <v>714.13429416815188</v>
      </c>
      <c r="D49">
        <f t="shared" si="0"/>
        <v>31.039390042374521</v>
      </c>
      <c r="E49">
        <f t="shared" si="1"/>
        <v>963.44373420265856</v>
      </c>
      <c r="F49">
        <f t="shared" si="2"/>
        <v>4.165389988947231</v>
      </c>
    </row>
    <row r="50" spans="1:6" x14ac:dyDescent="0.35">
      <c r="A50" s="9">
        <v>45035</v>
      </c>
      <c r="B50" s="8">
        <v>760.46052631578959</v>
      </c>
      <c r="C50">
        <f t="shared" si="3"/>
        <v>739.61372184935271</v>
      </c>
      <c r="D50">
        <f t="shared" si="0"/>
        <v>20.846804466436879</v>
      </c>
      <c r="E50">
        <f t="shared" si="1"/>
        <v>434.58925646185259</v>
      </c>
      <c r="F50">
        <f t="shared" si="2"/>
        <v>2.7413394574776406</v>
      </c>
    </row>
    <row r="51" spans="1:6" x14ac:dyDescent="0.35">
      <c r="A51" s="9">
        <v>45065</v>
      </c>
      <c r="B51" s="8">
        <v>764.25681818181829</v>
      </c>
      <c r="C51">
        <f t="shared" si="3"/>
        <v>753.16742483220878</v>
      </c>
      <c r="D51">
        <f t="shared" si="0"/>
        <v>11.089393349609509</v>
      </c>
      <c r="E51">
        <f t="shared" si="1"/>
        <v>122.9746448623636</v>
      </c>
      <c r="F51">
        <f t="shared" si="2"/>
        <v>1.4510035220871682</v>
      </c>
    </row>
    <row r="52" spans="1:6" x14ac:dyDescent="0.35">
      <c r="A52" s="9">
        <v>45096</v>
      </c>
      <c r="B52" s="8">
        <v>795.77368421052631</v>
      </c>
      <c r="C52">
        <f t="shared" si="3"/>
        <v>776.60086749028346</v>
      </c>
      <c r="D52">
        <f t="shared" si="0"/>
        <v>19.172816720242849</v>
      </c>
      <c r="E52">
        <f t="shared" si="1"/>
        <v>367.59690098802378</v>
      </c>
      <c r="F52">
        <f t="shared" si="2"/>
        <v>2.4093303285423264</v>
      </c>
    </row>
    <row r="53" spans="1:6" x14ac:dyDescent="0.35">
      <c r="A53" s="9">
        <v>45126</v>
      </c>
      <c r="B53" s="8">
        <v>754.36956521739114</v>
      </c>
      <c r="C53">
        <f t="shared" si="3"/>
        <v>764.37365124019266</v>
      </c>
      <c r="D53">
        <f t="shared" si="0"/>
        <v>-10.004086022801516</v>
      </c>
      <c r="E53">
        <f t="shared" si="1"/>
        <v>100.08173715161266</v>
      </c>
      <c r="F53">
        <f t="shared" si="2"/>
        <v>1.3261518603177713</v>
      </c>
    </row>
    <row r="54" spans="1:6" x14ac:dyDescent="0.35">
      <c r="A54" s="9">
        <v>45157</v>
      </c>
      <c r="B54" s="8">
        <v>668.53750000000002</v>
      </c>
      <c r="C54">
        <f t="shared" si="3"/>
        <v>711.6637680580867</v>
      </c>
      <c r="D54">
        <f t="shared" si="0"/>
        <v>-43.12626805808668</v>
      </c>
      <c r="E54">
        <f t="shared" si="1"/>
        <v>1859.8749966179475</v>
      </c>
      <c r="F54">
        <f t="shared" si="2"/>
        <v>6.4508375458499607</v>
      </c>
    </row>
    <row r="55" spans="1:6" x14ac:dyDescent="0.35">
      <c r="A55" s="9">
        <v>45188</v>
      </c>
      <c r="B55" s="8">
        <v>673.30263157894728</v>
      </c>
      <c r="C55">
        <f t="shared" si="3"/>
        <v>690.56514299456012</v>
      </c>
      <c r="D55">
        <f t="shared" si="0"/>
        <v>-17.262511415612835</v>
      </c>
      <c r="E55">
        <f t="shared" si="1"/>
        <v>297.99430037416346</v>
      </c>
      <c r="F55">
        <f t="shared" si="2"/>
        <v>2.563856222443524</v>
      </c>
    </row>
    <row r="56" spans="1:6" x14ac:dyDescent="0.35">
      <c r="A56" s="9">
        <v>45218</v>
      </c>
      <c r="B56" s="8">
        <v>698.61750000000006</v>
      </c>
      <c r="C56">
        <f t="shared" si="3"/>
        <v>694.99393934755199</v>
      </c>
      <c r="D56">
        <f t="shared" si="0"/>
        <v>3.6235606524480772</v>
      </c>
      <c r="E56">
        <f t="shared" si="1"/>
        <v>13.130191801969936</v>
      </c>
      <c r="F56">
        <f t="shared" si="2"/>
        <v>0.51867590669401742</v>
      </c>
    </row>
    <row r="57" spans="1:6" x14ac:dyDescent="0.35">
      <c r="A57" s="9">
        <v>45249</v>
      </c>
      <c r="B57" s="8">
        <v>737.63499999999988</v>
      </c>
      <c r="C57">
        <f t="shared" si="3"/>
        <v>718.44652270639835</v>
      </c>
      <c r="D57">
        <f t="shared" si="0"/>
        <v>19.188477293601522</v>
      </c>
      <c r="E57">
        <f t="shared" si="1"/>
        <v>368.19766084706123</v>
      </c>
      <c r="F57">
        <f t="shared" si="2"/>
        <v>2.6013512500900209</v>
      </c>
    </row>
    <row r="58" spans="1:6" x14ac:dyDescent="0.35">
      <c r="A58" s="9">
        <v>45279</v>
      </c>
      <c r="B58" s="8">
        <v>738.50238095238092</v>
      </c>
      <c r="C58">
        <f t="shared" si="3"/>
        <v>729.47724474168876</v>
      </c>
      <c r="D58">
        <f t="shared" si="0"/>
        <v>9.0251362106921533</v>
      </c>
      <c r="E58">
        <f t="shared" si="1"/>
        <v>81.453083621546725</v>
      </c>
      <c r="F58">
        <f t="shared" si="2"/>
        <v>1.2220862712796183</v>
      </c>
    </row>
    <row r="59" spans="1:6" x14ac:dyDescent="0.35">
      <c r="A59" s="9">
        <v>44946</v>
      </c>
      <c r="B59" s="8">
        <v>734.97608695652173</v>
      </c>
      <c r="C59">
        <f t="shared" si="3"/>
        <v>732.50160795984698</v>
      </c>
      <c r="D59">
        <f t="shared" si="0"/>
        <v>2.4744789966747476</v>
      </c>
      <c r="E59">
        <f t="shared" si="1"/>
        <v>6.1230463049844657</v>
      </c>
      <c r="F59">
        <f t="shared" si="2"/>
        <v>0.3366747627016507</v>
      </c>
    </row>
    <row r="60" spans="1:6" x14ac:dyDescent="0.35">
      <c r="A60" s="9">
        <v>44977</v>
      </c>
      <c r="B60" s="8">
        <v>732.16499999999985</v>
      </c>
      <c r="C60">
        <f t="shared" si="3"/>
        <v>732.31647358193095</v>
      </c>
      <c r="D60">
        <f t="shared" si="0"/>
        <v>-0.15147358193109994</v>
      </c>
      <c r="E60">
        <f t="shared" si="1"/>
        <v>2.2944246023037646E-2</v>
      </c>
      <c r="F60">
        <f t="shared" si="2"/>
        <v>2.0688448905793091E-2</v>
      </c>
    </row>
    <row r="61" spans="1:6" x14ac:dyDescent="0.35">
      <c r="A61" s="9">
        <v>45005</v>
      </c>
      <c r="B61" s="8">
        <v>497.98809523809524</v>
      </c>
      <c r="C61">
        <f t="shared" si="3"/>
        <v>603.43586549282122</v>
      </c>
      <c r="D61">
        <f t="shared" si="0"/>
        <v>-105.44777025472598</v>
      </c>
      <c r="E61">
        <f t="shared" si="1"/>
        <v>11119.232251693473</v>
      </c>
      <c r="F61">
        <f t="shared" si="2"/>
        <v>21.17475724079506</v>
      </c>
    </row>
    <row r="62" spans="1:6" x14ac:dyDescent="0.35">
      <c r="A62" s="9">
        <v>45036</v>
      </c>
      <c r="B62" s="8">
        <v>418.36388888888882</v>
      </c>
      <c r="C62">
        <f t="shared" si="3"/>
        <v>501.64627836065841</v>
      </c>
      <c r="D62">
        <f t="shared" si="0"/>
        <v>-83.282389471769591</v>
      </c>
      <c r="E62">
        <f t="shared" si="1"/>
        <v>6935.956396127518</v>
      </c>
      <c r="F62">
        <f t="shared" si="2"/>
        <v>19.906686901910923</v>
      </c>
    </row>
    <row r="63" spans="1:6" x14ac:dyDescent="0.35">
      <c r="A63" s="9">
        <v>45066</v>
      </c>
      <c r="B63" s="8">
        <v>379.2157894736842</v>
      </c>
      <c r="C63">
        <f t="shared" si="3"/>
        <v>434.30950947282258</v>
      </c>
      <c r="D63">
        <f t="shared" si="0"/>
        <v>-55.093719999138386</v>
      </c>
      <c r="E63">
        <f t="shared" si="1"/>
        <v>3035.317983343461</v>
      </c>
      <c r="F63">
        <f t="shared" si="2"/>
        <v>14.528329655155783</v>
      </c>
    </row>
    <row r="64" spans="1:6" x14ac:dyDescent="0.35">
      <c r="A64" s="9">
        <v>45097</v>
      </c>
      <c r="B64" s="8">
        <v>411.59545454545446</v>
      </c>
      <c r="C64">
        <f t="shared" si="3"/>
        <v>421.81677926277013</v>
      </c>
      <c r="D64">
        <f t="shared" si="0"/>
        <v>-10.221324717315667</v>
      </c>
      <c r="E64">
        <f t="shared" si="1"/>
        <v>104.4754789768082</v>
      </c>
      <c r="F64">
        <f t="shared" si="2"/>
        <v>2.483342467570151</v>
      </c>
    </row>
    <row r="65" spans="1:6" x14ac:dyDescent="0.35">
      <c r="A65" s="9">
        <v>45127</v>
      </c>
      <c r="B65" s="8">
        <v>438.60217391304343</v>
      </c>
      <c r="C65">
        <f t="shared" si="3"/>
        <v>431.04874632042043</v>
      </c>
      <c r="D65">
        <f t="shared" si="0"/>
        <v>7.5534275926229952</v>
      </c>
      <c r="E65">
        <f t="shared" si="1"/>
        <v>57.054268396998417</v>
      </c>
      <c r="F65">
        <f t="shared" si="2"/>
        <v>1.7221591779252161</v>
      </c>
    </row>
    <row r="66" spans="1:6" x14ac:dyDescent="0.35">
      <c r="A66" s="9">
        <v>45158</v>
      </c>
      <c r="B66" s="8">
        <v>447.87619047619046</v>
      </c>
      <c r="C66">
        <f t="shared" si="3"/>
        <v>440.30384060609396</v>
      </c>
      <c r="D66">
        <f t="shared" si="0"/>
        <v>7.5723498700965024</v>
      </c>
      <c r="E66">
        <f t="shared" si="1"/>
        <v>57.340482555150516</v>
      </c>
      <c r="F66">
        <f t="shared" si="2"/>
        <v>1.6907239168140278</v>
      </c>
    </row>
    <row r="67" spans="1:6" x14ac:dyDescent="0.35">
      <c r="A67" s="9">
        <v>45189</v>
      </c>
      <c r="B67" s="8">
        <v>441.55909090909086</v>
      </c>
      <c r="C67">
        <f t="shared" si="3"/>
        <v>440.99422827274225</v>
      </c>
      <c r="D67">
        <f t="shared" si="0"/>
        <v>0.56486263634860734</v>
      </c>
      <c r="E67">
        <f t="shared" si="1"/>
        <v>0.31906979794269902</v>
      </c>
      <c r="F67">
        <f t="shared" si="2"/>
        <v>0.12792458540161786</v>
      </c>
    </row>
    <row r="68" spans="1:6" x14ac:dyDescent="0.35">
      <c r="A68" s="9">
        <v>45219</v>
      </c>
      <c r="B68" s="8">
        <v>478.31190476190483</v>
      </c>
      <c r="C68">
        <f t="shared" si="3"/>
        <v>461.51895034178165</v>
      </c>
      <c r="D68">
        <f t="shared" ref="D68:D85" si="4">B68-C68</f>
        <v>16.792954420123181</v>
      </c>
      <c r="E68">
        <f t="shared" ref="E68:E85" si="5">D68*D68</f>
        <v>282.00331815633467</v>
      </c>
      <c r="F68">
        <f t="shared" ref="F68:F85" si="6">ABS(D68)/B68*100</f>
        <v>3.5108794602305404</v>
      </c>
    </row>
    <row r="69" spans="1:6" x14ac:dyDescent="0.35">
      <c r="A69" s="9">
        <v>45250</v>
      </c>
      <c r="B69" s="8">
        <v>587.86</v>
      </c>
      <c r="C69">
        <f t="shared" si="3"/>
        <v>531.00652765380175</v>
      </c>
      <c r="D69">
        <f t="shared" si="4"/>
        <v>56.853472346198259</v>
      </c>
      <c r="E69">
        <f t="shared" si="5"/>
        <v>3232.3173178199304</v>
      </c>
      <c r="F69">
        <f t="shared" si="6"/>
        <v>9.6712605630929573</v>
      </c>
    </row>
    <row r="70" spans="1:6" x14ac:dyDescent="0.35">
      <c r="A70" s="9">
        <v>45280</v>
      </c>
      <c r="B70" s="8">
        <v>611.62045454545466</v>
      </c>
      <c r="C70">
        <f t="shared" ref="C70:C85" si="7">B70*$P$5+(1-$P$5)*C69</f>
        <v>575.34418744421077</v>
      </c>
      <c r="D70">
        <f t="shared" si="4"/>
        <v>36.276267101243889</v>
      </c>
      <c r="E70">
        <f t="shared" si="5"/>
        <v>1315.9675548007897</v>
      </c>
      <c r="F70">
        <f t="shared" si="6"/>
        <v>5.9311729736383256</v>
      </c>
    </row>
    <row r="71" spans="1:6" x14ac:dyDescent="0.35">
      <c r="A71" s="9">
        <v>44947</v>
      </c>
      <c r="B71" s="8">
        <v>661.91250000000002</v>
      </c>
      <c r="C71">
        <f t="shared" si="7"/>
        <v>622.95675934989481</v>
      </c>
      <c r="D71">
        <f t="shared" si="4"/>
        <v>38.955740650105213</v>
      </c>
      <c r="E71">
        <f t="shared" si="5"/>
        <v>1517.5497295982598</v>
      </c>
      <c r="F71">
        <f t="shared" si="6"/>
        <v>5.8853308632342207</v>
      </c>
    </row>
    <row r="72" spans="1:6" x14ac:dyDescent="0.35">
      <c r="A72" s="9">
        <v>44978</v>
      </c>
      <c r="B72" s="8">
        <v>743.92499999999995</v>
      </c>
      <c r="C72">
        <f t="shared" si="7"/>
        <v>689.48929170745259</v>
      </c>
      <c r="D72">
        <f t="shared" si="4"/>
        <v>54.435708292547361</v>
      </c>
      <c r="E72">
        <f t="shared" si="5"/>
        <v>2963.2463373113096</v>
      </c>
      <c r="F72">
        <f t="shared" si="6"/>
        <v>7.3173650962862338</v>
      </c>
    </row>
    <row r="73" spans="1:6" x14ac:dyDescent="0.35">
      <c r="A73" s="9">
        <v>45006</v>
      </c>
      <c r="B73" s="8">
        <v>727.39047619047631</v>
      </c>
      <c r="C73">
        <f t="shared" si="7"/>
        <v>710.33494317311556</v>
      </c>
      <c r="D73">
        <f t="shared" si="4"/>
        <v>17.055533017360744</v>
      </c>
      <c r="E73">
        <f t="shared" si="5"/>
        <v>290.89120650628251</v>
      </c>
      <c r="F73">
        <f t="shared" si="6"/>
        <v>2.3447561626988556</v>
      </c>
    </row>
    <row r="74" spans="1:6" x14ac:dyDescent="0.35">
      <c r="A74" s="9">
        <v>45037</v>
      </c>
      <c r="B74" s="8">
        <v>680.06578947368416</v>
      </c>
      <c r="C74">
        <f t="shared" si="7"/>
        <v>693.68690863842835</v>
      </c>
      <c r="D74">
        <f t="shared" si="4"/>
        <v>-13.621119164744186</v>
      </c>
      <c r="E74">
        <f t="shared" si="5"/>
        <v>185.53488730016136</v>
      </c>
      <c r="F74">
        <f t="shared" si="6"/>
        <v>2.0029119793374446</v>
      </c>
    </row>
    <row r="75" spans="1:6" x14ac:dyDescent="0.35">
      <c r="A75" s="9">
        <v>45067</v>
      </c>
      <c r="B75" s="8">
        <v>718.745</v>
      </c>
      <c r="C75">
        <f t="shared" si="7"/>
        <v>707.46885888729275</v>
      </c>
      <c r="D75">
        <f t="shared" si="4"/>
        <v>11.276141112707251</v>
      </c>
      <c r="E75">
        <f t="shared" si="5"/>
        <v>127.15135839368671</v>
      </c>
      <c r="F75">
        <f t="shared" si="6"/>
        <v>1.5688653295267794</v>
      </c>
    </row>
    <row r="76" spans="1:6" x14ac:dyDescent="0.35">
      <c r="A76" s="9">
        <v>45098</v>
      </c>
      <c r="B76" s="8">
        <v>744.45454545454538</v>
      </c>
      <c r="C76">
        <f t="shared" si="7"/>
        <v>727.81098649928163</v>
      </c>
      <c r="D76">
        <f t="shared" si="4"/>
        <v>16.643558955263757</v>
      </c>
      <c r="E76">
        <f t="shared" si="5"/>
        <v>277.00805469734041</v>
      </c>
      <c r="F76">
        <f t="shared" si="6"/>
        <v>2.2356716144572153</v>
      </c>
    </row>
    <row r="77" spans="1:6" x14ac:dyDescent="0.35">
      <c r="A77" s="9">
        <v>45128</v>
      </c>
      <c r="B77" s="8">
        <v>750.4904761904761</v>
      </c>
      <c r="C77">
        <f t="shared" si="7"/>
        <v>740.28470582943851</v>
      </c>
      <c r="D77">
        <f t="shared" si="4"/>
        <v>10.205770361037594</v>
      </c>
      <c r="E77">
        <f t="shared" si="5"/>
        <v>104.15774866223342</v>
      </c>
      <c r="F77">
        <f t="shared" si="6"/>
        <v>1.3598800630812198</v>
      </c>
    </row>
    <row r="78" spans="1:6" x14ac:dyDescent="0.35">
      <c r="A78" s="9">
        <v>45159</v>
      </c>
      <c r="B78" s="8">
        <v>752.52380952380952</v>
      </c>
      <c r="C78">
        <f t="shared" si="7"/>
        <v>747.01621286134264</v>
      </c>
      <c r="D78">
        <f t="shared" si="4"/>
        <v>5.5075966624668808</v>
      </c>
      <c r="E78">
        <f t="shared" si="5"/>
        <v>30.333620996416325</v>
      </c>
      <c r="F78">
        <f t="shared" si="6"/>
        <v>0.73188337601597475</v>
      </c>
    </row>
    <row r="79" spans="1:6" x14ac:dyDescent="0.35">
      <c r="A79" s="9">
        <v>45190</v>
      </c>
      <c r="B79" s="8">
        <v>794.37142857142851</v>
      </c>
      <c r="C79">
        <f t="shared" si="7"/>
        <v>773.0615815018898</v>
      </c>
      <c r="D79">
        <f t="shared" si="4"/>
        <v>21.309847069538705</v>
      </c>
      <c r="E79">
        <f t="shared" si="5"/>
        <v>454.10958212712734</v>
      </c>
      <c r="F79">
        <f t="shared" si="6"/>
        <v>2.6826049254895326</v>
      </c>
    </row>
    <row r="80" spans="1:6" x14ac:dyDescent="0.35">
      <c r="A80" s="9">
        <v>45220</v>
      </c>
      <c r="B80" s="8">
        <v>793.39</v>
      </c>
      <c r="C80">
        <f t="shared" si="7"/>
        <v>784.2422116758504</v>
      </c>
      <c r="D80">
        <f t="shared" si="4"/>
        <v>9.1477883241495874</v>
      </c>
      <c r="E80">
        <f t="shared" si="5"/>
        <v>83.682031223447524</v>
      </c>
      <c r="F80">
        <f t="shared" si="6"/>
        <v>1.1530002047101158</v>
      </c>
    </row>
    <row r="81" spans="1:6" x14ac:dyDescent="0.35">
      <c r="A81" s="9">
        <v>45251</v>
      </c>
      <c r="B81" s="8">
        <v>715.75</v>
      </c>
      <c r="C81">
        <f t="shared" si="7"/>
        <v>746.57149525413274</v>
      </c>
      <c r="D81">
        <f t="shared" si="4"/>
        <v>-30.821495254132742</v>
      </c>
      <c r="E81">
        <f t="shared" si="5"/>
        <v>949.96456970052714</v>
      </c>
      <c r="F81">
        <f t="shared" si="6"/>
        <v>4.3061816631690872</v>
      </c>
    </row>
    <row r="82" spans="1:6" x14ac:dyDescent="0.35">
      <c r="A82" s="9">
        <v>45281</v>
      </c>
      <c r="B82" s="8">
        <v>682.83478260869572</v>
      </c>
      <c r="C82">
        <f t="shared" si="7"/>
        <v>711.51630329914235</v>
      </c>
      <c r="D82">
        <f t="shared" si="4"/>
        <v>-28.681520690446632</v>
      </c>
      <c r="E82">
        <f t="shared" si="5"/>
        <v>822.62962911651823</v>
      </c>
      <c r="F82">
        <f t="shared" si="6"/>
        <v>4.2003602366112656</v>
      </c>
    </row>
    <row r="83" spans="1:6" x14ac:dyDescent="0.35">
      <c r="A83" s="9">
        <v>44948</v>
      </c>
      <c r="B83" s="8">
        <v>733.29250000000002</v>
      </c>
      <c r="C83">
        <f t="shared" si="7"/>
        <v>723.49321148461411</v>
      </c>
      <c r="D83">
        <f t="shared" si="4"/>
        <v>9.7992885153859106</v>
      </c>
      <c r="E83">
        <f t="shared" si="5"/>
        <v>96.026055407774209</v>
      </c>
      <c r="F83">
        <f t="shared" si="6"/>
        <v>1.3363410256324604</v>
      </c>
    </row>
    <row r="84" spans="1:6" x14ac:dyDescent="0.35">
      <c r="A84" s="9">
        <v>44979</v>
      </c>
      <c r="B84" s="8">
        <v>785.16</v>
      </c>
      <c r="C84">
        <f t="shared" si="7"/>
        <v>757.40994516807632</v>
      </c>
      <c r="D84">
        <f t="shared" si="4"/>
        <v>27.750054831923649</v>
      </c>
      <c r="E84">
        <f t="shared" si="5"/>
        <v>770.065543174769</v>
      </c>
      <c r="F84">
        <f t="shared" si="6"/>
        <v>3.5343184614503609</v>
      </c>
    </row>
    <row r="85" spans="1:6" x14ac:dyDescent="0.35">
      <c r="A85" s="9">
        <v>45007</v>
      </c>
      <c r="B85" s="8">
        <v>716.19749999999999</v>
      </c>
      <c r="C85">
        <f t="shared" si="7"/>
        <v>734.74310032563426</v>
      </c>
      <c r="D85">
        <f t="shared" si="4"/>
        <v>-18.545600325634268</v>
      </c>
      <c r="E85">
        <f t="shared" si="5"/>
        <v>343.93929143816587</v>
      </c>
      <c r="F85">
        <f t="shared" si="6"/>
        <v>2.5894533736342655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49EA-4286-4A0B-81EC-A4866CA85C6D}">
  <dimension ref="A1:P85"/>
  <sheetViews>
    <sheetView topLeftCell="B1" workbookViewId="0">
      <selection activeCell="I5" sqref="I5:J5"/>
    </sheetView>
  </sheetViews>
  <sheetFormatPr defaultRowHeight="14.5" x14ac:dyDescent="0.35"/>
  <cols>
    <col min="6" max="6" width="12.6328125" customWidth="1"/>
  </cols>
  <sheetData>
    <row r="1" spans="1:16" x14ac:dyDescent="0.35">
      <c r="A1" t="s">
        <v>28</v>
      </c>
      <c r="B1" t="s">
        <v>29</v>
      </c>
      <c r="C1" t="s">
        <v>30</v>
      </c>
      <c r="D1" t="s">
        <v>31</v>
      </c>
      <c r="E1" t="s">
        <v>33</v>
      </c>
      <c r="F1" t="s">
        <v>32</v>
      </c>
    </row>
    <row r="2" spans="1:16" x14ac:dyDescent="0.35">
      <c r="A2" s="9">
        <v>45031</v>
      </c>
      <c r="B2" s="8">
        <v>548.38421052631577</v>
      </c>
      <c r="C2">
        <f>B2*P5</f>
        <v>329.03052631578947</v>
      </c>
      <c r="D2">
        <f>B2-C2</f>
        <v>219.3536842105263</v>
      </c>
      <c r="E2">
        <f>D2*D2</f>
        <v>48116.038776731293</v>
      </c>
      <c r="F2">
        <f>ABS(D2)/B2*100</f>
        <v>40</v>
      </c>
      <c r="I2" t="s">
        <v>38</v>
      </c>
      <c r="J2">
        <f>SUM(E:E)/84</f>
        <v>1158.0064172459965</v>
      </c>
    </row>
    <row r="3" spans="1:16" x14ac:dyDescent="0.35">
      <c r="A3" s="9">
        <v>45061</v>
      </c>
      <c r="B3" s="8">
        <v>559.79999999999995</v>
      </c>
      <c r="C3">
        <f>B3*$P$5+(1-$P$5)*C2</f>
        <v>467.49221052631572</v>
      </c>
      <c r="D3">
        <f>B3-C3</f>
        <v>92.307789473684238</v>
      </c>
      <c r="E3">
        <f>D3*D3</f>
        <v>8520.7279975180099</v>
      </c>
      <c r="F3">
        <f>ABS(D3)/B3*100</f>
        <v>16.489422914198688</v>
      </c>
      <c r="I3" t="s">
        <v>37</v>
      </c>
      <c r="J3">
        <f>SQRT(J2)</f>
        <v>34.029493343950868</v>
      </c>
    </row>
    <row r="4" spans="1:16" x14ac:dyDescent="0.35">
      <c r="A4" s="9">
        <v>45092</v>
      </c>
      <c r="B4" s="8">
        <v>558.47499999999991</v>
      </c>
      <c r="C4">
        <f>B4*$P$5+(1-$P$5)*C3</f>
        <v>522.08188421052625</v>
      </c>
      <c r="D4">
        <f t="shared" ref="D4:D67" si="0">B4-C4</f>
        <v>36.393115789473654</v>
      </c>
      <c r="E4">
        <f t="shared" ref="E4:E67" si="1">D4*D4</f>
        <v>1324.4588768660367</v>
      </c>
      <c r="F4">
        <f t="shared" ref="F4:F67" si="2">ABS(D4)/B4*100</f>
        <v>6.5165165476473721</v>
      </c>
      <c r="I4" t="s">
        <v>39</v>
      </c>
      <c r="J4">
        <f>SUM(F:F)/84</f>
        <v>3.5266669229462244</v>
      </c>
    </row>
    <row r="5" spans="1:16" x14ac:dyDescent="0.35">
      <c r="A5" s="9">
        <v>45122</v>
      </c>
      <c r="B5" s="8">
        <v>581.22173913043491</v>
      </c>
      <c r="C5">
        <f>B5*$P$5+(1-$P$5)*C4</f>
        <v>557.56579716247143</v>
      </c>
      <c r="D5">
        <f t="shared" si="0"/>
        <v>23.655941967963486</v>
      </c>
      <c r="E5">
        <f t="shared" si="1"/>
        <v>559.6035903916561</v>
      </c>
      <c r="F5">
        <f t="shared" si="2"/>
        <v>4.0700373670391459</v>
      </c>
      <c r="I5" s="8" t="s">
        <v>35</v>
      </c>
      <c r="J5" s="8">
        <f>100-J4</f>
        <v>96.47333307705378</v>
      </c>
      <c r="P5">
        <v>0.6</v>
      </c>
    </row>
    <row r="6" spans="1:16" x14ac:dyDescent="0.35">
      <c r="A6" s="9">
        <v>45153</v>
      </c>
      <c r="B6" s="8">
        <v>546.95238095238096</v>
      </c>
      <c r="C6">
        <f t="shared" ref="C6:C69" si="3">B6*$P$5+(1-$P$5)*C5</f>
        <v>551.1977474364171</v>
      </c>
      <c r="D6">
        <f t="shared" si="0"/>
        <v>-4.2453664840361398</v>
      </c>
      <c r="E6">
        <f t="shared" si="1"/>
        <v>18.023136583777376</v>
      </c>
      <c r="F6">
        <f t="shared" si="2"/>
        <v>0.77618575800765222</v>
      </c>
    </row>
    <row r="7" spans="1:16" x14ac:dyDescent="0.35">
      <c r="A7" s="9">
        <v>45184</v>
      </c>
      <c r="B7" s="8">
        <v>491.81499999999994</v>
      </c>
      <c r="C7">
        <f t="shared" si="3"/>
        <v>515.56809897456674</v>
      </c>
      <c r="D7">
        <f t="shared" si="0"/>
        <v>-23.753098974566797</v>
      </c>
      <c r="E7">
        <f t="shared" si="1"/>
        <v>564.20971089556622</v>
      </c>
      <c r="F7">
        <f t="shared" si="2"/>
        <v>4.8296816840817787</v>
      </c>
    </row>
    <row r="8" spans="1:16" x14ac:dyDescent="0.35">
      <c r="A8" s="9">
        <v>45214</v>
      </c>
      <c r="B8" s="8">
        <v>499.74999999999989</v>
      </c>
      <c r="C8">
        <f t="shared" si="3"/>
        <v>506.0772395898266</v>
      </c>
      <c r="D8">
        <f t="shared" si="0"/>
        <v>-6.3272395898267177</v>
      </c>
      <c r="E8">
        <f t="shared" si="1"/>
        <v>40.033960827070572</v>
      </c>
      <c r="F8">
        <f t="shared" si="2"/>
        <v>1.266080958444566</v>
      </c>
    </row>
    <row r="9" spans="1:16" x14ac:dyDescent="0.35">
      <c r="A9" s="9">
        <v>45245</v>
      </c>
      <c r="B9" s="8">
        <v>469.91842105263163</v>
      </c>
      <c r="C9">
        <f t="shared" si="3"/>
        <v>484.38194846750963</v>
      </c>
      <c r="D9">
        <f t="shared" si="0"/>
        <v>-14.463527414878001</v>
      </c>
      <c r="E9">
        <f t="shared" si="1"/>
        <v>209.19362528092751</v>
      </c>
      <c r="F9">
        <f t="shared" si="2"/>
        <v>3.0778804930607437</v>
      </c>
    </row>
    <row r="10" spans="1:16" x14ac:dyDescent="0.35">
      <c r="A10" s="9">
        <v>45275</v>
      </c>
      <c r="B10" s="8">
        <v>449.53636363636366</v>
      </c>
      <c r="C10">
        <f t="shared" si="3"/>
        <v>463.47459756882211</v>
      </c>
      <c r="D10">
        <f t="shared" si="0"/>
        <v>-13.938233932458445</v>
      </c>
      <c r="E10">
        <f t="shared" si="1"/>
        <v>194.27436515593601</v>
      </c>
      <c r="F10">
        <f t="shared" si="2"/>
        <v>3.1005798551445509</v>
      </c>
    </row>
    <row r="11" spans="1:16" x14ac:dyDescent="0.35">
      <c r="A11" s="9">
        <v>44942</v>
      </c>
      <c r="B11" s="8">
        <v>410.53249999999991</v>
      </c>
      <c r="C11">
        <f t="shared" si="3"/>
        <v>431.70933902752881</v>
      </c>
      <c r="D11">
        <f t="shared" si="0"/>
        <v>-21.176839027528899</v>
      </c>
      <c r="E11">
        <f t="shared" si="1"/>
        <v>448.45851119787113</v>
      </c>
      <c r="F11">
        <f t="shared" si="2"/>
        <v>5.1583830823452237</v>
      </c>
    </row>
    <row r="12" spans="1:16" x14ac:dyDescent="0.35">
      <c r="A12" s="9">
        <v>44973</v>
      </c>
      <c r="B12" s="8">
        <v>392.84523809523807</v>
      </c>
      <c r="C12">
        <f t="shared" si="3"/>
        <v>408.39087846815437</v>
      </c>
      <c r="D12">
        <f t="shared" si="0"/>
        <v>-15.545640372916296</v>
      </c>
      <c r="E12">
        <f t="shared" si="1"/>
        <v>241.66693460404511</v>
      </c>
      <c r="F12">
        <f t="shared" si="2"/>
        <v>3.9571920098335371</v>
      </c>
    </row>
    <row r="13" spans="1:16" x14ac:dyDescent="0.35">
      <c r="A13" s="9">
        <v>45001</v>
      </c>
      <c r="B13" s="8">
        <v>423.7</v>
      </c>
      <c r="C13">
        <f t="shared" si="3"/>
        <v>417.57635138726175</v>
      </c>
      <c r="D13">
        <f t="shared" si="0"/>
        <v>6.1236486127382364</v>
      </c>
      <c r="E13">
        <f t="shared" si="1"/>
        <v>37.499072332290929</v>
      </c>
      <c r="F13">
        <f t="shared" si="2"/>
        <v>1.4452793516021329</v>
      </c>
    </row>
    <row r="14" spans="1:16" x14ac:dyDescent="0.35">
      <c r="A14" s="9">
        <v>45032</v>
      </c>
      <c r="B14" s="8">
        <v>450.48333333333335</v>
      </c>
      <c r="C14">
        <f t="shared" si="3"/>
        <v>437.32054055490471</v>
      </c>
      <c r="D14">
        <f t="shared" si="0"/>
        <v>13.162792778428638</v>
      </c>
      <c r="E14">
        <f t="shared" si="1"/>
        <v>173.25911372785311</v>
      </c>
      <c r="F14">
        <f t="shared" si="2"/>
        <v>2.921926696162338</v>
      </c>
    </row>
    <row r="15" spans="1:16" x14ac:dyDescent="0.35">
      <c r="A15" s="9">
        <v>45062</v>
      </c>
      <c r="B15" s="8">
        <v>490.16590909090917</v>
      </c>
      <c r="C15">
        <f t="shared" si="3"/>
        <v>469.02776167650734</v>
      </c>
      <c r="D15">
        <f t="shared" si="0"/>
        <v>21.138147414401828</v>
      </c>
      <c r="E15">
        <f t="shared" si="1"/>
        <v>446.82127611298273</v>
      </c>
      <c r="F15">
        <f t="shared" si="2"/>
        <v>4.3124474840785831</v>
      </c>
    </row>
    <row r="16" spans="1:16" x14ac:dyDescent="0.35">
      <c r="A16" s="9">
        <v>45093</v>
      </c>
      <c r="B16" s="8">
        <v>526.43409090909086</v>
      </c>
      <c r="C16">
        <f t="shared" si="3"/>
        <v>503.47155921605747</v>
      </c>
      <c r="D16">
        <f t="shared" si="0"/>
        <v>22.962531693033384</v>
      </c>
      <c r="E16">
        <f t="shared" si="1"/>
        <v>527.27786175356255</v>
      </c>
      <c r="F16">
        <f t="shared" si="2"/>
        <v>4.3619005853856736</v>
      </c>
    </row>
    <row r="17" spans="1:6" x14ac:dyDescent="0.35">
      <c r="A17" s="9">
        <v>45123</v>
      </c>
      <c r="B17" s="8">
        <v>550.19499999999994</v>
      </c>
      <c r="C17">
        <f t="shared" si="3"/>
        <v>531.50562368642295</v>
      </c>
      <c r="D17">
        <f t="shared" si="0"/>
        <v>18.689376313576986</v>
      </c>
      <c r="E17">
        <f t="shared" si="1"/>
        <v>349.29278699049252</v>
      </c>
      <c r="F17">
        <f t="shared" si="2"/>
        <v>3.3968640779318222</v>
      </c>
    </row>
    <row r="18" spans="1:6" x14ac:dyDescent="0.35">
      <c r="A18" s="9">
        <v>45154</v>
      </c>
      <c r="B18" s="8">
        <v>576.77045454545453</v>
      </c>
      <c r="C18">
        <f t="shared" si="3"/>
        <v>558.66452220184192</v>
      </c>
      <c r="D18">
        <f t="shared" si="0"/>
        <v>18.105932343612608</v>
      </c>
      <c r="E18">
        <f t="shared" si="1"/>
        <v>327.82478603147712</v>
      </c>
      <c r="F18">
        <f t="shared" si="2"/>
        <v>3.1391920652179843</v>
      </c>
    </row>
    <row r="19" spans="1:6" x14ac:dyDescent="0.35">
      <c r="A19" s="9">
        <v>45185</v>
      </c>
      <c r="B19" s="8">
        <v>586.88750000000005</v>
      </c>
      <c r="C19">
        <f t="shared" si="3"/>
        <v>575.59830888073679</v>
      </c>
      <c r="D19">
        <f t="shared" si="0"/>
        <v>11.289191119263251</v>
      </c>
      <c r="E19">
        <f t="shared" si="1"/>
        <v>127.44583612725225</v>
      </c>
      <c r="F19">
        <f t="shared" si="2"/>
        <v>1.9235698697387913</v>
      </c>
    </row>
    <row r="20" spans="1:6" x14ac:dyDescent="0.35">
      <c r="A20" s="9">
        <v>45215</v>
      </c>
      <c r="B20" s="8">
        <v>522.12894736842111</v>
      </c>
      <c r="C20">
        <f t="shared" si="3"/>
        <v>543.51669197334741</v>
      </c>
      <c r="D20">
        <f t="shared" si="0"/>
        <v>-21.387744604926297</v>
      </c>
      <c r="E20">
        <f t="shared" si="1"/>
        <v>457.43561928555391</v>
      </c>
      <c r="F20">
        <f t="shared" si="2"/>
        <v>4.0962572009697098</v>
      </c>
    </row>
    <row r="21" spans="1:6" x14ac:dyDescent="0.35">
      <c r="A21" s="9">
        <v>45246</v>
      </c>
      <c r="B21" s="8">
        <v>478.0928571428571</v>
      </c>
      <c r="C21">
        <f t="shared" si="3"/>
        <v>504.26239107505324</v>
      </c>
      <c r="D21">
        <f t="shared" si="0"/>
        <v>-26.169533932196146</v>
      </c>
      <c r="E21">
        <f t="shared" si="1"/>
        <v>684.8445062283655</v>
      </c>
      <c r="F21">
        <f t="shared" si="2"/>
        <v>5.4737345562091351</v>
      </c>
    </row>
    <row r="22" spans="1:6" x14ac:dyDescent="0.35">
      <c r="A22" s="9">
        <v>45276</v>
      </c>
      <c r="B22" s="8">
        <v>454.00909090909096</v>
      </c>
      <c r="C22">
        <f t="shared" si="3"/>
        <v>474.11041097547587</v>
      </c>
      <c r="D22">
        <f t="shared" si="0"/>
        <v>-20.101320066384915</v>
      </c>
      <c r="E22">
        <f t="shared" si="1"/>
        <v>404.06306841124882</v>
      </c>
      <c r="F22">
        <f t="shared" si="2"/>
        <v>4.427514882165636</v>
      </c>
    </row>
    <row r="23" spans="1:6" x14ac:dyDescent="0.35">
      <c r="A23" s="9">
        <v>44943</v>
      </c>
      <c r="B23" s="8">
        <v>462.33809523809515</v>
      </c>
      <c r="C23">
        <f t="shared" si="3"/>
        <v>467.04702153304743</v>
      </c>
      <c r="D23">
        <f t="shared" si="0"/>
        <v>-4.7089262949522777</v>
      </c>
      <c r="E23">
        <f t="shared" si="1"/>
        <v>22.173986851292984</v>
      </c>
      <c r="F23">
        <f t="shared" si="2"/>
        <v>1.0185027674449521</v>
      </c>
    </row>
    <row r="24" spans="1:6" x14ac:dyDescent="0.35">
      <c r="A24" s="9">
        <v>44974</v>
      </c>
      <c r="B24" s="8">
        <v>494.97105263157897</v>
      </c>
      <c r="C24">
        <f t="shared" si="3"/>
        <v>483.8014401921663</v>
      </c>
      <c r="D24">
        <f t="shared" si="0"/>
        <v>11.169612439412674</v>
      </c>
      <c r="E24">
        <f t="shared" si="1"/>
        <v>124.76024204668235</v>
      </c>
      <c r="F24">
        <f t="shared" si="2"/>
        <v>2.2566193275400561</v>
      </c>
    </row>
    <row r="25" spans="1:6" x14ac:dyDescent="0.35">
      <c r="A25" s="9">
        <v>45002</v>
      </c>
      <c r="B25" s="8">
        <v>504.42272727272717</v>
      </c>
      <c r="C25">
        <f t="shared" si="3"/>
        <v>496.1742124405028</v>
      </c>
      <c r="D25">
        <f t="shared" si="0"/>
        <v>8.2485148322243731</v>
      </c>
      <c r="E25">
        <f t="shared" si="1"/>
        <v>68.037996937425476</v>
      </c>
      <c r="F25">
        <f t="shared" si="2"/>
        <v>1.6352385382835126</v>
      </c>
    </row>
    <row r="26" spans="1:6" x14ac:dyDescent="0.35">
      <c r="A26" s="9">
        <v>45033</v>
      </c>
      <c r="B26" s="8">
        <v>504.74166666666656</v>
      </c>
      <c r="C26">
        <f t="shared" si="3"/>
        <v>501.31468497620108</v>
      </c>
      <c r="D26">
        <f t="shared" si="0"/>
        <v>3.4269816904654817</v>
      </c>
      <c r="E26">
        <f t="shared" si="1"/>
        <v>11.744203506785651</v>
      </c>
      <c r="F26">
        <f t="shared" si="2"/>
        <v>0.6789575572584291</v>
      </c>
    </row>
    <row r="27" spans="1:6" x14ac:dyDescent="0.35">
      <c r="A27" s="9">
        <v>45063</v>
      </c>
      <c r="B27" s="8">
        <v>507.28636363636366</v>
      </c>
      <c r="C27">
        <f t="shared" si="3"/>
        <v>504.89769217229866</v>
      </c>
      <c r="D27">
        <f t="shared" si="0"/>
        <v>2.3886714640649984</v>
      </c>
      <c r="E27">
        <f t="shared" si="1"/>
        <v>5.7057513632384227</v>
      </c>
      <c r="F27">
        <f t="shared" si="2"/>
        <v>0.47087239777989803</v>
      </c>
    </row>
    <row r="28" spans="1:6" x14ac:dyDescent="0.35">
      <c r="A28" s="9">
        <v>45094</v>
      </c>
      <c r="B28" s="8">
        <v>509.19047619047626</v>
      </c>
      <c r="C28">
        <f t="shared" si="3"/>
        <v>507.47336258320524</v>
      </c>
      <c r="D28">
        <f t="shared" si="0"/>
        <v>1.7171136072710169</v>
      </c>
      <c r="E28">
        <f t="shared" si="1"/>
        <v>2.9484791402752841</v>
      </c>
      <c r="F28">
        <f t="shared" si="2"/>
        <v>0.33722421914047834</v>
      </c>
    </row>
    <row r="29" spans="1:6" x14ac:dyDescent="0.35">
      <c r="A29" s="9">
        <v>45124</v>
      </c>
      <c r="B29" s="8">
        <v>518.89285714285711</v>
      </c>
      <c r="C29">
        <f t="shared" si="3"/>
        <v>514.32505931899641</v>
      </c>
      <c r="D29">
        <f t="shared" si="0"/>
        <v>4.5677978238607011</v>
      </c>
      <c r="E29">
        <f t="shared" si="1"/>
        <v>20.864776959666557</v>
      </c>
      <c r="F29">
        <f t="shared" si="2"/>
        <v>0.88029691698051915</v>
      </c>
    </row>
    <row r="30" spans="1:6" x14ac:dyDescent="0.35">
      <c r="A30" s="9">
        <v>45155</v>
      </c>
      <c r="B30" s="8">
        <v>500.74761904761897</v>
      </c>
      <c r="C30">
        <f t="shared" si="3"/>
        <v>506.17859515616993</v>
      </c>
      <c r="D30">
        <f t="shared" si="0"/>
        <v>-5.4309761085509649</v>
      </c>
      <c r="E30">
        <f t="shared" si="1"/>
        <v>29.495501491651382</v>
      </c>
      <c r="F30">
        <f t="shared" si="2"/>
        <v>1.084573526056946</v>
      </c>
    </row>
    <row r="31" spans="1:6" x14ac:dyDescent="0.35">
      <c r="A31" s="9">
        <v>45186</v>
      </c>
      <c r="B31" s="8">
        <v>506.91666666666657</v>
      </c>
      <c r="C31">
        <f t="shared" si="3"/>
        <v>506.62143806246792</v>
      </c>
      <c r="D31">
        <f t="shared" si="0"/>
        <v>0.29522860419865538</v>
      </c>
      <c r="E31">
        <f t="shared" si="1"/>
        <v>8.715992873708632E-2</v>
      </c>
      <c r="F31">
        <f t="shared" si="2"/>
        <v>5.8240066585301092E-2</v>
      </c>
    </row>
    <row r="32" spans="1:6" x14ac:dyDescent="0.35">
      <c r="A32" s="9">
        <v>45216</v>
      </c>
      <c r="B32" s="8">
        <v>496.07749999999999</v>
      </c>
      <c r="C32">
        <f t="shared" si="3"/>
        <v>500.29507522498716</v>
      </c>
      <c r="D32">
        <f t="shared" si="0"/>
        <v>-4.2175752249871721</v>
      </c>
      <c r="E32">
        <f t="shared" si="1"/>
        <v>17.787940778425597</v>
      </c>
      <c r="F32">
        <f t="shared" si="2"/>
        <v>0.85018474431659807</v>
      </c>
    </row>
    <row r="33" spans="1:6" x14ac:dyDescent="0.35">
      <c r="A33" s="9">
        <v>45247</v>
      </c>
      <c r="B33" s="8">
        <v>542.63636363636351</v>
      </c>
      <c r="C33">
        <f t="shared" si="3"/>
        <v>525.69984827181293</v>
      </c>
      <c r="D33">
        <f t="shared" si="0"/>
        <v>16.936515364550587</v>
      </c>
      <c r="E33">
        <f t="shared" si="1"/>
        <v>286.84555269365808</v>
      </c>
      <c r="F33">
        <f t="shared" si="2"/>
        <v>3.1211537780207155</v>
      </c>
    </row>
    <row r="34" spans="1:6" x14ac:dyDescent="0.35">
      <c r="A34" s="9">
        <v>45277</v>
      </c>
      <c r="B34" s="8">
        <v>544.88</v>
      </c>
      <c r="C34">
        <f t="shared" si="3"/>
        <v>537.20793930872514</v>
      </c>
      <c r="D34">
        <f t="shared" si="0"/>
        <v>7.6720606912748508</v>
      </c>
      <c r="E34">
        <f t="shared" si="1"/>
        <v>58.860515250604742</v>
      </c>
      <c r="F34">
        <f t="shared" si="2"/>
        <v>1.4080275824539075</v>
      </c>
    </row>
    <row r="35" spans="1:6" x14ac:dyDescent="0.35">
      <c r="A35" s="9">
        <v>44944</v>
      </c>
      <c r="B35" s="8">
        <v>579.4818181818182</v>
      </c>
      <c r="C35">
        <f t="shared" si="3"/>
        <v>562.57226663258098</v>
      </c>
      <c r="D35">
        <f t="shared" si="0"/>
        <v>16.909551549237221</v>
      </c>
      <c r="E35">
        <f t="shared" si="1"/>
        <v>285.93293359631093</v>
      </c>
      <c r="F35">
        <f t="shared" si="2"/>
        <v>2.9180469548281289</v>
      </c>
    </row>
    <row r="36" spans="1:6" x14ac:dyDescent="0.35">
      <c r="A36" s="9">
        <v>44975</v>
      </c>
      <c r="B36" s="8">
        <v>550.37105263157889</v>
      </c>
      <c r="C36">
        <f t="shared" si="3"/>
        <v>555.25153823197968</v>
      </c>
      <c r="D36">
        <f t="shared" si="0"/>
        <v>-4.8804856004007888</v>
      </c>
      <c r="E36">
        <f t="shared" si="1"/>
        <v>23.81913969571945</v>
      </c>
      <c r="F36">
        <f t="shared" si="2"/>
        <v>0.88676277160016448</v>
      </c>
    </row>
    <row r="37" spans="1:6" x14ac:dyDescent="0.35">
      <c r="A37" s="9">
        <v>45003</v>
      </c>
      <c r="B37" s="8">
        <v>518.9394736842105</v>
      </c>
      <c r="C37">
        <f t="shared" si="3"/>
        <v>533.46429950331822</v>
      </c>
      <c r="D37">
        <f t="shared" si="0"/>
        <v>-14.524825819107718</v>
      </c>
      <c r="E37">
        <f t="shared" si="1"/>
        <v>210.97056507541819</v>
      </c>
      <c r="F37">
        <f t="shared" si="2"/>
        <v>2.798944107294195</v>
      </c>
    </row>
    <row r="38" spans="1:6" x14ac:dyDescent="0.35">
      <c r="A38" s="9">
        <v>45034</v>
      </c>
      <c r="B38" s="8">
        <v>517.33571428571429</v>
      </c>
      <c r="C38">
        <f t="shared" si="3"/>
        <v>523.78714837275584</v>
      </c>
      <c r="D38">
        <f t="shared" si="0"/>
        <v>-6.4514340870415481</v>
      </c>
      <c r="E38">
        <f t="shared" si="1"/>
        <v>41.621001779441613</v>
      </c>
      <c r="F38">
        <f t="shared" si="2"/>
        <v>1.2470498186944325</v>
      </c>
    </row>
    <row r="39" spans="1:6" x14ac:dyDescent="0.35">
      <c r="A39" s="9">
        <v>45064</v>
      </c>
      <c r="B39" s="8">
        <v>538.81818181818176</v>
      </c>
      <c r="C39">
        <f t="shared" si="3"/>
        <v>532.80576844001143</v>
      </c>
      <c r="D39">
        <f t="shared" si="0"/>
        <v>6.0124133781703222</v>
      </c>
      <c r="E39">
        <f t="shared" si="1"/>
        <v>36.149114630001463</v>
      </c>
      <c r="F39">
        <f t="shared" si="2"/>
        <v>1.1158519851505577</v>
      </c>
    </row>
    <row r="40" spans="1:6" x14ac:dyDescent="0.35">
      <c r="A40" s="9">
        <v>45095</v>
      </c>
      <c r="B40" s="8">
        <v>525.92857142857156</v>
      </c>
      <c r="C40">
        <f t="shared" si="3"/>
        <v>528.67945023314746</v>
      </c>
      <c r="D40">
        <f t="shared" si="0"/>
        <v>-2.7508788045759047</v>
      </c>
      <c r="E40">
        <f t="shared" si="1"/>
        <v>7.5673341974649588</v>
      </c>
      <c r="F40">
        <f t="shared" si="2"/>
        <v>0.52305178954315701</v>
      </c>
    </row>
    <row r="41" spans="1:6" x14ac:dyDescent="0.35">
      <c r="A41" s="9">
        <v>45125</v>
      </c>
      <c r="B41" s="8">
        <v>531.80227272727268</v>
      </c>
      <c r="C41">
        <f t="shared" si="3"/>
        <v>530.55314372962266</v>
      </c>
      <c r="D41">
        <f t="shared" si="0"/>
        <v>1.2491289976500184</v>
      </c>
      <c r="E41">
        <f t="shared" si="1"/>
        <v>1.5603232527701396</v>
      </c>
      <c r="F41">
        <f t="shared" si="2"/>
        <v>0.23488598332685515</v>
      </c>
    </row>
    <row r="42" spans="1:6" x14ac:dyDescent="0.35">
      <c r="A42" s="9">
        <v>45156</v>
      </c>
      <c r="B42" s="8">
        <v>617.21428571428567</v>
      </c>
      <c r="C42">
        <f t="shared" si="3"/>
        <v>582.5498289204204</v>
      </c>
      <c r="D42">
        <f t="shared" si="0"/>
        <v>34.66445679386527</v>
      </c>
      <c r="E42">
        <f t="shared" si="1"/>
        <v>1201.6245648137522</v>
      </c>
      <c r="F42">
        <f t="shared" si="2"/>
        <v>5.6162758374506865</v>
      </c>
    </row>
    <row r="43" spans="1:6" x14ac:dyDescent="0.35">
      <c r="A43" s="9">
        <v>45187</v>
      </c>
      <c r="B43" s="8">
        <v>625.21388888888896</v>
      </c>
      <c r="C43">
        <f t="shared" si="3"/>
        <v>608.14826490150153</v>
      </c>
      <c r="D43">
        <f t="shared" si="0"/>
        <v>17.065623987387426</v>
      </c>
      <c r="E43">
        <f t="shared" si="1"/>
        <v>291.2355220788931</v>
      </c>
      <c r="F43">
        <f t="shared" si="2"/>
        <v>2.7295657199356098</v>
      </c>
    </row>
    <row r="44" spans="1:6" x14ac:dyDescent="0.35">
      <c r="A44" s="9">
        <v>45217</v>
      </c>
      <c r="B44" s="8">
        <v>570.86904761904782</v>
      </c>
      <c r="C44">
        <f t="shared" si="3"/>
        <v>585.78073453202933</v>
      </c>
      <c r="D44">
        <f t="shared" si="0"/>
        <v>-14.911686912981509</v>
      </c>
      <c r="E44">
        <f t="shared" si="1"/>
        <v>222.358406590784</v>
      </c>
      <c r="F44">
        <f t="shared" si="2"/>
        <v>2.6121028938553299</v>
      </c>
    </row>
    <row r="45" spans="1:6" x14ac:dyDescent="0.35">
      <c r="A45" s="9">
        <v>45248</v>
      </c>
      <c r="B45" s="8">
        <v>617.995</v>
      </c>
      <c r="C45">
        <f t="shared" si="3"/>
        <v>605.10929381281176</v>
      </c>
      <c r="D45">
        <f t="shared" si="0"/>
        <v>12.885706187188248</v>
      </c>
      <c r="E45">
        <f t="shared" si="1"/>
        <v>166.04142394254148</v>
      </c>
      <c r="F45">
        <f t="shared" si="2"/>
        <v>2.0850825956825294</v>
      </c>
    </row>
    <row r="46" spans="1:6" x14ac:dyDescent="0.35">
      <c r="A46" s="9">
        <v>45278</v>
      </c>
      <c r="B46" s="8">
        <v>617.49249999999995</v>
      </c>
      <c r="C46">
        <f t="shared" si="3"/>
        <v>612.53921752512463</v>
      </c>
      <c r="D46">
        <f t="shared" si="0"/>
        <v>4.9532824748753228</v>
      </c>
      <c r="E46">
        <f t="shared" si="1"/>
        <v>24.535007275907002</v>
      </c>
      <c r="F46">
        <f t="shared" si="2"/>
        <v>0.80216075092010408</v>
      </c>
    </row>
    <row r="47" spans="1:6" x14ac:dyDescent="0.35">
      <c r="A47" s="9">
        <v>44945</v>
      </c>
      <c r="B47" s="8">
        <v>658.07608695652186</v>
      </c>
      <c r="C47">
        <f t="shared" si="3"/>
        <v>639.86133918396297</v>
      </c>
      <c r="D47">
        <f t="shared" si="0"/>
        <v>18.214747772558894</v>
      </c>
      <c r="E47">
        <f t="shared" si="1"/>
        <v>331.7770364179392</v>
      </c>
      <c r="F47">
        <f t="shared" si="2"/>
        <v>2.7678786896510212</v>
      </c>
    </row>
    <row r="48" spans="1:6" x14ac:dyDescent="0.35">
      <c r="A48" s="9">
        <v>44976</v>
      </c>
      <c r="B48" s="8">
        <v>708.28250000000003</v>
      </c>
      <c r="C48">
        <f t="shared" si="3"/>
        <v>680.9140356735852</v>
      </c>
      <c r="D48">
        <f t="shared" si="0"/>
        <v>27.368464326414824</v>
      </c>
      <c r="E48">
        <f t="shared" si="1"/>
        <v>749.03283958624081</v>
      </c>
      <c r="F48">
        <f t="shared" si="2"/>
        <v>3.8640605021887202</v>
      </c>
    </row>
    <row r="49" spans="1:6" x14ac:dyDescent="0.35">
      <c r="A49" s="9">
        <v>45004</v>
      </c>
      <c r="B49" s="8">
        <v>745.1736842105264</v>
      </c>
      <c r="C49">
        <f t="shared" si="3"/>
        <v>719.4698247957499</v>
      </c>
      <c r="D49">
        <f t="shared" si="0"/>
        <v>25.703859414776502</v>
      </c>
      <c r="E49">
        <f t="shared" si="1"/>
        <v>660.68838881459465</v>
      </c>
      <c r="F49">
        <f t="shared" si="2"/>
        <v>3.4493783072879758</v>
      </c>
    </row>
    <row r="50" spans="1:6" x14ac:dyDescent="0.35">
      <c r="A50" s="9">
        <v>45035</v>
      </c>
      <c r="B50" s="8">
        <v>760.46052631578959</v>
      </c>
      <c r="C50">
        <f t="shared" si="3"/>
        <v>744.06424570777381</v>
      </c>
      <c r="D50">
        <f t="shared" si="0"/>
        <v>16.396280608015786</v>
      </c>
      <c r="E50">
        <f t="shared" si="1"/>
        <v>268.83801777679452</v>
      </c>
      <c r="F50">
        <f t="shared" si="2"/>
        <v>2.1560988428223888</v>
      </c>
    </row>
    <row r="51" spans="1:6" x14ac:dyDescent="0.35">
      <c r="A51" s="9">
        <v>45065</v>
      </c>
      <c r="B51" s="8">
        <v>764.25681818181829</v>
      </c>
      <c r="C51">
        <f t="shared" si="3"/>
        <v>756.17978919220059</v>
      </c>
      <c r="D51">
        <f t="shared" si="0"/>
        <v>8.0770289896177019</v>
      </c>
      <c r="E51">
        <f t="shared" si="1"/>
        <v>65.238397299124756</v>
      </c>
      <c r="F51">
        <f t="shared" si="2"/>
        <v>1.056847488627332</v>
      </c>
    </row>
    <row r="52" spans="1:6" x14ac:dyDescent="0.35">
      <c r="A52" s="9">
        <v>45096</v>
      </c>
      <c r="B52" s="8">
        <v>795.77368421052631</v>
      </c>
      <c r="C52">
        <f t="shared" si="3"/>
        <v>779.93612620319595</v>
      </c>
      <c r="D52">
        <f t="shared" si="0"/>
        <v>15.837558007330358</v>
      </c>
      <c r="E52">
        <f t="shared" si="1"/>
        <v>250.82824363555395</v>
      </c>
      <c r="F52">
        <f t="shared" si="2"/>
        <v>1.990208814588099</v>
      </c>
    </row>
    <row r="53" spans="1:6" x14ac:dyDescent="0.35">
      <c r="A53" s="9">
        <v>45126</v>
      </c>
      <c r="B53" s="8">
        <v>754.36956521739114</v>
      </c>
      <c r="C53">
        <f t="shared" si="3"/>
        <v>764.59618961171304</v>
      </c>
      <c r="D53">
        <f t="shared" si="0"/>
        <v>-10.226624394321902</v>
      </c>
      <c r="E53">
        <f t="shared" si="1"/>
        <v>104.58384650253981</v>
      </c>
      <c r="F53">
        <f t="shared" si="2"/>
        <v>1.3556517741241105</v>
      </c>
    </row>
    <row r="54" spans="1:6" x14ac:dyDescent="0.35">
      <c r="A54" s="9">
        <v>45157</v>
      </c>
      <c r="B54" s="8">
        <v>668.53750000000002</v>
      </c>
      <c r="C54">
        <f t="shared" si="3"/>
        <v>706.96097584468521</v>
      </c>
      <c r="D54">
        <f t="shared" si="0"/>
        <v>-38.423475844685186</v>
      </c>
      <c r="E54">
        <f t="shared" si="1"/>
        <v>1476.363495987106</v>
      </c>
      <c r="F54">
        <f t="shared" si="2"/>
        <v>5.7473927557818643</v>
      </c>
    </row>
    <row r="55" spans="1:6" x14ac:dyDescent="0.35">
      <c r="A55" s="9">
        <v>45188</v>
      </c>
      <c r="B55" s="8">
        <v>673.30263157894728</v>
      </c>
      <c r="C55">
        <f t="shared" si="3"/>
        <v>686.76596928524236</v>
      </c>
      <c r="D55">
        <f t="shared" si="0"/>
        <v>-13.463337706295079</v>
      </c>
      <c r="E55">
        <f t="shared" si="1"/>
        <v>181.26146219374684</v>
      </c>
      <c r="F55">
        <f t="shared" si="2"/>
        <v>1.9995967748889529</v>
      </c>
    </row>
    <row r="56" spans="1:6" x14ac:dyDescent="0.35">
      <c r="A56" s="9">
        <v>45218</v>
      </c>
      <c r="B56" s="8">
        <v>698.61750000000006</v>
      </c>
      <c r="C56">
        <f t="shared" si="3"/>
        <v>693.87688771409694</v>
      </c>
      <c r="D56">
        <f t="shared" si="0"/>
        <v>4.7406122859031257</v>
      </c>
      <c r="E56">
        <f t="shared" si="1"/>
        <v>22.473404845255658</v>
      </c>
      <c r="F56">
        <f t="shared" si="2"/>
        <v>0.67857050330160995</v>
      </c>
    </row>
    <row r="57" spans="1:6" x14ac:dyDescent="0.35">
      <c r="A57" s="9">
        <v>45249</v>
      </c>
      <c r="B57" s="8">
        <v>737.63499999999988</v>
      </c>
      <c r="C57">
        <f t="shared" si="3"/>
        <v>720.1317550856387</v>
      </c>
      <c r="D57">
        <f t="shared" si="0"/>
        <v>17.503244914361176</v>
      </c>
      <c r="E57">
        <f t="shared" si="1"/>
        <v>306.36358253211034</v>
      </c>
      <c r="F57">
        <f t="shared" si="2"/>
        <v>2.3728869853465713</v>
      </c>
    </row>
    <row r="58" spans="1:6" x14ac:dyDescent="0.35">
      <c r="A58" s="9">
        <v>45279</v>
      </c>
      <c r="B58" s="8">
        <v>738.50238095238092</v>
      </c>
      <c r="C58">
        <f t="shared" si="3"/>
        <v>731.15413060568403</v>
      </c>
      <c r="D58">
        <f t="shared" si="0"/>
        <v>7.3482503466968865</v>
      </c>
      <c r="E58">
        <f t="shared" si="1"/>
        <v>53.99678315773091</v>
      </c>
      <c r="F58">
        <f t="shared" si="2"/>
        <v>0.99502053564411008</v>
      </c>
    </row>
    <row r="59" spans="1:6" x14ac:dyDescent="0.35">
      <c r="A59" s="9">
        <v>44946</v>
      </c>
      <c r="B59" s="8">
        <v>734.97608695652173</v>
      </c>
      <c r="C59">
        <f t="shared" si="3"/>
        <v>733.44730441618663</v>
      </c>
      <c r="D59">
        <f t="shared" si="0"/>
        <v>1.5287825403351007</v>
      </c>
      <c r="E59">
        <f t="shared" si="1"/>
        <v>2.337176055633444</v>
      </c>
      <c r="F59">
        <f t="shared" si="2"/>
        <v>0.20800439190690806</v>
      </c>
    </row>
    <row r="60" spans="1:6" x14ac:dyDescent="0.35">
      <c r="A60" s="9">
        <v>44977</v>
      </c>
      <c r="B60" s="8">
        <v>732.16499999999985</v>
      </c>
      <c r="C60">
        <f t="shared" si="3"/>
        <v>732.67792176647458</v>
      </c>
      <c r="D60">
        <f t="shared" si="0"/>
        <v>-0.51292176647473298</v>
      </c>
      <c r="E60">
        <f t="shared" si="1"/>
        <v>0.26308873852356052</v>
      </c>
      <c r="F60">
        <f t="shared" si="2"/>
        <v>7.0055488376900441E-2</v>
      </c>
    </row>
    <row r="61" spans="1:6" x14ac:dyDescent="0.35">
      <c r="A61" s="9">
        <v>45005</v>
      </c>
      <c r="B61" s="8">
        <v>497.98809523809524</v>
      </c>
      <c r="C61">
        <f t="shared" si="3"/>
        <v>591.86402584944699</v>
      </c>
      <c r="D61">
        <f t="shared" si="0"/>
        <v>-93.875930611351748</v>
      </c>
      <c r="E61">
        <f t="shared" si="1"/>
        <v>8812.6903481473273</v>
      </c>
      <c r="F61">
        <f t="shared" si="2"/>
        <v>18.851039112986893</v>
      </c>
    </row>
    <row r="62" spans="1:6" x14ac:dyDescent="0.35">
      <c r="A62" s="9">
        <v>45036</v>
      </c>
      <c r="B62" s="8">
        <v>418.36388888888882</v>
      </c>
      <c r="C62">
        <f t="shared" si="3"/>
        <v>487.76394367311207</v>
      </c>
      <c r="D62">
        <f t="shared" si="0"/>
        <v>-69.400054784223244</v>
      </c>
      <c r="E62">
        <f t="shared" si="1"/>
        <v>4816.3676040531873</v>
      </c>
      <c r="F62">
        <f t="shared" si="2"/>
        <v>16.588442890838234</v>
      </c>
    </row>
    <row r="63" spans="1:6" x14ac:dyDescent="0.35">
      <c r="A63" s="9">
        <v>45066</v>
      </c>
      <c r="B63" s="8">
        <v>379.2157894736842</v>
      </c>
      <c r="C63">
        <f t="shared" si="3"/>
        <v>422.63505115345538</v>
      </c>
      <c r="D63">
        <f t="shared" si="0"/>
        <v>-43.419261679771182</v>
      </c>
      <c r="E63">
        <f t="shared" si="1"/>
        <v>1885.2322848164463</v>
      </c>
      <c r="F63">
        <f t="shared" si="2"/>
        <v>11.449750481126596</v>
      </c>
    </row>
    <row r="64" spans="1:6" x14ac:dyDescent="0.35">
      <c r="A64" s="9">
        <v>45097</v>
      </c>
      <c r="B64" s="8">
        <v>411.59545454545446</v>
      </c>
      <c r="C64">
        <f t="shared" si="3"/>
        <v>416.0112931886548</v>
      </c>
      <c r="D64">
        <f t="shared" si="0"/>
        <v>-4.4158386432003454</v>
      </c>
      <c r="E64">
        <f t="shared" si="1"/>
        <v>19.499630922781467</v>
      </c>
      <c r="F64">
        <f t="shared" si="2"/>
        <v>1.0728589430310833</v>
      </c>
    </row>
    <row r="65" spans="1:6" x14ac:dyDescent="0.35">
      <c r="A65" s="9">
        <v>45127</v>
      </c>
      <c r="B65" s="8">
        <v>438.60217391304343</v>
      </c>
      <c r="C65">
        <f t="shared" si="3"/>
        <v>429.565821623288</v>
      </c>
      <c r="D65">
        <f t="shared" si="0"/>
        <v>9.0363522897554276</v>
      </c>
      <c r="E65">
        <f t="shared" si="1"/>
        <v>81.655662704568158</v>
      </c>
      <c r="F65">
        <f t="shared" si="2"/>
        <v>2.0602616282396631</v>
      </c>
    </row>
    <row r="66" spans="1:6" x14ac:dyDescent="0.35">
      <c r="A66" s="9">
        <v>45158</v>
      </c>
      <c r="B66" s="8">
        <v>447.87619047619046</v>
      </c>
      <c r="C66">
        <f t="shared" si="3"/>
        <v>440.55204293502948</v>
      </c>
      <c r="D66">
        <f t="shared" si="0"/>
        <v>7.3241475411609827</v>
      </c>
      <c r="E66">
        <f t="shared" si="1"/>
        <v>53.643137204694469</v>
      </c>
      <c r="F66">
        <f t="shared" si="2"/>
        <v>1.6353062960042173</v>
      </c>
    </row>
    <row r="67" spans="1:6" x14ac:dyDescent="0.35">
      <c r="A67" s="9">
        <v>45189</v>
      </c>
      <c r="B67" s="8">
        <v>441.55909090909086</v>
      </c>
      <c r="C67">
        <f t="shared" si="3"/>
        <v>441.1562717194663</v>
      </c>
      <c r="D67">
        <f t="shared" si="0"/>
        <v>0.40281918962455165</v>
      </c>
      <c r="E67">
        <f t="shared" si="1"/>
        <v>0.1622632995297805</v>
      </c>
      <c r="F67">
        <f t="shared" si="2"/>
        <v>9.1226564670023963E-2</v>
      </c>
    </row>
    <row r="68" spans="1:6" x14ac:dyDescent="0.35">
      <c r="A68" s="9">
        <v>45219</v>
      </c>
      <c r="B68" s="8">
        <v>478.31190476190483</v>
      </c>
      <c r="C68">
        <f t="shared" si="3"/>
        <v>463.44965154492945</v>
      </c>
      <c r="D68">
        <f t="shared" ref="D68:D85" si="4">B68-C68</f>
        <v>14.862253216975375</v>
      </c>
      <c r="E68">
        <f t="shared" ref="E68:E85" si="5">D68*D68</f>
        <v>220.88657068549489</v>
      </c>
      <c r="F68">
        <f t="shared" ref="F68:F85" si="6">ABS(D68)/B68*100</f>
        <v>3.1072304638483836</v>
      </c>
    </row>
    <row r="69" spans="1:6" x14ac:dyDescent="0.35">
      <c r="A69" s="9">
        <v>45250</v>
      </c>
      <c r="B69" s="8">
        <v>587.86</v>
      </c>
      <c r="C69">
        <f t="shared" si="3"/>
        <v>538.09586061797177</v>
      </c>
      <c r="D69">
        <f t="shared" si="4"/>
        <v>49.764139382028247</v>
      </c>
      <c r="E69">
        <f t="shared" si="5"/>
        <v>2476.4695684339349</v>
      </c>
      <c r="F69">
        <f t="shared" si="6"/>
        <v>8.4653045592536067</v>
      </c>
    </row>
    <row r="70" spans="1:6" x14ac:dyDescent="0.35">
      <c r="A70" s="9">
        <v>45280</v>
      </c>
      <c r="B70" s="8">
        <v>611.62045454545466</v>
      </c>
      <c r="C70">
        <f t="shared" ref="C70:C85" si="7">B70*$P$5+(1-$P$5)*C69</f>
        <v>582.21061697446157</v>
      </c>
      <c r="D70">
        <f t="shared" si="4"/>
        <v>29.409837570993091</v>
      </c>
      <c r="E70">
        <f t="shared" si="5"/>
        <v>864.93854595219682</v>
      </c>
      <c r="F70">
        <f t="shared" si="6"/>
        <v>4.8085111203237885</v>
      </c>
    </row>
    <row r="71" spans="1:6" x14ac:dyDescent="0.35">
      <c r="A71" s="9">
        <v>44947</v>
      </c>
      <c r="B71" s="8">
        <v>661.91250000000002</v>
      </c>
      <c r="C71">
        <f t="shared" si="7"/>
        <v>630.03174678978462</v>
      </c>
      <c r="D71">
        <f t="shared" si="4"/>
        <v>31.880753210215403</v>
      </c>
      <c r="E71">
        <f t="shared" si="5"/>
        <v>1016.3824252506597</v>
      </c>
      <c r="F71">
        <f t="shared" si="6"/>
        <v>4.8164603645066988</v>
      </c>
    </row>
    <row r="72" spans="1:6" x14ac:dyDescent="0.35">
      <c r="A72" s="9">
        <v>44978</v>
      </c>
      <c r="B72" s="8">
        <v>743.92499999999995</v>
      </c>
      <c r="C72">
        <f t="shared" si="7"/>
        <v>698.36769871591378</v>
      </c>
      <c r="D72">
        <f t="shared" si="4"/>
        <v>45.557301284086179</v>
      </c>
      <c r="E72">
        <f t="shared" si="5"/>
        <v>2075.4677002890003</v>
      </c>
      <c r="F72">
        <f t="shared" si="6"/>
        <v>6.1239105130337306</v>
      </c>
    </row>
    <row r="73" spans="1:6" x14ac:dyDescent="0.35">
      <c r="A73" s="9">
        <v>45006</v>
      </c>
      <c r="B73" s="8">
        <v>727.39047619047631</v>
      </c>
      <c r="C73">
        <f t="shared" si="7"/>
        <v>715.78136520065129</v>
      </c>
      <c r="D73">
        <f t="shared" si="4"/>
        <v>11.609110989825012</v>
      </c>
      <c r="E73">
        <f t="shared" si="5"/>
        <v>134.77145797407587</v>
      </c>
      <c r="F73">
        <f t="shared" si="6"/>
        <v>1.5959943620137556</v>
      </c>
    </row>
    <row r="74" spans="1:6" x14ac:dyDescent="0.35">
      <c r="A74" s="9">
        <v>45037</v>
      </c>
      <c r="B74" s="8">
        <v>680.06578947368416</v>
      </c>
      <c r="C74">
        <f t="shared" si="7"/>
        <v>694.35201976447092</v>
      </c>
      <c r="D74">
        <f t="shared" si="4"/>
        <v>-14.286230290786762</v>
      </c>
      <c r="E74">
        <f t="shared" si="5"/>
        <v>204.09637592139319</v>
      </c>
      <c r="F74">
        <f t="shared" si="6"/>
        <v>2.1007129768787731</v>
      </c>
    </row>
    <row r="75" spans="1:6" x14ac:dyDescent="0.35">
      <c r="A75" s="9">
        <v>45067</v>
      </c>
      <c r="B75" s="8">
        <v>718.745</v>
      </c>
      <c r="C75">
        <f t="shared" si="7"/>
        <v>708.98780790578837</v>
      </c>
      <c r="D75">
        <f t="shared" si="4"/>
        <v>9.7571920942116321</v>
      </c>
      <c r="E75">
        <f t="shared" si="5"/>
        <v>95.202797563345982</v>
      </c>
      <c r="F75">
        <f t="shared" si="6"/>
        <v>1.3575318220247281</v>
      </c>
    </row>
    <row r="76" spans="1:6" x14ac:dyDescent="0.35">
      <c r="A76" s="9">
        <v>45098</v>
      </c>
      <c r="B76" s="8">
        <v>744.45454545454538</v>
      </c>
      <c r="C76">
        <f t="shared" si="7"/>
        <v>730.26785043504265</v>
      </c>
      <c r="D76">
        <f t="shared" si="4"/>
        <v>14.186695019502736</v>
      </c>
      <c r="E76">
        <f t="shared" si="5"/>
        <v>201.26231557638371</v>
      </c>
      <c r="F76">
        <f t="shared" si="6"/>
        <v>1.9056495935343767</v>
      </c>
    </row>
    <row r="77" spans="1:6" x14ac:dyDescent="0.35">
      <c r="A77" s="9">
        <v>45128</v>
      </c>
      <c r="B77" s="8">
        <v>750.4904761904761</v>
      </c>
      <c r="C77">
        <f t="shared" si="7"/>
        <v>742.4014258883027</v>
      </c>
      <c r="D77">
        <f t="shared" si="4"/>
        <v>8.0890503021734048</v>
      </c>
      <c r="E77">
        <f t="shared" si="5"/>
        <v>65.432734791091647</v>
      </c>
      <c r="F77">
        <f t="shared" si="6"/>
        <v>1.0778351703053972</v>
      </c>
    </row>
    <row r="78" spans="1:6" x14ac:dyDescent="0.35">
      <c r="A78" s="9">
        <v>45159</v>
      </c>
      <c r="B78" s="8">
        <v>752.52380952380952</v>
      </c>
      <c r="C78">
        <f t="shared" si="7"/>
        <v>748.47485606960674</v>
      </c>
      <c r="D78">
        <f t="shared" si="4"/>
        <v>4.0489534542027741</v>
      </c>
      <c r="E78">
        <f t="shared" si="5"/>
        <v>16.394024074300575</v>
      </c>
      <c r="F78">
        <f t="shared" si="6"/>
        <v>0.53804988001175891</v>
      </c>
    </row>
    <row r="79" spans="1:6" x14ac:dyDescent="0.35">
      <c r="A79" s="9">
        <v>45190</v>
      </c>
      <c r="B79" s="8">
        <v>794.37142857142851</v>
      </c>
      <c r="C79">
        <f t="shared" si="7"/>
        <v>776.01279957069983</v>
      </c>
      <c r="D79">
        <f t="shared" si="4"/>
        <v>18.358629000728683</v>
      </c>
      <c r="E79">
        <f t="shared" si="5"/>
        <v>337.03925878639626</v>
      </c>
      <c r="F79">
        <f t="shared" si="6"/>
        <v>2.3110887854746034</v>
      </c>
    </row>
    <row r="80" spans="1:6" x14ac:dyDescent="0.35">
      <c r="A80" s="9">
        <v>45220</v>
      </c>
      <c r="B80" s="8">
        <v>793.39</v>
      </c>
      <c r="C80">
        <f t="shared" si="7"/>
        <v>786.4391198282799</v>
      </c>
      <c r="D80">
        <f t="shared" si="4"/>
        <v>6.9508801717200868</v>
      </c>
      <c r="E80">
        <f t="shared" si="5"/>
        <v>48.314735161611466</v>
      </c>
      <c r="F80">
        <f t="shared" si="6"/>
        <v>0.87609878769836869</v>
      </c>
    </row>
    <row r="81" spans="1:6" x14ac:dyDescent="0.35">
      <c r="A81" s="9">
        <v>45251</v>
      </c>
      <c r="B81" s="8">
        <v>715.75</v>
      </c>
      <c r="C81">
        <f t="shared" si="7"/>
        <v>744.02564793131205</v>
      </c>
      <c r="D81">
        <f t="shared" si="4"/>
        <v>-28.275647931312051</v>
      </c>
      <c r="E81">
        <f t="shared" si="5"/>
        <v>799.51226593551144</v>
      </c>
      <c r="F81">
        <f t="shared" si="6"/>
        <v>3.950492201370877</v>
      </c>
    </row>
    <row r="82" spans="1:6" x14ac:dyDescent="0.35">
      <c r="A82" s="9">
        <v>45281</v>
      </c>
      <c r="B82" s="8">
        <v>682.83478260869572</v>
      </c>
      <c r="C82">
        <f t="shared" si="7"/>
        <v>707.31112873774225</v>
      </c>
      <c r="D82">
        <f t="shared" si="4"/>
        <v>-24.476346129046533</v>
      </c>
      <c r="E82">
        <f t="shared" si="5"/>
        <v>599.09151982889125</v>
      </c>
      <c r="F82">
        <f t="shared" si="6"/>
        <v>3.5845195283604809</v>
      </c>
    </row>
    <row r="83" spans="1:6" x14ac:dyDescent="0.35">
      <c r="A83" s="9">
        <v>44948</v>
      </c>
      <c r="B83" s="8">
        <v>733.29250000000002</v>
      </c>
      <c r="C83">
        <f t="shared" si="7"/>
        <v>722.89995149509696</v>
      </c>
      <c r="D83">
        <f t="shared" si="4"/>
        <v>10.392548504903061</v>
      </c>
      <c r="E83">
        <f t="shared" si="5"/>
        <v>108.00506442676286</v>
      </c>
      <c r="F83">
        <f t="shared" si="6"/>
        <v>1.4172446199713022</v>
      </c>
    </row>
    <row r="84" spans="1:6" x14ac:dyDescent="0.35">
      <c r="A84" s="9">
        <v>44979</v>
      </c>
      <c r="B84" s="8">
        <v>785.16</v>
      </c>
      <c r="C84">
        <f t="shared" si="7"/>
        <v>760.25598059803872</v>
      </c>
      <c r="D84">
        <f t="shared" si="4"/>
        <v>24.90401940196125</v>
      </c>
      <c r="E84">
        <f t="shared" si="5"/>
        <v>620.21018237326234</v>
      </c>
      <c r="F84">
        <f t="shared" si="6"/>
        <v>3.1718400583271245</v>
      </c>
    </row>
    <row r="85" spans="1:6" x14ac:dyDescent="0.35">
      <c r="A85" s="9">
        <v>45007</v>
      </c>
      <c r="B85" s="8">
        <v>716.19749999999999</v>
      </c>
      <c r="C85">
        <f t="shared" si="7"/>
        <v>733.82089223921548</v>
      </c>
      <c r="D85">
        <f t="shared" si="4"/>
        <v>-17.623392239215491</v>
      </c>
      <c r="E85">
        <f t="shared" si="5"/>
        <v>310.58395401724079</v>
      </c>
      <c r="F85">
        <f t="shared" si="6"/>
        <v>2.4606888797036421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0279-2557-434C-9B6B-D623AF482980}">
  <dimension ref="A1:P85"/>
  <sheetViews>
    <sheetView topLeftCell="B1" workbookViewId="0">
      <selection activeCell="I5" sqref="I5:J5"/>
    </sheetView>
  </sheetViews>
  <sheetFormatPr defaultRowHeight="14.5" x14ac:dyDescent="0.35"/>
  <cols>
    <col min="6" max="6" width="12.6328125" customWidth="1"/>
  </cols>
  <sheetData>
    <row r="1" spans="1:16" x14ac:dyDescent="0.35">
      <c r="A1" t="s">
        <v>28</v>
      </c>
      <c r="B1" t="s">
        <v>29</v>
      </c>
      <c r="C1" t="s">
        <v>30</v>
      </c>
      <c r="D1" t="s">
        <v>31</v>
      </c>
      <c r="E1" t="s">
        <v>33</v>
      </c>
      <c r="F1" t="s">
        <v>32</v>
      </c>
    </row>
    <row r="2" spans="1:16" x14ac:dyDescent="0.35">
      <c r="A2" s="9">
        <v>45031</v>
      </c>
      <c r="B2" s="8">
        <v>548.38421052631577</v>
      </c>
      <c r="C2">
        <f>B2*P5</f>
        <v>356.44973684210527</v>
      </c>
      <c r="D2">
        <f>B2-C2</f>
        <v>191.9344736842105</v>
      </c>
      <c r="E2">
        <f>D2*D2</f>
        <v>36838.842188434894</v>
      </c>
      <c r="F2">
        <f>ABS(D2)/B2*100</f>
        <v>35</v>
      </c>
      <c r="I2" t="s">
        <v>38</v>
      </c>
      <c r="J2">
        <f>SUM(E:E)/84</f>
        <v>841.89753212809489</v>
      </c>
    </row>
    <row r="3" spans="1:16" x14ac:dyDescent="0.35">
      <c r="A3" s="9">
        <v>45061</v>
      </c>
      <c r="B3" s="8">
        <v>559.79999999999995</v>
      </c>
      <c r="C3">
        <f>B3*$P$5+(1-$P$5)*C2</f>
        <v>488.62740789473685</v>
      </c>
      <c r="D3">
        <f>B3-C3</f>
        <v>71.172592105263107</v>
      </c>
      <c r="E3">
        <f>D3*D3</f>
        <v>5065.5378669821603</v>
      </c>
      <c r="F3">
        <f>ABS(D3)/B3*100</f>
        <v>12.713932137417491</v>
      </c>
      <c r="I3" t="s">
        <v>37</v>
      </c>
      <c r="J3">
        <f>SQRT(J2)</f>
        <v>29.015470565339708</v>
      </c>
    </row>
    <row r="4" spans="1:16" x14ac:dyDescent="0.35">
      <c r="A4" s="9">
        <v>45092</v>
      </c>
      <c r="B4" s="8">
        <v>558.47499999999991</v>
      </c>
      <c r="C4">
        <f>B4*$P$5+(1-$P$5)*C3</f>
        <v>534.02834276315787</v>
      </c>
      <c r="D4">
        <f t="shared" ref="D4:D67" si="0">B4-C4</f>
        <v>24.446657236842043</v>
      </c>
      <c r="E4">
        <f t="shared" ref="E4:E67" si="1">D4*D4</f>
        <v>597.63905005564141</v>
      </c>
      <c r="F4">
        <f t="shared" ref="F4:F67" si="2">ABS(D4)/B4*100</f>
        <v>4.3773950914261244</v>
      </c>
      <c r="I4" t="s">
        <v>39</v>
      </c>
      <c r="J4">
        <f>SUM(F:F)/84</f>
        <v>2.9595551884377778</v>
      </c>
    </row>
    <row r="5" spans="1:16" x14ac:dyDescent="0.35">
      <c r="A5" s="9">
        <v>45122</v>
      </c>
      <c r="B5" s="8">
        <v>581.22173913043491</v>
      </c>
      <c r="C5">
        <f>B5*$P$5+(1-$P$5)*C4</f>
        <v>564.70405040188791</v>
      </c>
      <c r="D5">
        <f t="shared" si="0"/>
        <v>16.517688728547</v>
      </c>
      <c r="E5">
        <f t="shared" si="1"/>
        <v>272.83404093316864</v>
      </c>
      <c r="F5">
        <f t="shared" si="2"/>
        <v>2.841891074697084</v>
      </c>
      <c r="I5" s="8" t="s">
        <v>35</v>
      </c>
      <c r="J5" s="8">
        <f>100-J4</f>
        <v>97.040444811562224</v>
      </c>
      <c r="P5">
        <v>0.65</v>
      </c>
    </row>
    <row r="6" spans="1:16" x14ac:dyDescent="0.35">
      <c r="A6" s="9">
        <v>45153</v>
      </c>
      <c r="B6" s="8">
        <v>546.95238095238096</v>
      </c>
      <c r="C6">
        <f t="shared" ref="C6:C68" si="3">B6*$P$5+(1-$P$5)*C5</f>
        <v>553.16546525970841</v>
      </c>
      <c r="D6">
        <f t="shared" si="0"/>
        <v>-6.2130843073274491</v>
      </c>
      <c r="E6">
        <f t="shared" si="1"/>
        <v>38.60241660995861</v>
      </c>
      <c r="F6">
        <f t="shared" si="2"/>
        <v>1.1359461122573256</v>
      </c>
    </row>
    <row r="7" spans="1:16" x14ac:dyDescent="0.35">
      <c r="A7" s="9">
        <v>45184</v>
      </c>
      <c r="B7" s="8">
        <v>491.81499999999994</v>
      </c>
      <c r="C7">
        <f t="shared" si="3"/>
        <v>513.28766284089784</v>
      </c>
      <c r="D7">
        <f t="shared" si="0"/>
        <v>-21.472662840897897</v>
      </c>
      <c r="E7">
        <f t="shared" si="1"/>
        <v>461.07524947887731</v>
      </c>
      <c r="F7">
        <f t="shared" si="2"/>
        <v>4.3660040545526062</v>
      </c>
    </row>
    <row r="8" spans="1:16" x14ac:dyDescent="0.35">
      <c r="A8" s="9">
        <v>45214</v>
      </c>
      <c r="B8" s="8">
        <v>499.74999999999989</v>
      </c>
      <c r="C8">
        <f t="shared" si="3"/>
        <v>504.48818199431412</v>
      </c>
      <c r="D8">
        <f t="shared" si="0"/>
        <v>-4.7381819943142318</v>
      </c>
      <c r="E8">
        <f t="shared" si="1"/>
        <v>22.45036861124359</v>
      </c>
      <c r="F8">
        <f t="shared" si="2"/>
        <v>0.94811045408989147</v>
      </c>
    </row>
    <row r="9" spans="1:16" x14ac:dyDescent="0.35">
      <c r="A9" s="9">
        <v>45245</v>
      </c>
      <c r="B9" s="8">
        <v>469.91842105263163</v>
      </c>
      <c r="C9">
        <f t="shared" si="3"/>
        <v>482.01783738222048</v>
      </c>
      <c r="D9">
        <f t="shared" si="0"/>
        <v>-12.099416329588848</v>
      </c>
      <c r="E9">
        <f t="shared" si="1"/>
        <v>146.39587551672128</v>
      </c>
      <c r="F9">
        <f t="shared" si="2"/>
        <v>2.574790812091551</v>
      </c>
    </row>
    <row r="10" spans="1:16" x14ac:dyDescent="0.35">
      <c r="A10" s="9">
        <v>45275</v>
      </c>
      <c r="B10" s="8">
        <v>449.53636363636366</v>
      </c>
      <c r="C10">
        <f t="shared" si="3"/>
        <v>460.90487944741358</v>
      </c>
      <c r="D10">
        <f t="shared" si="0"/>
        <v>-11.368515811049917</v>
      </c>
      <c r="E10">
        <f t="shared" si="1"/>
        <v>129.24315174609197</v>
      </c>
      <c r="F10">
        <f t="shared" si="2"/>
        <v>2.5289424239428318</v>
      </c>
    </row>
    <row r="11" spans="1:16" x14ac:dyDescent="0.35">
      <c r="A11" s="9">
        <v>44942</v>
      </c>
      <c r="B11" s="8">
        <v>410.53249999999991</v>
      </c>
      <c r="C11">
        <f t="shared" si="3"/>
        <v>428.16283280659468</v>
      </c>
      <c r="D11">
        <f t="shared" si="0"/>
        <v>-17.630332806594765</v>
      </c>
      <c r="E11">
        <f t="shared" si="1"/>
        <v>310.82863487129163</v>
      </c>
      <c r="F11">
        <f t="shared" si="2"/>
        <v>4.2945035549182515</v>
      </c>
    </row>
    <row r="12" spans="1:16" x14ac:dyDescent="0.35">
      <c r="A12" s="9">
        <v>44973</v>
      </c>
      <c r="B12" s="8">
        <v>392.84523809523807</v>
      </c>
      <c r="C12">
        <f t="shared" si="3"/>
        <v>405.2063962442129</v>
      </c>
      <c r="D12">
        <f t="shared" si="0"/>
        <v>-12.361158148974823</v>
      </c>
      <c r="E12">
        <f t="shared" si="1"/>
        <v>152.79823078396669</v>
      </c>
      <c r="F12">
        <f t="shared" si="2"/>
        <v>3.1465719704048158</v>
      </c>
    </row>
    <row r="13" spans="1:16" x14ac:dyDescent="0.35">
      <c r="A13" s="9">
        <v>45001</v>
      </c>
      <c r="B13" s="8">
        <v>423.7</v>
      </c>
      <c r="C13">
        <f t="shared" si="3"/>
        <v>417.2272386854745</v>
      </c>
      <c r="D13">
        <f t="shared" si="0"/>
        <v>6.472761314525485</v>
      </c>
      <c r="E13">
        <f t="shared" si="1"/>
        <v>41.896639034817682</v>
      </c>
      <c r="F13">
        <f t="shared" si="2"/>
        <v>1.5276755521655618</v>
      </c>
    </row>
    <row r="14" spans="1:16" x14ac:dyDescent="0.35">
      <c r="A14" s="9">
        <v>45032</v>
      </c>
      <c r="B14" s="8">
        <v>450.48333333333335</v>
      </c>
      <c r="C14">
        <f t="shared" si="3"/>
        <v>438.84370020658275</v>
      </c>
      <c r="D14">
        <f t="shared" si="0"/>
        <v>11.639633126750596</v>
      </c>
      <c r="E14">
        <f t="shared" si="1"/>
        <v>135.48105932534986</v>
      </c>
      <c r="F14">
        <f t="shared" si="2"/>
        <v>2.5838099360133029</v>
      </c>
    </row>
    <row r="15" spans="1:16" x14ac:dyDescent="0.35">
      <c r="A15" s="9">
        <v>45062</v>
      </c>
      <c r="B15" s="8">
        <v>490.16590909090917</v>
      </c>
      <c r="C15">
        <f t="shared" si="3"/>
        <v>472.20313598139489</v>
      </c>
      <c r="D15">
        <f t="shared" si="0"/>
        <v>17.962773109514274</v>
      </c>
      <c r="E15">
        <f t="shared" si="1"/>
        <v>322.66121778388907</v>
      </c>
      <c r="F15">
        <f t="shared" si="2"/>
        <v>3.6646312557372869</v>
      </c>
    </row>
    <row r="16" spans="1:16" x14ac:dyDescent="0.35">
      <c r="A16" s="9">
        <v>45093</v>
      </c>
      <c r="B16" s="8">
        <v>526.43409090909086</v>
      </c>
      <c r="C16">
        <f t="shared" si="3"/>
        <v>507.45325668439727</v>
      </c>
      <c r="D16">
        <f t="shared" si="0"/>
        <v>18.980834224693581</v>
      </c>
      <c r="E16">
        <f t="shared" si="1"/>
        <v>360.27206786529916</v>
      </c>
      <c r="F16">
        <f t="shared" si="2"/>
        <v>3.605548073817916</v>
      </c>
    </row>
    <row r="17" spans="1:6" x14ac:dyDescent="0.35">
      <c r="A17" s="9">
        <v>45123</v>
      </c>
      <c r="B17" s="8">
        <v>550.19499999999994</v>
      </c>
      <c r="C17">
        <f t="shared" si="3"/>
        <v>535.23538983953904</v>
      </c>
      <c r="D17">
        <f t="shared" si="0"/>
        <v>14.959610160460898</v>
      </c>
      <c r="E17">
        <f t="shared" si="1"/>
        <v>223.78993615296491</v>
      </c>
      <c r="F17">
        <f t="shared" si="2"/>
        <v>2.7189651233582453</v>
      </c>
    </row>
    <row r="18" spans="1:6" x14ac:dyDescent="0.35">
      <c r="A18" s="9">
        <v>45154</v>
      </c>
      <c r="B18" s="8">
        <v>576.77045454545453</v>
      </c>
      <c r="C18">
        <f t="shared" si="3"/>
        <v>562.23318189838415</v>
      </c>
      <c r="D18">
        <f t="shared" si="0"/>
        <v>14.537272647070381</v>
      </c>
      <c r="E18">
        <f t="shared" si="1"/>
        <v>211.33229601526068</v>
      </c>
      <c r="F18">
        <f t="shared" si="2"/>
        <v>2.5204607019142515</v>
      </c>
    </row>
    <row r="19" spans="1:6" x14ac:dyDescent="0.35">
      <c r="A19" s="9">
        <v>45185</v>
      </c>
      <c r="B19" s="8">
        <v>586.88750000000005</v>
      </c>
      <c r="C19">
        <f t="shared" si="3"/>
        <v>578.25848866443448</v>
      </c>
      <c r="D19">
        <f t="shared" si="0"/>
        <v>8.6290113355655649</v>
      </c>
      <c r="E19">
        <f t="shared" si="1"/>
        <v>74.459836629319014</v>
      </c>
      <c r="F19">
        <f t="shared" si="2"/>
        <v>1.4703007536479418</v>
      </c>
    </row>
    <row r="20" spans="1:6" x14ac:dyDescent="0.35">
      <c r="A20" s="9">
        <v>45215</v>
      </c>
      <c r="B20" s="8">
        <v>522.12894736842111</v>
      </c>
      <c r="C20">
        <f t="shared" si="3"/>
        <v>541.77428682202572</v>
      </c>
      <c r="D20">
        <f t="shared" si="0"/>
        <v>-19.645339453604606</v>
      </c>
      <c r="E20">
        <f t="shared" si="1"/>
        <v>385.9393622473537</v>
      </c>
      <c r="F20">
        <f t="shared" si="2"/>
        <v>3.7625455460033312</v>
      </c>
    </row>
    <row r="21" spans="1:6" x14ac:dyDescent="0.35">
      <c r="A21" s="9">
        <v>45246</v>
      </c>
      <c r="B21" s="8">
        <v>478.0928571428571</v>
      </c>
      <c r="C21">
        <f t="shared" si="3"/>
        <v>500.38135753056611</v>
      </c>
      <c r="D21">
        <f t="shared" si="0"/>
        <v>-22.288500387709007</v>
      </c>
      <c r="E21">
        <f t="shared" si="1"/>
        <v>496.77724953290453</v>
      </c>
      <c r="F21">
        <f t="shared" si="2"/>
        <v>4.6619605490255349</v>
      </c>
    </row>
    <row r="22" spans="1:6" x14ac:dyDescent="0.35">
      <c r="A22" s="9">
        <v>45276</v>
      </c>
      <c r="B22" s="8">
        <v>454.00909090909096</v>
      </c>
      <c r="C22">
        <f t="shared" si="3"/>
        <v>470.23938422660723</v>
      </c>
      <c r="D22">
        <f t="shared" si="0"/>
        <v>-16.230293317516271</v>
      </c>
      <c r="E22">
        <f t="shared" si="1"/>
        <v>263.42242117261333</v>
      </c>
      <c r="F22">
        <f t="shared" si="2"/>
        <v>3.5748828916657449</v>
      </c>
    </row>
    <row r="23" spans="1:6" x14ac:dyDescent="0.35">
      <c r="A23" s="9">
        <v>44943</v>
      </c>
      <c r="B23" s="8">
        <v>462.33809523809515</v>
      </c>
      <c r="C23">
        <f t="shared" si="3"/>
        <v>465.10354638407443</v>
      </c>
      <c r="D23">
        <f t="shared" si="0"/>
        <v>-2.7654511459792843</v>
      </c>
      <c r="E23">
        <f t="shared" si="1"/>
        <v>7.6477200407981369</v>
      </c>
      <c r="F23">
        <f t="shared" si="2"/>
        <v>0.59814477207532091</v>
      </c>
    </row>
    <row r="24" spans="1:6" x14ac:dyDescent="0.35">
      <c r="A24" s="9">
        <v>44974</v>
      </c>
      <c r="B24" s="8">
        <v>494.97105263157897</v>
      </c>
      <c r="C24">
        <f t="shared" si="3"/>
        <v>484.51742544495238</v>
      </c>
      <c r="D24">
        <f t="shared" si="0"/>
        <v>10.453627186626591</v>
      </c>
      <c r="E24">
        <f t="shared" si="1"/>
        <v>109.27832135697857</v>
      </c>
      <c r="F24">
        <f t="shared" si="2"/>
        <v>2.11196738295068</v>
      </c>
    </row>
    <row r="25" spans="1:6" x14ac:dyDescent="0.35">
      <c r="A25" s="9">
        <v>45002</v>
      </c>
      <c r="B25" s="8">
        <v>504.42272727272717</v>
      </c>
      <c r="C25">
        <f t="shared" si="3"/>
        <v>497.45587163300598</v>
      </c>
      <c r="D25">
        <f t="shared" si="0"/>
        <v>6.9668556397211887</v>
      </c>
      <c r="E25">
        <f t="shared" si="1"/>
        <v>48.537077504714937</v>
      </c>
      <c r="F25">
        <f t="shared" si="2"/>
        <v>1.3811541913246121</v>
      </c>
    </row>
    <row r="26" spans="1:6" x14ac:dyDescent="0.35">
      <c r="A26" s="9">
        <v>45033</v>
      </c>
      <c r="B26" s="8">
        <v>504.74166666666656</v>
      </c>
      <c r="C26">
        <f t="shared" si="3"/>
        <v>502.19163840488534</v>
      </c>
      <c r="D26">
        <f t="shared" si="0"/>
        <v>2.5500282617812218</v>
      </c>
      <c r="E26">
        <f t="shared" si="1"/>
        <v>6.5026441358829592</v>
      </c>
      <c r="F26">
        <f t="shared" si="2"/>
        <v>0.50521453452054133</v>
      </c>
    </row>
    <row r="27" spans="1:6" x14ac:dyDescent="0.35">
      <c r="A27" s="9">
        <v>45063</v>
      </c>
      <c r="B27" s="8">
        <v>507.28636363636366</v>
      </c>
      <c r="C27">
        <f t="shared" si="3"/>
        <v>505.50320980534627</v>
      </c>
      <c r="D27">
        <f t="shared" si="0"/>
        <v>1.7831538310173869</v>
      </c>
      <c r="E27">
        <f t="shared" si="1"/>
        <v>3.1796375850719834</v>
      </c>
      <c r="F27">
        <f t="shared" si="2"/>
        <v>0.35150833115939994</v>
      </c>
    </row>
    <row r="28" spans="1:6" x14ac:dyDescent="0.35">
      <c r="A28" s="9">
        <v>45094</v>
      </c>
      <c r="B28" s="8">
        <v>509.19047619047626</v>
      </c>
      <c r="C28">
        <f t="shared" si="3"/>
        <v>507.89993295568075</v>
      </c>
      <c r="D28">
        <f t="shared" si="0"/>
        <v>1.290543234795507</v>
      </c>
      <c r="E28">
        <f t="shared" si="1"/>
        <v>1.6655018408764513</v>
      </c>
      <c r="F28">
        <f t="shared" si="2"/>
        <v>0.25344999467600898</v>
      </c>
    </row>
    <row r="29" spans="1:6" x14ac:dyDescent="0.35">
      <c r="A29" s="9">
        <v>45124</v>
      </c>
      <c r="B29" s="8">
        <v>518.89285714285711</v>
      </c>
      <c r="C29">
        <f t="shared" si="3"/>
        <v>515.04533367734541</v>
      </c>
      <c r="D29">
        <f t="shared" si="0"/>
        <v>3.8475234655116992</v>
      </c>
      <c r="E29">
        <f t="shared" si="1"/>
        <v>14.803436817663156</v>
      </c>
      <c r="F29">
        <f t="shared" si="2"/>
        <v>0.74148707436387629</v>
      </c>
    </row>
    <row r="30" spans="1:6" x14ac:dyDescent="0.35">
      <c r="A30" s="9">
        <v>45155</v>
      </c>
      <c r="B30" s="8">
        <v>500.74761904761897</v>
      </c>
      <c r="C30">
        <f t="shared" si="3"/>
        <v>505.75181916802319</v>
      </c>
      <c r="D30">
        <f t="shared" si="0"/>
        <v>-5.0042001204042208</v>
      </c>
      <c r="E30">
        <f t="shared" si="1"/>
        <v>25.042018845053619</v>
      </c>
      <c r="F30">
        <f t="shared" si="2"/>
        <v>0.9993457642238619</v>
      </c>
    </row>
    <row r="31" spans="1:6" x14ac:dyDescent="0.35">
      <c r="A31" s="9">
        <v>45186</v>
      </c>
      <c r="B31" s="8">
        <v>506.91666666666657</v>
      </c>
      <c r="C31">
        <f t="shared" si="3"/>
        <v>506.50897004214141</v>
      </c>
      <c r="D31">
        <f t="shared" si="0"/>
        <v>0.40769662452515831</v>
      </c>
      <c r="E31">
        <f t="shared" si="1"/>
        <v>0.16621653764920791</v>
      </c>
      <c r="F31">
        <f t="shared" si="2"/>
        <v>8.0426754797006422E-2</v>
      </c>
    </row>
    <row r="32" spans="1:6" x14ac:dyDescent="0.35">
      <c r="A32" s="9">
        <v>45216</v>
      </c>
      <c r="B32" s="8">
        <v>496.07749999999999</v>
      </c>
      <c r="C32">
        <f t="shared" si="3"/>
        <v>499.72851451474946</v>
      </c>
      <c r="D32">
        <f t="shared" si="0"/>
        <v>-3.6510145147494768</v>
      </c>
      <c r="E32">
        <f t="shared" si="1"/>
        <v>13.329906986911357</v>
      </c>
      <c r="F32">
        <f t="shared" si="2"/>
        <v>0.73597663968824967</v>
      </c>
    </row>
    <row r="33" spans="1:6" x14ac:dyDescent="0.35">
      <c r="A33" s="9">
        <v>45247</v>
      </c>
      <c r="B33" s="8">
        <v>542.63636363636351</v>
      </c>
      <c r="C33">
        <f t="shared" si="3"/>
        <v>527.6186164437986</v>
      </c>
      <c r="D33">
        <f t="shared" si="0"/>
        <v>15.017747192564912</v>
      </c>
      <c r="E33">
        <f t="shared" si="1"/>
        <v>225.53273073979128</v>
      </c>
      <c r="F33">
        <f t="shared" si="2"/>
        <v>2.7675526741198535</v>
      </c>
    </row>
    <row r="34" spans="1:6" x14ac:dyDescent="0.35">
      <c r="A34" s="9">
        <v>45277</v>
      </c>
      <c r="B34" s="8">
        <v>544.88</v>
      </c>
      <c r="C34">
        <f t="shared" si="3"/>
        <v>538.83851575532958</v>
      </c>
      <c r="D34">
        <f t="shared" si="0"/>
        <v>6.0414842446704142</v>
      </c>
      <c r="E34">
        <f t="shared" si="1"/>
        <v>36.499531878600848</v>
      </c>
      <c r="F34">
        <f t="shared" si="2"/>
        <v>1.1087733527878458</v>
      </c>
    </row>
    <row r="35" spans="1:6" x14ac:dyDescent="0.35">
      <c r="A35" s="9">
        <v>44944</v>
      </c>
      <c r="B35" s="8">
        <v>579.4818181818182</v>
      </c>
      <c r="C35">
        <f t="shared" si="3"/>
        <v>565.25666233254719</v>
      </c>
      <c r="D35">
        <f t="shared" si="0"/>
        <v>14.225155849271005</v>
      </c>
      <c r="E35">
        <f t="shared" si="1"/>
        <v>202.35505893604909</v>
      </c>
      <c r="F35">
        <f t="shared" si="2"/>
        <v>2.45480624291265</v>
      </c>
    </row>
    <row r="36" spans="1:6" x14ac:dyDescent="0.35">
      <c r="A36" s="9">
        <v>44975</v>
      </c>
      <c r="B36" s="8">
        <v>550.37105263157889</v>
      </c>
      <c r="C36">
        <f t="shared" si="3"/>
        <v>555.58101602691772</v>
      </c>
      <c r="D36">
        <f t="shared" si="0"/>
        <v>-5.209963395338832</v>
      </c>
      <c r="E36">
        <f t="shared" si="1"/>
        <v>27.143718580770532</v>
      </c>
      <c r="F36">
        <f t="shared" si="2"/>
        <v>0.94662743805794003</v>
      </c>
    </row>
    <row r="37" spans="1:6" x14ac:dyDescent="0.35">
      <c r="A37" s="9">
        <v>45003</v>
      </c>
      <c r="B37" s="8">
        <v>518.9394736842105</v>
      </c>
      <c r="C37">
        <f t="shared" si="3"/>
        <v>531.76401350415802</v>
      </c>
      <c r="D37">
        <f t="shared" si="0"/>
        <v>-12.824539819947518</v>
      </c>
      <c r="E37">
        <f t="shared" si="1"/>
        <v>164.46882159341951</v>
      </c>
      <c r="F37">
        <f t="shared" si="2"/>
        <v>2.4712978045203817</v>
      </c>
    </row>
    <row r="38" spans="1:6" x14ac:dyDescent="0.35">
      <c r="A38" s="9">
        <v>45034</v>
      </c>
      <c r="B38" s="8">
        <v>517.33571428571429</v>
      </c>
      <c r="C38">
        <f t="shared" si="3"/>
        <v>522.38561901216963</v>
      </c>
      <c r="D38">
        <f t="shared" si="0"/>
        <v>-5.0499047264553383</v>
      </c>
      <c r="E38">
        <f t="shared" si="1"/>
        <v>25.501537746275964</v>
      </c>
      <c r="F38">
        <f t="shared" si="2"/>
        <v>0.97613688500662377</v>
      </c>
    </row>
    <row r="39" spans="1:6" x14ac:dyDescent="0.35">
      <c r="A39" s="9">
        <v>45064</v>
      </c>
      <c r="B39" s="8">
        <v>538.81818181818176</v>
      </c>
      <c r="C39">
        <f t="shared" si="3"/>
        <v>533.06678483607743</v>
      </c>
      <c r="D39">
        <f t="shared" si="0"/>
        <v>5.7513969821043247</v>
      </c>
      <c r="E39">
        <f t="shared" si="1"/>
        <v>33.078567245758734</v>
      </c>
      <c r="F39">
        <f t="shared" si="2"/>
        <v>1.067409596813693</v>
      </c>
    </row>
    <row r="40" spans="1:6" x14ac:dyDescent="0.35">
      <c r="A40" s="9">
        <v>45095</v>
      </c>
      <c r="B40" s="8">
        <v>525.92857142857156</v>
      </c>
      <c r="C40">
        <f t="shared" si="3"/>
        <v>528.42694612119863</v>
      </c>
      <c r="D40">
        <f t="shared" si="0"/>
        <v>-2.4983746926270669</v>
      </c>
      <c r="E40">
        <f t="shared" si="1"/>
        <v>6.2418761047593909</v>
      </c>
      <c r="F40">
        <f t="shared" si="2"/>
        <v>0.47504068581799441</v>
      </c>
    </row>
    <row r="41" spans="1:6" x14ac:dyDescent="0.35">
      <c r="A41" s="9">
        <v>45125</v>
      </c>
      <c r="B41" s="8">
        <v>531.80227272727268</v>
      </c>
      <c r="C41">
        <f t="shared" si="3"/>
        <v>530.6209084151468</v>
      </c>
      <c r="D41">
        <f t="shared" si="0"/>
        <v>1.1813643121258792</v>
      </c>
      <c r="E41">
        <f t="shared" si="1"/>
        <v>1.3956216379646518</v>
      </c>
      <c r="F41">
        <f t="shared" si="2"/>
        <v>0.22214352452226646</v>
      </c>
    </row>
    <row r="42" spans="1:6" x14ac:dyDescent="0.35">
      <c r="A42" s="9">
        <v>45156</v>
      </c>
      <c r="B42" s="8">
        <v>617.21428571428567</v>
      </c>
      <c r="C42">
        <f t="shared" si="3"/>
        <v>586.90660365958706</v>
      </c>
      <c r="D42">
        <f t="shared" si="0"/>
        <v>30.307682054698603</v>
      </c>
      <c r="E42">
        <f t="shared" si="1"/>
        <v>918.55559152869967</v>
      </c>
      <c r="F42">
        <f t="shared" si="2"/>
        <v>4.9103986664249559</v>
      </c>
    </row>
    <row r="43" spans="1:6" x14ac:dyDescent="0.35">
      <c r="A43" s="9">
        <v>45187</v>
      </c>
      <c r="B43" s="8">
        <v>625.21388888888896</v>
      </c>
      <c r="C43">
        <f t="shared" si="3"/>
        <v>611.80633905863328</v>
      </c>
      <c r="D43">
        <f t="shared" si="0"/>
        <v>13.407549830255675</v>
      </c>
      <c r="E43">
        <f t="shared" si="1"/>
        <v>179.76239245078898</v>
      </c>
      <c r="F43">
        <f t="shared" si="2"/>
        <v>2.1444740861536462</v>
      </c>
    </row>
    <row r="44" spans="1:6" x14ac:dyDescent="0.35">
      <c r="A44" s="9">
        <v>45217</v>
      </c>
      <c r="B44" s="8">
        <v>570.86904761904782</v>
      </c>
      <c r="C44">
        <f t="shared" si="3"/>
        <v>585.19709962290267</v>
      </c>
      <c r="D44">
        <f t="shared" si="0"/>
        <v>-14.32805200385485</v>
      </c>
      <c r="E44">
        <f t="shared" si="1"/>
        <v>205.29307422516899</v>
      </c>
      <c r="F44">
        <f t="shared" si="2"/>
        <v>2.5098666784639274</v>
      </c>
    </row>
    <row r="45" spans="1:6" x14ac:dyDescent="0.35">
      <c r="A45" s="9">
        <v>45248</v>
      </c>
      <c r="B45" s="8">
        <v>617.995</v>
      </c>
      <c r="C45">
        <f t="shared" si="3"/>
        <v>606.5157348680159</v>
      </c>
      <c r="D45">
        <f t="shared" si="0"/>
        <v>11.479265131984107</v>
      </c>
      <c r="E45">
        <f t="shared" si="1"/>
        <v>131.77352797038608</v>
      </c>
      <c r="F45">
        <f t="shared" si="2"/>
        <v>1.8575012956389789</v>
      </c>
    </row>
    <row r="46" spans="1:6" x14ac:dyDescent="0.35">
      <c r="A46" s="9">
        <v>45278</v>
      </c>
      <c r="B46" s="8">
        <v>617.49249999999995</v>
      </c>
      <c r="C46">
        <f t="shared" si="3"/>
        <v>613.65063220380557</v>
      </c>
      <c r="D46">
        <f t="shared" si="0"/>
        <v>3.8418677961943786</v>
      </c>
      <c r="E46">
        <f t="shared" si="1"/>
        <v>14.759948163435451</v>
      </c>
      <c r="F46">
        <f t="shared" si="2"/>
        <v>0.62217238204421577</v>
      </c>
    </row>
    <row r="47" spans="1:6" x14ac:dyDescent="0.35">
      <c r="A47" s="9">
        <v>44945</v>
      </c>
      <c r="B47" s="8">
        <v>658.07608695652186</v>
      </c>
      <c r="C47">
        <f t="shared" si="3"/>
        <v>642.52717779307113</v>
      </c>
      <c r="D47">
        <f t="shared" si="0"/>
        <v>15.54890916345073</v>
      </c>
      <c r="E47">
        <f t="shared" si="1"/>
        <v>241.76857617324208</v>
      </c>
      <c r="F47">
        <f t="shared" si="2"/>
        <v>2.3627828866053333</v>
      </c>
    </row>
    <row r="48" spans="1:6" x14ac:dyDescent="0.35">
      <c r="A48" s="9">
        <v>44976</v>
      </c>
      <c r="B48" s="8">
        <v>708.28250000000003</v>
      </c>
      <c r="C48">
        <f t="shared" si="3"/>
        <v>685.26813722757493</v>
      </c>
      <c r="D48">
        <f t="shared" si="0"/>
        <v>23.014362772425102</v>
      </c>
      <c r="E48">
        <f t="shared" si="1"/>
        <v>529.66089382078644</v>
      </c>
      <c r="F48">
        <f t="shared" si="2"/>
        <v>3.2493196955205161</v>
      </c>
    </row>
    <row r="49" spans="1:6" x14ac:dyDescent="0.35">
      <c r="A49" s="9">
        <v>45004</v>
      </c>
      <c r="B49" s="8">
        <v>745.1736842105264</v>
      </c>
      <c r="C49">
        <f t="shared" si="3"/>
        <v>724.20674276649333</v>
      </c>
      <c r="D49">
        <f t="shared" si="0"/>
        <v>20.966941444033068</v>
      </c>
      <c r="E49">
        <f t="shared" si="1"/>
        <v>439.61263351751148</v>
      </c>
      <c r="F49">
        <f t="shared" si="2"/>
        <v>2.8136985897786335</v>
      </c>
    </row>
    <row r="50" spans="1:6" x14ac:dyDescent="0.35">
      <c r="A50" s="9">
        <v>45035</v>
      </c>
      <c r="B50" s="8">
        <v>760.46052631578959</v>
      </c>
      <c r="C50">
        <f t="shared" si="3"/>
        <v>747.77170207353583</v>
      </c>
      <c r="D50">
        <f t="shared" si="0"/>
        <v>12.688824242253759</v>
      </c>
      <c r="E50">
        <f t="shared" si="1"/>
        <v>161.00626065080667</v>
      </c>
      <c r="F50">
        <f t="shared" si="2"/>
        <v>1.6685710570313788</v>
      </c>
    </row>
    <row r="51" spans="1:6" x14ac:dyDescent="0.35">
      <c r="A51" s="9">
        <v>45065</v>
      </c>
      <c r="B51" s="8">
        <v>764.25681818181829</v>
      </c>
      <c r="C51">
        <f t="shared" si="3"/>
        <v>758.48702754391934</v>
      </c>
      <c r="D51">
        <f t="shared" si="0"/>
        <v>5.7697906378989501</v>
      </c>
      <c r="E51">
        <f t="shared" si="1"/>
        <v>33.290484005186372</v>
      </c>
      <c r="F51">
        <f t="shared" si="2"/>
        <v>0.75495442116242983</v>
      </c>
    </row>
    <row r="52" spans="1:6" x14ac:dyDescent="0.35">
      <c r="A52" s="9">
        <v>45096</v>
      </c>
      <c r="B52" s="8">
        <v>795.77368421052631</v>
      </c>
      <c r="C52">
        <f t="shared" si="3"/>
        <v>782.72335437721381</v>
      </c>
      <c r="D52">
        <f t="shared" si="0"/>
        <v>13.050329833312503</v>
      </c>
      <c r="E52">
        <f t="shared" si="1"/>
        <v>170.31110875824635</v>
      </c>
      <c r="F52">
        <f t="shared" si="2"/>
        <v>1.6399549384772023</v>
      </c>
    </row>
    <row r="53" spans="1:6" x14ac:dyDescent="0.35">
      <c r="A53" s="9">
        <v>45126</v>
      </c>
      <c r="B53" s="8">
        <v>754.36956521739114</v>
      </c>
      <c r="C53">
        <f t="shared" si="3"/>
        <v>764.29339142332901</v>
      </c>
      <c r="D53">
        <f t="shared" si="0"/>
        <v>-9.9238262059378712</v>
      </c>
      <c r="E53">
        <f t="shared" si="1"/>
        <v>98.48232656565925</v>
      </c>
      <c r="F53">
        <f t="shared" si="2"/>
        <v>1.3155125370252794</v>
      </c>
    </row>
    <row r="54" spans="1:6" x14ac:dyDescent="0.35">
      <c r="A54" s="9">
        <v>45157</v>
      </c>
      <c r="B54" s="8">
        <v>668.53750000000002</v>
      </c>
      <c r="C54">
        <f t="shared" si="3"/>
        <v>702.05206199816519</v>
      </c>
      <c r="D54">
        <f t="shared" si="0"/>
        <v>-33.514561998165163</v>
      </c>
      <c r="E54">
        <f t="shared" si="1"/>
        <v>1123.2258659288566</v>
      </c>
      <c r="F54">
        <f t="shared" si="2"/>
        <v>5.0131162422699038</v>
      </c>
    </row>
    <row r="55" spans="1:6" x14ac:dyDescent="0.35">
      <c r="A55" s="9">
        <v>45188</v>
      </c>
      <c r="B55" s="8">
        <v>673.30263157894728</v>
      </c>
      <c r="C55">
        <f t="shared" si="3"/>
        <v>683.36493222567356</v>
      </c>
      <c r="D55">
        <f t="shared" si="0"/>
        <v>-10.062300646726271</v>
      </c>
      <c r="E55">
        <f t="shared" si="1"/>
        <v>101.24989430510793</v>
      </c>
      <c r="F55">
        <f t="shared" si="2"/>
        <v>1.4944692289601469</v>
      </c>
    </row>
    <row r="56" spans="1:6" x14ac:dyDescent="0.35">
      <c r="A56" s="9">
        <v>45218</v>
      </c>
      <c r="B56" s="8">
        <v>698.61750000000006</v>
      </c>
      <c r="C56">
        <f t="shared" si="3"/>
        <v>693.27910127898576</v>
      </c>
      <c r="D56">
        <f t="shared" si="0"/>
        <v>5.3383987210143005</v>
      </c>
      <c r="E56">
        <f t="shared" si="1"/>
        <v>28.49850090452712</v>
      </c>
      <c r="F56">
        <f t="shared" si="2"/>
        <v>0.76413756039811487</v>
      </c>
    </row>
    <row r="57" spans="1:6" x14ac:dyDescent="0.35">
      <c r="A57" s="9">
        <v>45249</v>
      </c>
      <c r="B57" s="8">
        <v>737.63499999999988</v>
      </c>
      <c r="C57">
        <f t="shared" si="3"/>
        <v>722.11043544764493</v>
      </c>
      <c r="D57">
        <f t="shared" si="0"/>
        <v>15.524564552354946</v>
      </c>
      <c r="E57">
        <f t="shared" si="1"/>
        <v>241.01210454023573</v>
      </c>
      <c r="F57">
        <f t="shared" si="2"/>
        <v>2.1046404457970338</v>
      </c>
    </row>
    <row r="58" spans="1:6" x14ac:dyDescent="0.35">
      <c r="A58" s="9">
        <v>45279</v>
      </c>
      <c r="B58" s="8">
        <v>738.50238095238092</v>
      </c>
      <c r="C58">
        <f t="shared" si="3"/>
        <v>732.76520002572329</v>
      </c>
      <c r="D58">
        <f t="shared" si="0"/>
        <v>5.7371809266576292</v>
      </c>
      <c r="E58">
        <f t="shared" si="1"/>
        <v>32.91524498520409</v>
      </c>
      <c r="F58">
        <f t="shared" si="2"/>
        <v>0.77686695055185828</v>
      </c>
    </row>
    <row r="59" spans="1:6" x14ac:dyDescent="0.35">
      <c r="A59" s="9">
        <v>44946</v>
      </c>
      <c r="B59" s="8">
        <v>734.97608695652173</v>
      </c>
      <c r="C59">
        <f t="shared" si="3"/>
        <v>734.20227653074232</v>
      </c>
      <c r="D59">
        <f t="shared" si="0"/>
        <v>0.77381042577940207</v>
      </c>
      <c r="E59">
        <f t="shared" si="1"/>
        <v>0.59878257504489951</v>
      </c>
      <c r="F59">
        <f t="shared" si="2"/>
        <v>0.10528375541899468</v>
      </c>
    </row>
    <row r="60" spans="1:6" x14ac:dyDescent="0.35">
      <c r="A60" s="9">
        <v>44977</v>
      </c>
      <c r="B60" s="8">
        <v>732.16499999999985</v>
      </c>
      <c r="C60">
        <f t="shared" si="3"/>
        <v>732.87804678575969</v>
      </c>
      <c r="D60">
        <f t="shared" si="0"/>
        <v>-0.71304678575984326</v>
      </c>
      <c r="E60">
        <f t="shared" si="1"/>
        <v>0.50843571868244386</v>
      </c>
      <c r="F60">
        <f t="shared" si="2"/>
        <v>9.7388810686094451E-2</v>
      </c>
    </row>
    <row r="61" spans="1:6" x14ac:dyDescent="0.35">
      <c r="A61" s="9">
        <v>45005</v>
      </c>
      <c r="B61" s="8">
        <v>497.98809523809524</v>
      </c>
      <c r="C61">
        <f t="shared" si="3"/>
        <v>580.19957827977782</v>
      </c>
      <c r="D61">
        <f t="shared" si="0"/>
        <v>-82.211483041682584</v>
      </c>
      <c r="E61">
        <f t="shared" si="1"/>
        <v>6758.7279439128633</v>
      </c>
      <c r="F61">
        <f t="shared" si="2"/>
        <v>16.508724571493239</v>
      </c>
    </row>
    <row r="62" spans="1:6" x14ac:dyDescent="0.35">
      <c r="A62" s="9">
        <v>45036</v>
      </c>
      <c r="B62" s="8">
        <v>418.36388888888882</v>
      </c>
      <c r="C62">
        <f t="shared" si="3"/>
        <v>475.00638017569997</v>
      </c>
      <c r="D62">
        <f t="shared" si="0"/>
        <v>-56.642491286811151</v>
      </c>
      <c r="E62">
        <f t="shared" si="1"/>
        <v>3208.3718191764769</v>
      </c>
      <c r="F62">
        <f t="shared" si="2"/>
        <v>13.539048849852945</v>
      </c>
    </row>
    <row r="63" spans="1:6" x14ac:dyDescent="0.35">
      <c r="A63" s="9">
        <v>45066</v>
      </c>
      <c r="B63" s="8">
        <v>379.2157894736842</v>
      </c>
      <c r="C63">
        <f t="shared" si="3"/>
        <v>412.74249621938975</v>
      </c>
      <c r="D63">
        <f t="shared" si="0"/>
        <v>-33.526706745705553</v>
      </c>
      <c r="E63">
        <f t="shared" si="1"/>
        <v>1124.0400652125381</v>
      </c>
      <c r="F63">
        <f t="shared" si="2"/>
        <v>8.8410629716229554</v>
      </c>
    </row>
    <row r="64" spans="1:6" x14ac:dyDescent="0.35">
      <c r="A64" s="9">
        <v>45097</v>
      </c>
      <c r="B64" s="8">
        <v>411.59545454545446</v>
      </c>
      <c r="C64">
        <f t="shared" si="3"/>
        <v>411.99691913133182</v>
      </c>
      <c r="D64">
        <f t="shared" si="0"/>
        <v>-0.40146458587736333</v>
      </c>
      <c r="E64">
        <f t="shared" si="1"/>
        <v>0.16117381371368283</v>
      </c>
      <c r="F64">
        <f t="shared" si="2"/>
        <v>9.7538634463473578E-2</v>
      </c>
    </row>
    <row r="65" spans="1:6" x14ac:dyDescent="0.35">
      <c r="A65" s="9">
        <v>45127</v>
      </c>
      <c r="B65" s="8">
        <v>438.60217391304343</v>
      </c>
      <c r="C65">
        <f t="shared" si="3"/>
        <v>429.29033473944435</v>
      </c>
      <c r="D65">
        <f t="shared" si="0"/>
        <v>9.3118391735990826</v>
      </c>
      <c r="E65">
        <f t="shared" si="1"/>
        <v>86.71034879497445</v>
      </c>
      <c r="F65">
        <f t="shared" si="2"/>
        <v>2.12307182395435</v>
      </c>
    </row>
    <row r="66" spans="1:6" x14ac:dyDescent="0.35">
      <c r="A66" s="9">
        <v>45158</v>
      </c>
      <c r="B66" s="8">
        <v>447.87619047619046</v>
      </c>
      <c r="C66">
        <f t="shared" si="3"/>
        <v>441.37114096832931</v>
      </c>
      <c r="D66">
        <f t="shared" si="0"/>
        <v>6.5050495078611448</v>
      </c>
      <c r="E66">
        <f t="shared" si="1"/>
        <v>42.315669099724524</v>
      </c>
      <c r="F66">
        <f t="shared" si="2"/>
        <v>1.4524213713939231</v>
      </c>
    </row>
    <row r="67" spans="1:6" x14ac:dyDescent="0.35">
      <c r="A67" s="9">
        <v>45189</v>
      </c>
      <c r="B67" s="8">
        <v>441.55909090909086</v>
      </c>
      <c r="C67">
        <f t="shared" si="3"/>
        <v>441.49330842982431</v>
      </c>
      <c r="D67">
        <f t="shared" si="0"/>
        <v>6.5782479266545124E-2</v>
      </c>
      <c r="E67">
        <f t="shared" si="1"/>
        <v>4.3273345784534392E-3</v>
      </c>
      <c r="F67">
        <f t="shared" si="2"/>
        <v>1.4897774866578064E-2</v>
      </c>
    </row>
    <row r="68" spans="1:6" x14ac:dyDescent="0.35">
      <c r="A68" s="9">
        <v>45219</v>
      </c>
      <c r="B68" s="8">
        <v>478.31190476190483</v>
      </c>
      <c r="C68">
        <f t="shared" si="3"/>
        <v>465.42539604567662</v>
      </c>
      <c r="D68">
        <f t="shared" ref="D68:D85" si="4">B68-C68</f>
        <v>12.886508716228207</v>
      </c>
      <c r="E68">
        <f t="shared" ref="E68:E85" si="5">D68*D68</f>
        <v>166.06210689342555</v>
      </c>
      <c r="F68">
        <f t="shared" ref="F68:F85" si="6">ABS(D68)/B68*100</f>
        <v>2.6941643283252339</v>
      </c>
    </row>
    <row r="69" spans="1:6" x14ac:dyDescent="0.35">
      <c r="A69" s="9">
        <v>45250</v>
      </c>
      <c r="B69" s="8">
        <v>587.86</v>
      </c>
      <c r="C69">
        <f t="shared" ref="C69:C85" si="7">B69*$P$5+(1-$P$5)*C68</f>
        <v>545.00788861598687</v>
      </c>
      <c r="D69">
        <f t="shared" si="4"/>
        <v>42.852111384013142</v>
      </c>
      <c r="E69">
        <f t="shared" si="5"/>
        <v>1836.3034500678687</v>
      </c>
      <c r="F69">
        <f t="shared" si="6"/>
        <v>7.2895096424341066</v>
      </c>
    </row>
    <row r="70" spans="1:6" x14ac:dyDescent="0.35">
      <c r="A70" s="9">
        <v>45280</v>
      </c>
      <c r="B70" s="8">
        <v>611.62045454545466</v>
      </c>
      <c r="C70">
        <f t="shared" si="7"/>
        <v>588.3060564701409</v>
      </c>
      <c r="D70">
        <f t="shared" si="4"/>
        <v>23.314398075313761</v>
      </c>
      <c r="E70">
        <f t="shared" si="5"/>
        <v>543.56115761419403</v>
      </c>
      <c r="F70">
        <f t="shared" si="6"/>
        <v>3.8119062078524832</v>
      </c>
    </row>
    <row r="71" spans="1:6" x14ac:dyDescent="0.35">
      <c r="A71" s="9">
        <v>44947</v>
      </c>
      <c r="B71" s="8">
        <v>661.91250000000002</v>
      </c>
      <c r="C71">
        <f t="shared" si="7"/>
        <v>636.15024476454937</v>
      </c>
      <c r="D71">
        <f t="shared" si="4"/>
        <v>25.762255235450652</v>
      </c>
      <c r="E71">
        <f t="shared" si="5"/>
        <v>663.69379481650458</v>
      </c>
      <c r="F71">
        <f t="shared" si="6"/>
        <v>3.8920937790796599</v>
      </c>
    </row>
    <row r="72" spans="1:6" x14ac:dyDescent="0.35">
      <c r="A72" s="9">
        <v>44978</v>
      </c>
      <c r="B72" s="8">
        <v>743.92499999999995</v>
      </c>
      <c r="C72">
        <f t="shared" si="7"/>
        <v>706.20383566759222</v>
      </c>
      <c r="D72">
        <f t="shared" si="4"/>
        <v>37.721164332407739</v>
      </c>
      <c r="E72">
        <f t="shared" si="5"/>
        <v>1422.8862385925097</v>
      </c>
      <c r="F72">
        <f t="shared" si="6"/>
        <v>5.0705601145824835</v>
      </c>
    </row>
    <row r="73" spans="1:6" x14ac:dyDescent="0.35">
      <c r="A73" s="9">
        <v>45006</v>
      </c>
      <c r="B73" s="8">
        <v>727.39047619047631</v>
      </c>
      <c r="C73">
        <f t="shared" si="7"/>
        <v>719.97515200746693</v>
      </c>
      <c r="D73">
        <f t="shared" si="4"/>
        <v>7.4153241830093748</v>
      </c>
      <c r="E73">
        <f t="shared" si="5"/>
        <v>54.987032739123649</v>
      </c>
      <c r="F73">
        <f t="shared" si="6"/>
        <v>1.0194420226458367</v>
      </c>
    </row>
    <row r="74" spans="1:6" x14ac:dyDescent="0.35">
      <c r="A74" s="9">
        <v>45037</v>
      </c>
      <c r="B74" s="8">
        <v>680.06578947368416</v>
      </c>
      <c r="C74">
        <f t="shared" si="7"/>
        <v>694.03406636050818</v>
      </c>
      <c r="D74">
        <f t="shared" si="4"/>
        <v>-13.968276886824015</v>
      </c>
      <c r="E74">
        <f t="shared" si="5"/>
        <v>195.11275918698198</v>
      </c>
      <c r="F74">
        <f t="shared" si="6"/>
        <v>2.0539596467033476</v>
      </c>
    </row>
    <row r="75" spans="1:6" x14ac:dyDescent="0.35">
      <c r="A75" s="9">
        <v>45067</v>
      </c>
      <c r="B75" s="8">
        <v>718.745</v>
      </c>
      <c r="C75">
        <f t="shared" si="7"/>
        <v>710.09617322617783</v>
      </c>
      <c r="D75">
        <f t="shared" si="4"/>
        <v>8.6488267738221793</v>
      </c>
      <c r="E75">
        <f t="shared" si="5"/>
        <v>74.802204563583373</v>
      </c>
      <c r="F75">
        <f t="shared" si="6"/>
        <v>1.2033234003467403</v>
      </c>
    </row>
    <row r="76" spans="1:6" x14ac:dyDescent="0.35">
      <c r="A76" s="9">
        <v>45098</v>
      </c>
      <c r="B76" s="8">
        <v>744.45454545454538</v>
      </c>
      <c r="C76">
        <f t="shared" si="7"/>
        <v>732.42911517461675</v>
      </c>
      <c r="D76">
        <f t="shared" si="4"/>
        <v>12.025430279928628</v>
      </c>
      <c r="E76">
        <f t="shared" si="5"/>
        <v>144.6109734174243</v>
      </c>
      <c r="F76">
        <f t="shared" si="6"/>
        <v>1.6153343885604459</v>
      </c>
    </row>
    <row r="77" spans="1:6" x14ac:dyDescent="0.35">
      <c r="A77" s="9">
        <v>45128</v>
      </c>
      <c r="B77" s="8">
        <v>750.4904761904761</v>
      </c>
      <c r="C77">
        <f t="shared" si="7"/>
        <v>744.16899983492533</v>
      </c>
      <c r="D77">
        <f t="shared" si="4"/>
        <v>6.3214763555507716</v>
      </c>
      <c r="E77">
        <f t="shared" si="5"/>
        <v>39.961063313787463</v>
      </c>
      <c r="F77">
        <f t="shared" si="6"/>
        <v>0.84231266832843421</v>
      </c>
    </row>
    <row r="78" spans="1:6" x14ac:dyDescent="0.35">
      <c r="A78" s="9">
        <v>45159</v>
      </c>
      <c r="B78" s="8">
        <v>752.52380952380952</v>
      </c>
      <c r="C78">
        <f t="shared" si="7"/>
        <v>749.5996261327</v>
      </c>
      <c r="D78">
        <f t="shared" si="4"/>
        <v>2.9241833911095227</v>
      </c>
      <c r="E78">
        <f t="shared" si="5"/>
        <v>8.5508485048407881</v>
      </c>
      <c r="F78">
        <f t="shared" si="6"/>
        <v>0.38858350448206025</v>
      </c>
    </row>
    <row r="79" spans="1:6" x14ac:dyDescent="0.35">
      <c r="A79" s="9">
        <v>45190</v>
      </c>
      <c r="B79" s="8">
        <v>794.37142857142851</v>
      </c>
      <c r="C79">
        <f t="shared" si="7"/>
        <v>778.70129771787356</v>
      </c>
      <c r="D79">
        <f t="shared" si="4"/>
        <v>15.670130853554951</v>
      </c>
      <c r="E79">
        <f t="shared" si="5"/>
        <v>245.55300096753484</v>
      </c>
      <c r="F79">
        <f t="shared" si="6"/>
        <v>1.9726453255922864</v>
      </c>
    </row>
    <row r="80" spans="1:6" x14ac:dyDescent="0.35">
      <c r="A80" s="9">
        <v>45220</v>
      </c>
      <c r="B80" s="8">
        <v>793.39</v>
      </c>
      <c r="C80">
        <f t="shared" si="7"/>
        <v>788.24895420125563</v>
      </c>
      <c r="D80">
        <f t="shared" si="4"/>
        <v>5.1410457987443579</v>
      </c>
      <c r="E80">
        <f t="shared" si="5"/>
        <v>26.430351904787013</v>
      </c>
      <c r="F80">
        <f t="shared" si="6"/>
        <v>0.64798469841368789</v>
      </c>
    </row>
    <row r="81" spans="1:6" x14ac:dyDescent="0.35">
      <c r="A81" s="9">
        <v>45251</v>
      </c>
      <c r="B81" s="8">
        <v>715.75</v>
      </c>
      <c r="C81">
        <f t="shared" si="7"/>
        <v>741.12463397043939</v>
      </c>
      <c r="D81">
        <f t="shared" si="4"/>
        <v>-25.37463397043939</v>
      </c>
      <c r="E81">
        <f t="shared" si="5"/>
        <v>643.87204913377673</v>
      </c>
      <c r="F81">
        <f t="shared" si="6"/>
        <v>3.5451811345357167</v>
      </c>
    </row>
    <row r="82" spans="1:6" x14ac:dyDescent="0.35">
      <c r="A82" s="9">
        <v>45281</v>
      </c>
      <c r="B82" s="8">
        <v>682.83478260869572</v>
      </c>
      <c r="C82">
        <f t="shared" si="7"/>
        <v>703.23623058530598</v>
      </c>
      <c r="D82">
        <f t="shared" si="4"/>
        <v>-20.401447976610257</v>
      </c>
      <c r="E82">
        <f t="shared" si="5"/>
        <v>416.21907954233473</v>
      </c>
      <c r="F82">
        <f t="shared" si="6"/>
        <v>2.9877575800501481</v>
      </c>
    </row>
    <row r="83" spans="1:6" x14ac:dyDescent="0.35">
      <c r="A83" s="9">
        <v>44948</v>
      </c>
      <c r="B83" s="8">
        <v>733.29250000000002</v>
      </c>
      <c r="C83">
        <f t="shared" si="7"/>
        <v>722.77280570485709</v>
      </c>
      <c r="D83">
        <f t="shared" si="4"/>
        <v>10.519694295142926</v>
      </c>
      <c r="E83">
        <f t="shared" si="5"/>
        <v>110.66396806326263</v>
      </c>
      <c r="F83">
        <f t="shared" si="6"/>
        <v>1.4345836477453304</v>
      </c>
    </row>
    <row r="84" spans="1:6" x14ac:dyDescent="0.35">
      <c r="A84" s="9">
        <v>44979</v>
      </c>
      <c r="B84" s="8">
        <v>785.16</v>
      </c>
      <c r="C84">
        <f t="shared" si="7"/>
        <v>763.32448199669989</v>
      </c>
      <c r="D84">
        <f t="shared" si="4"/>
        <v>21.835518003300081</v>
      </c>
      <c r="E84">
        <f t="shared" si="5"/>
        <v>476.78984647244192</v>
      </c>
      <c r="F84">
        <f t="shared" si="6"/>
        <v>2.7810278164068576</v>
      </c>
    </row>
    <row r="85" spans="1:6" x14ac:dyDescent="0.35">
      <c r="A85" s="9">
        <v>45007</v>
      </c>
      <c r="B85" s="8">
        <v>716.19749999999999</v>
      </c>
      <c r="C85">
        <f t="shared" si="7"/>
        <v>732.69194369884485</v>
      </c>
      <c r="D85">
        <f t="shared" si="4"/>
        <v>-16.494443698844862</v>
      </c>
      <c r="E85">
        <f t="shared" si="5"/>
        <v>272.06667293436294</v>
      </c>
      <c r="F85">
        <f t="shared" si="6"/>
        <v>2.3030579831463891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9CDA-0679-4D11-A2E2-D0D72C49BD79}">
  <dimension ref="A1:A2"/>
  <sheetViews>
    <sheetView workbookViewId="0">
      <selection activeCell="B6" sqref="B6"/>
    </sheetView>
  </sheetViews>
  <sheetFormatPr defaultRowHeight="14.5" x14ac:dyDescent="0.35"/>
  <sheetData>
    <row r="1" spans="1:1" x14ac:dyDescent="0.35">
      <c r="A1" s="8" t="s">
        <v>57</v>
      </c>
    </row>
    <row r="2" spans="1:1" x14ac:dyDescent="0.35">
      <c r="A2" s="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PivotTable</vt:lpstr>
      <vt:lpstr>SMA_3year</vt:lpstr>
      <vt:lpstr>SMA_4year</vt:lpstr>
      <vt:lpstr>SMA_5year</vt:lpstr>
      <vt:lpstr>WMA_3year</vt:lpstr>
      <vt:lpstr>WMA_4year</vt:lpstr>
      <vt:lpstr>WMA_6year</vt:lpstr>
      <vt:lpstr>Leastsquare</vt:lpstr>
      <vt:lpstr>SE Smoothing (0.45)</vt:lpstr>
      <vt:lpstr>SE Smoothing (0.5)</vt:lpstr>
      <vt:lpstr>SE Smoothing (0.55)</vt:lpstr>
      <vt:lpstr>SE Smoothing (0.6)</vt:lpstr>
      <vt:lpstr>SE Smoothing (0.65)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</dc:creator>
  <cp:lastModifiedBy>Rahul Bhujade</cp:lastModifiedBy>
  <dcterms:created xsi:type="dcterms:W3CDTF">2015-06-05T18:17:20Z</dcterms:created>
  <dcterms:modified xsi:type="dcterms:W3CDTF">2023-08-31T20:16:41Z</dcterms:modified>
</cp:coreProperties>
</file>