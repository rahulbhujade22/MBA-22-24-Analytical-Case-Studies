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esktop\DMSL\"/>
    </mc:Choice>
  </mc:AlternateContent>
  <xr:revisionPtr revIDLastSave="0" documentId="8_{15555C0A-B37C-413A-AE9D-63CA6556DC2B}" xr6:coauthVersionLast="47" xr6:coauthVersionMax="47" xr10:uidLastSave="{00000000-0000-0000-0000-000000000000}"/>
  <bookViews>
    <workbookView xWindow="-108" yWindow="-108" windowWidth="23256" windowHeight="12456" tabRatio="558" firstSheet="2" activeTab="2" xr2:uid="{7E272D03-62F3-4504-BAFC-47DA398FC790}"/>
  </bookViews>
  <sheets>
    <sheet name="DiscriptiveStats" sheetId="2" r:id="rId1"/>
    <sheet name="Corr" sheetId="5" r:id="rId2"/>
    <sheet name="Data" sheetId="1" r:id="rId3"/>
    <sheet name="Histo" sheetId="3" r:id="rId4"/>
    <sheet name="Boxplot" sheetId="4" r:id="rId5"/>
  </sheets>
  <externalReferences>
    <externalReference r:id="rId6"/>
  </externalReferences>
  <definedNames>
    <definedName name="_xlnm._FilterDatabase" localSheetId="2" hidden="1">Data!$A$1:$H$712</definedName>
    <definedName name="_xlchart.v1.0" hidden="1">Data!$N$1</definedName>
    <definedName name="_xlchart.v1.1" hidden="1">Data!$N$2:$N$712</definedName>
    <definedName name="_xlchart.v1.2" hidden="1">Data!$C$1</definedName>
    <definedName name="_xlchart.v1.3" hidden="1">Data!$C$2:$C$712</definedName>
    <definedName name="_xlchart.v1.4" hidden="1">Data!$D$2:$D$712</definedName>
    <definedName name="_xlchart.v1.5" hidden="1">Data!$E$2:$E$712</definedName>
    <definedName name="_xlchart.v1.6" hidden="1">Data!$F$2:$F$712</definedName>
    <definedName name="_xlchart.v1.7" hidden="1">Data!$G$2:$G$712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81" i="1" l="1"/>
  <c r="AN30" i="1"/>
  <c r="AM22" i="1" a="1"/>
  <c r="AK22" i="1" a="1"/>
  <c r="AC22" i="1" a="1"/>
  <c r="Z22" i="1" a="1"/>
  <c r="Q22" i="1" a="1"/>
  <c r="AO22" i="1" l="1"/>
  <c r="AO23" i="1"/>
  <c r="AO24" i="1"/>
  <c r="AO25" i="1"/>
  <c r="AO26" i="1"/>
  <c r="AP22" i="1"/>
  <c r="AP23" i="1"/>
  <c r="AP24" i="1"/>
  <c r="AP25" i="1"/>
  <c r="AP26" i="1"/>
  <c r="AM22" i="1"/>
  <c r="AM23" i="1"/>
  <c r="AM24" i="1"/>
  <c r="AM25" i="1"/>
  <c r="AM26" i="1"/>
  <c r="AN22" i="1"/>
  <c r="AN23" i="1"/>
  <c r="AN24" i="1"/>
  <c r="AN25" i="1"/>
  <c r="AN26" i="1"/>
  <c r="AK27" i="1"/>
  <c r="AK24" i="1"/>
  <c r="AK28" i="1"/>
  <c r="AK25" i="1"/>
  <c r="AK22" i="1"/>
  <c r="AK26" i="1"/>
  <c r="AK23" i="1"/>
  <c r="AE22" i="1"/>
  <c r="AI22" i="1"/>
  <c r="AF23" i="1"/>
  <c r="AC24" i="1"/>
  <c r="AG24" i="1"/>
  <c r="AD25" i="1"/>
  <c r="AH25" i="1"/>
  <c r="AE26" i="1"/>
  <c r="AI26" i="1"/>
  <c r="AF27" i="1"/>
  <c r="AC28" i="1"/>
  <c r="AG28" i="1"/>
  <c r="AF22" i="1"/>
  <c r="AC23" i="1"/>
  <c r="AG23" i="1"/>
  <c r="AD24" i="1"/>
  <c r="AH24" i="1"/>
  <c r="AE25" i="1"/>
  <c r="AI25" i="1"/>
  <c r="AF26" i="1"/>
  <c r="AC27" i="1"/>
  <c r="AG27" i="1"/>
  <c r="AD28" i="1"/>
  <c r="AH28" i="1"/>
  <c r="AC22" i="1"/>
  <c r="AG22" i="1"/>
  <c r="AD23" i="1"/>
  <c r="AH23" i="1"/>
  <c r="AE24" i="1"/>
  <c r="AI24" i="1"/>
  <c r="AF25" i="1"/>
  <c r="AC26" i="1"/>
  <c r="AG26" i="1"/>
  <c r="AD27" i="1"/>
  <c r="AH27" i="1"/>
  <c r="AE28" i="1"/>
  <c r="AI28" i="1"/>
  <c r="AD22" i="1"/>
  <c r="AH22" i="1"/>
  <c r="AE23" i="1"/>
  <c r="AI23" i="1"/>
  <c r="AF24" i="1"/>
  <c r="AC25" i="1"/>
  <c r="AG25" i="1"/>
  <c r="AD26" i="1"/>
  <c r="AH26" i="1"/>
  <c r="AE27" i="1"/>
  <c r="AI27" i="1"/>
  <c r="AF28" i="1"/>
  <c r="Z24" i="1"/>
  <c r="Z23" i="1"/>
  <c r="Z25" i="1"/>
  <c r="Z27" i="1"/>
  <c r="Z29" i="1"/>
  <c r="Z31" i="1"/>
  <c r="AA23" i="1"/>
  <c r="AA25" i="1"/>
  <c r="AA27" i="1"/>
  <c r="AA29" i="1"/>
  <c r="AA31" i="1"/>
  <c r="Z22" i="1"/>
  <c r="Z26" i="1"/>
  <c r="Z28" i="1"/>
  <c r="Z30" i="1"/>
  <c r="AA22" i="1"/>
  <c r="AA24" i="1"/>
  <c r="AA26" i="1"/>
  <c r="AA28" i="1"/>
  <c r="AA30" i="1"/>
  <c r="Q22" i="1"/>
  <c r="R22" i="1"/>
  <c r="S22" i="1"/>
  <c r="W22" i="1"/>
  <c r="S23" i="1"/>
  <c r="W23" i="1"/>
  <c r="S24" i="1"/>
  <c r="W24" i="1"/>
  <c r="S25" i="1"/>
  <c r="W25" i="1"/>
  <c r="S26" i="1"/>
  <c r="W26" i="1"/>
  <c r="S27" i="1"/>
  <c r="W27" i="1"/>
  <c r="S28" i="1"/>
  <c r="W28" i="1"/>
  <c r="S29" i="1"/>
  <c r="W29" i="1"/>
  <c r="T22" i="1"/>
  <c r="X22" i="1"/>
  <c r="T23" i="1"/>
  <c r="X23" i="1"/>
  <c r="T24" i="1"/>
  <c r="X24" i="1"/>
  <c r="T25" i="1"/>
  <c r="X25" i="1"/>
  <c r="T26" i="1"/>
  <c r="X26" i="1"/>
  <c r="T27" i="1"/>
  <c r="X27" i="1"/>
  <c r="T28" i="1"/>
  <c r="X28" i="1"/>
  <c r="T29" i="1"/>
  <c r="X29" i="1"/>
  <c r="U22" i="1"/>
  <c r="Q23" i="1"/>
  <c r="U23" i="1"/>
  <c r="Q24" i="1"/>
  <c r="U24" i="1"/>
  <c r="Q25" i="1"/>
  <c r="U25" i="1"/>
  <c r="Q26" i="1"/>
  <c r="U26" i="1"/>
  <c r="Q27" i="1"/>
  <c r="U27" i="1"/>
  <c r="Q28" i="1"/>
  <c r="U28" i="1"/>
  <c r="Q29" i="1"/>
  <c r="U29" i="1"/>
  <c r="V22" i="1"/>
  <c r="R23" i="1"/>
  <c r="V23" i="1"/>
  <c r="R24" i="1"/>
  <c r="V24" i="1"/>
  <c r="R25" i="1"/>
  <c r="V25" i="1"/>
  <c r="R26" i="1"/>
  <c r="V26" i="1"/>
  <c r="R27" i="1"/>
  <c r="V27" i="1"/>
  <c r="R28" i="1"/>
  <c r="V28" i="1"/>
  <c r="R29" i="1"/>
  <c r="V2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<sst xmlns="http://schemas.openxmlformats.org/spreadsheetml/2006/main" count="162" uniqueCount="31">
  <si>
    <t>No of times Preganant</t>
  </si>
  <si>
    <t>Plasma</t>
  </si>
  <si>
    <t>BP</t>
  </si>
  <si>
    <t>SkinThickness</t>
  </si>
  <si>
    <t>Insulin</t>
  </si>
  <si>
    <t>BMI</t>
  </si>
  <si>
    <t>Diabetes</t>
  </si>
  <si>
    <t>Age</t>
  </si>
  <si>
    <t>Class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</si>
  <si>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</si>
  <si>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</si>
  <si>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</si>
  <si>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</si>
  <si>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</si>
  <si>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</si>
  <si>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</si>
  <si>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</si>
  <si>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</si>
  <si>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</si>
  <si>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</si>
  <si>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</si>
  <si>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</si>
  <si>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Logistic Regression</t>
  </si>
  <si>
    <t>LL statistics</t>
  </si>
  <si>
    <t>Covariance matrix</t>
  </si>
  <si>
    <t>Converge</t>
  </si>
  <si>
    <t>Classification Table</t>
  </si>
  <si>
    <t># Iter</t>
  </si>
  <si>
    <t>Alpha</t>
  </si>
  <si>
    <t>Cutoff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</si>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</sst>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2" borderId="0" xfId="0" applyFill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5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ROC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Lit>
              <c:formatCode>General</c:formatCode>
              <c:ptCount val="711"/>
              <c:pt idx="0">
                <c:v>1</c:v>
              </c:pt>
              <c:pt idx="1">
                <c:v>0.99789473684210528</c:v>
              </c:pt>
              <c:pt idx="2">
                <c:v>0.99578947368421056</c:v>
              </c:pt>
              <c:pt idx="3">
                <c:v>0.99368421052631584</c:v>
              </c:pt>
              <c:pt idx="4">
                <c:v>0.99368421052631584</c:v>
              </c:pt>
              <c:pt idx="5">
                <c:v>0.991578947368421</c:v>
              </c:pt>
              <c:pt idx="6">
                <c:v>0.98947368421052628</c:v>
              </c:pt>
              <c:pt idx="7">
                <c:v>0.98736842105263156</c:v>
              </c:pt>
              <c:pt idx="8">
                <c:v>0.98526315789473684</c:v>
              </c:pt>
              <c:pt idx="9">
                <c:v>0.98315789473684212</c:v>
              </c:pt>
              <c:pt idx="10">
                <c:v>0.98315789473684212</c:v>
              </c:pt>
              <c:pt idx="11">
                <c:v>0.9810526315789474</c:v>
              </c:pt>
              <c:pt idx="12">
                <c:v>0.97894736842105268</c:v>
              </c:pt>
              <c:pt idx="13">
                <c:v>0.97684210526315784</c:v>
              </c:pt>
              <c:pt idx="14">
                <c:v>0.97473684210526312</c:v>
              </c:pt>
              <c:pt idx="15">
                <c:v>0.9726315789473684</c:v>
              </c:pt>
              <c:pt idx="16">
                <c:v>0.97052631578947368</c:v>
              </c:pt>
              <c:pt idx="17">
                <c:v>0.96842105263157896</c:v>
              </c:pt>
              <c:pt idx="18">
                <c:v>0.96631578947368424</c:v>
              </c:pt>
              <c:pt idx="19">
                <c:v>0.96421052631578952</c:v>
              </c:pt>
              <c:pt idx="20">
                <c:v>0.96210526315789469</c:v>
              </c:pt>
              <c:pt idx="21">
                <c:v>0.96</c:v>
              </c:pt>
              <c:pt idx="22">
                <c:v>0.95789473684210524</c:v>
              </c:pt>
              <c:pt idx="23">
                <c:v>0.95578947368421052</c:v>
              </c:pt>
              <c:pt idx="24">
                <c:v>0.9536842105263158</c:v>
              </c:pt>
              <c:pt idx="25">
                <c:v>0.95157894736842108</c:v>
              </c:pt>
              <c:pt idx="26">
                <c:v>0.94947368421052636</c:v>
              </c:pt>
              <c:pt idx="27">
                <c:v>0.94736842105263153</c:v>
              </c:pt>
              <c:pt idx="28">
                <c:v>0.94526315789473681</c:v>
              </c:pt>
              <c:pt idx="29">
                <c:v>0.94315789473684208</c:v>
              </c:pt>
              <c:pt idx="30">
                <c:v>0.94105263157894736</c:v>
              </c:pt>
              <c:pt idx="31">
                <c:v>0.93894736842105264</c:v>
              </c:pt>
              <c:pt idx="32">
                <c:v>0.93684210526315792</c:v>
              </c:pt>
              <c:pt idx="33">
                <c:v>0.9347368421052632</c:v>
              </c:pt>
              <c:pt idx="34">
                <c:v>0.93263157894736837</c:v>
              </c:pt>
              <c:pt idx="35">
                <c:v>0.93052631578947365</c:v>
              </c:pt>
              <c:pt idx="36">
                <c:v>0.92842105263157892</c:v>
              </c:pt>
              <c:pt idx="37">
                <c:v>0.9263157894736842</c:v>
              </c:pt>
              <c:pt idx="38">
                <c:v>0.92421052631578948</c:v>
              </c:pt>
              <c:pt idx="39">
                <c:v>0.92210526315789476</c:v>
              </c:pt>
              <c:pt idx="40">
                <c:v>0.92</c:v>
              </c:pt>
              <c:pt idx="41">
                <c:v>0.91789473684210521</c:v>
              </c:pt>
              <c:pt idx="42">
                <c:v>0.91578947368421049</c:v>
              </c:pt>
              <c:pt idx="43">
                <c:v>0.91368421052631577</c:v>
              </c:pt>
              <c:pt idx="44">
                <c:v>0.91157894736842104</c:v>
              </c:pt>
              <c:pt idx="45">
                <c:v>0.90947368421052632</c:v>
              </c:pt>
              <c:pt idx="46">
                <c:v>0.9073684210526316</c:v>
              </c:pt>
              <c:pt idx="47">
                <c:v>0.90526315789473688</c:v>
              </c:pt>
              <c:pt idx="48">
                <c:v>0.90315789473684216</c:v>
              </c:pt>
              <c:pt idx="49">
                <c:v>0.90105263157894733</c:v>
              </c:pt>
              <c:pt idx="50">
                <c:v>0.89894736842105261</c:v>
              </c:pt>
              <c:pt idx="51">
                <c:v>0.89684210526315788</c:v>
              </c:pt>
              <c:pt idx="52">
                <c:v>0.89473684210526316</c:v>
              </c:pt>
              <c:pt idx="53">
                <c:v>0.89263157894736844</c:v>
              </c:pt>
              <c:pt idx="54">
                <c:v>0.89052631578947372</c:v>
              </c:pt>
              <c:pt idx="55">
                <c:v>0.888421052631579</c:v>
              </c:pt>
              <c:pt idx="56">
                <c:v>0.88631578947368417</c:v>
              </c:pt>
              <c:pt idx="57">
                <c:v>0.88421052631578945</c:v>
              </c:pt>
              <c:pt idx="58">
                <c:v>0.88210526315789473</c:v>
              </c:pt>
              <c:pt idx="59">
                <c:v>0.88</c:v>
              </c:pt>
              <c:pt idx="60">
                <c:v>0.87789473684210528</c:v>
              </c:pt>
              <c:pt idx="61">
                <c:v>0.87789473684210528</c:v>
              </c:pt>
              <c:pt idx="62">
                <c:v>0.87578947368421056</c:v>
              </c:pt>
              <c:pt idx="63">
                <c:v>0.87368421052631584</c:v>
              </c:pt>
              <c:pt idx="64">
                <c:v>0.87157894736842101</c:v>
              </c:pt>
              <c:pt idx="65">
                <c:v>0.86947368421052629</c:v>
              </c:pt>
              <c:pt idx="66">
                <c:v>0.86736842105263157</c:v>
              </c:pt>
              <c:pt idx="67">
                <c:v>0.86526315789473685</c:v>
              </c:pt>
              <c:pt idx="68">
                <c:v>0.86315789473684212</c:v>
              </c:pt>
              <c:pt idx="69">
                <c:v>0.8610526315789474</c:v>
              </c:pt>
              <c:pt idx="70">
                <c:v>0.85894736842105268</c:v>
              </c:pt>
              <c:pt idx="71">
                <c:v>0.85684210526315785</c:v>
              </c:pt>
              <c:pt idx="72">
                <c:v>0.85473684210526313</c:v>
              </c:pt>
              <c:pt idx="73">
                <c:v>0.85263157894736841</c:v>
              </c:pt>
              <c:pt idx="74">
                <c:v>0.85052631578947369</c:v>
              </c:pt>
              <c:pt idx="75">
                <c:v>0.84842105263157896</c:v>
              </c:pt>
              <c:pt idx="76">
                <c:v>0.84631578947368424</c:v>
              </c:pt>
              <c:pt idx="77">
                <c:v>0.84421052631578952</c:v>
              </c:pt>
              <c:pt idx="78">
                <c:v>0.84210526315789469</c:v>
              </c:pt>
              <c:pt idx="79">
                <c:v>0.84</c:v>
              </c:pt>
              <c:pt idx="80">
                <c:v>0.83789473684210525</c:v>
              </c:pt>
              <c:pt idx="81">
                <c:v>0.83578947368421053</c:v>
              </c:pt>
              <c:pt idx="82">
                <c:v>0.83368421052631581</c:v>
              </c:pt>
              <c:pt idx="83">
                <c:v>0.83157894736842108</c:v>
              </c:pt>
              <c:pt idx="84">
                <c:v>0.82947368421052636</c:v>
              </c:pt>
              <c:pt idx="85">
                <c:v>0.82736842105263153</c:v>
              </c:pt>
              <c:pt idx="86">
                <c:v>0.82526315789473681</c:v>
              </c:pt>
              <c:pt idx="87">
                <c:v>0.82315789473684209</c:v>
              </c:pt>
              <c:pt idx="88">
                <c:v>0.82105263157894737</c:v>
              </c:pt>
              <c:pt idx="89">
                <c:v>0.81894736842105265</c:v>
              </c:pt>
              <c:pt idx="90">
                <c:v>0.81684210526315792</c:v>
              </c:pt>
              <c:pt idx="91">
                <c:v>0.8147368421052632</c:v>
              </c:pt>
              <c:pt idx="92">
                <c:v>0.81263157894736837</c:v>
              </c:pt>
              <c:pt idx="93">
                <c:v>0.81052631578947365</c:v>
              </c:pt>
              <c:pt idx="94">
                <c:v>0.80842105263157893</c:v>
              </c:pt>
              <c:pt idx="95">
                <c:v>0.80631578947368421</c:v>
              </c:pt>
              <c:pt idx="96">
                <c:v>0.80421052631578949</c:v>
              </c:pt>
              <c:pt idx="97">
                <c:v>0.80210526315789477</c:v>
              </c:pt>
              <c:pt idx="98">
                <c:v>0.8</c:v>
              </c:pt>
              <c:pt idx="99">
                <c:v>0.79789473684210521</c:v>
              </c:pt>
              <c:pt idx="100">
                <c:v>0.79578947368421049</c:v>
              </c:pt>
              <c:pt idx="101">
                <c:v>0.79368421052631577</c:v>
              </c:pt>
              <c:pt idx="102">
                <c:v>0.79157894736842105</c:v>
              </c:pt>
              <c:pt idx="103">
                <c:v>0.78947368421052633</c:v>
              </c:pt>
              <c:pt idx="104">
                <c:v>0.78736842105263161</c:v>
              </c:pt>
              <c:pt idx="105">
                <c:v>0.78526315789473689</c:v>
              </c:pt>
              <c:pt idx="106">
                <c:v>0.78315789473684205</c:v>
              </c:pt>
              <c:pt idx="107">
                <c:v>0.78105263157894733</c:v>
              </c:pt>
              <c:pt idx="108">
                <c:v>0.77894736842105261</c:v>
              </c:pt>
              <c:pt idx="109">
                <c:v>0.77684210526315789</c:v>
              </c:pt>
              <c:pt idx="110">
                <c:v>0.77473684210526317</c:v>
              </c:pt>
              <c:pt idx="111">
                <c:v>0.77263157894736845</c:v>
              </c:pt>
              <c:pt idx="112">
                <c:v>0.77052631578947373</c:v>
              </c:pt>
              <c:pt idx="113">
                <c:v>0.76842105263157889</c:v>
              </c:pt>
              <c:pt idx="114">
                <c:v>0.76631578947368417</c:v>
              </c:pt>
              <c:pt idx="115">
                <c:v>0.76421052631578945</c:v>
              </c:pt>
              <c:pt idx="116">
                <c:v>0.76210526315789473</c:v>
              </c:pt>
              <c:pt idx="117">
                <c:v>0.76</c:v>
              </c:pt>
              <c:pt idx="118">
                <c:v>0.76</c:v>
              </c:pt>
              <c:pt idx="119">
                <c:v>0.75789473684210529</c:v>
              </c:pt>
              <c:pt idx="120">
                <c:v>0.75578947368421057</c:v>
              </c:pt>
              <c:pt idx="121">
                <c:v>0.75368421052631573</c:v>
              </c:pt>
              <c:pt idx="122">
                <c:v>0.75157894736842101</c:v>
              </c:pt>
              <c:pt idx="123">
                <c:v>0.74947368421052629</c:v>
              </c:pt>
              <c:pt idx="124">
                <c:v>0.74947368421052629</c:v>
              </c:pt>
              <c:pt idx="125">
                <c:v>0.74736842105263157</c:v>
              </c:pt>
              <c:pt idx="126">
                <c:v>0.74526315789473685</c:v>
              </c:pt>
              <c:pt idx="127">
                <c:v>0.74315789473684213</c:v>
              </c:pt>
              <c:pt idx="128">
                <c:v>0.74105263157894741</c:v>
              </c:pt>
              <c:pt idx="129">
                <c:v>0.73894736842105269</c:v>
              </c:pt>
              <c:pt idx="130">
                <c:v>0.73684210526315785</c:v>
              </c:pt>
              <c:pt idx="131">
                <c:v>0.73473684210526313</c:v>
              </c:pt>
              <c:pt idx="132">
                <c:v>0.73263157894736841</c:v>
              </c:pt>
              <c:pt idx="133">
                <c:v>0.73052631578947369</c:v>
              </c:pt>
              <c:pt idx="134">
                <c:v>0.72842105263157897</c:v>
              </c:pt>
              <c:pt idx="135">
                <c:v>0.72631578947368425</c:v>
              </c:pt>
              <c:pt idx="136">
                <c:v>0.72421052631578953</c:v>
              </c:pt>
              <c:pt idx="137">
                <c:v>0.72210526315789469</c:v>
              </c:pt>
              <c:pt idx="138">
                <c:v>0.72</c:v>
              </c:pt>
              <c:pt idx="139">
                <c:v>0.71789473684210525</c:v>
              </c:pt>
              <c:pt idx="140">
                <c:v>0.71578947368421053</c:v>
              </c:pt>
              <c:pt idx="141">
                <c:v>0.71368421052631581</c:v>
              </c:pt>
              <c:pt idx="142">
                <c:v>0.71157894736842109</c:v>
              </c:pt>
              <c:pt idx="143">
                <c:v>0.70947368421052637</c:v>
              </c:pt>
              <c:pt idx="144">
                <c:v>0.70736842105263154</c:v>
              </c:pt>
              <c:pt idx="145">
                <c:v>0.70526315789473681</c:v>
              </c:pt>
              <c:pt idx="146">
                <c:v>0.70315789473684209</c:v>
              </c:pt>
              <c:pt idx="147">
                <c:v>0.70105263157894737</c:v>
              </c:pt>
              <c:pt idx="148">
                <c:v>0.69894736842105265</c:v>
              </c:pt>
              <c:pt idx="149">
                <c:v>0.69684210526315793</c:v>
              </c:pt>
              <c:pt idx="150">
                <c:v>0.69473684210526321</c:v>
              </c:pt>
              <c:pt idx="151">
                <c:v>0.69263157894736838</c:v>
              </c:pt>
              <c:pt idx="152">
                <c:v>0.69052631578947365</c:v>
              </c:pt>
              <c:pt idx="153">
                <c:v>0.68842105263157893</c:v>
              </c:pt>
              <c:pt idx="154">
                <c:v>0.68631578947368421</c:v>
              </c:pt>
              <c:pt idx="155">
                <c:v>0.68631578947368421</c:v>
              </c:pt>
              <c:pt idx="156">
                <c:v>0.68421052631578949</c:v>
              </c:pt>
              <c:pt idx="157">
                <c:v>0.68210526315789477</c:v>
              </c:pt>
              <c:pt idx="158">
                <c:v>0.68</c:v>
              </c:pt>
              <c:pt idx="159">
                <c:v>0.67789473684210522</c:v>
              </c:pt>
              <c:pt idx="160">
                <c:v>0.6757894736842105</c:v>
              </c:pt>
              <c:pt idx="161">
                <c:v>0.67368421052631577</c:v>
              </c:pt>
              <c:pt idx="162">
                <c:v>0.67157894736842105</c:v>
              </c:pt>
              <c:pt idx="163">
                <c:v>0.66947368421052633</c:v>
              </c:pt>
              <c:pt idx="164">
                <c:v>0.66736842105263161</c:v>
              </c:pt>
              <c:pt idx="165">
                <c:v>0.66526315789473689</c:v>
              </c:pt>
              <c:pt idx="166">
                <c:v>0.66526315789473689</c:v>
              </c:pt>
              <c:pt idx="167">
                <c:v>0.66315789473684206</c:v>
              </c:pt>
              <c:pt idx="168">
                <c:v>0.66105263157894734</c:v>
              </c:pt>
              <c:pt idx="169">
                <c:v>0.65894736842105261</c:v>
              </c:pt>
              <c:pt idx="170">
                <c:v>0.65894736842105261</c:v>
              </c:pt>
              <c:pt idx="171">
                <c:v>0.65684210526315789</c:v>
              </c:pt>
              <c:pt idx="172">
                <c:v>0.65473684210526317</c:v>
              </c:pt>
              <c:pt idx="173">
                <c:v>0.65263157894736845</c:v>
              </c:pt>
              <c:pt idx="174">
                <c:v>0.65052631578947373</c:v>
              </c:pt>
              <c:pt idx="175">
                <c:v>0.6484210526315789</c:v>
              </c:pt>
              <c:pt idx="176">
                <c:v>0.6484210526315789</c:v>
              </c:pt>
              <c:pt idx="177">
                <c:v>0.64631578947368418</c:v>
              </c:pt>
              <c:pt idx="178">
                <c:v>0.64421052631578946</c:v>
              </c:pt>
              <c:pt idx="179">
                <c:v>0.64210526315789473</c:v>
              </c:pt>
              <c:pt idx="180">
                <c:v>0.64</c:v>
              </c:pt>
              <c:pt idx="181">
                <c:v>0.63789473684210529</c:v>
              </c:pt>
              <c:pt idx="182">
                <c:v>0.63578947368421057</c:v>
              </c:pt>
              <c:pt idx="183">
                <c:v>0.63368421052631574</c:v>
              </c:pt>
              <c:pt idx="184">
                <c:v>0.63157894736842102</c:v>
              </c:pt>
              <c:pt idx="185">
                <c:v>0.6294736842105263</c:v>
              </c:pt>
              <c:pt idx="186">
                <c:v>0.62736842105263158</c:v>
              </c:pt>
              <c:pt idx="187">
                <c:v>0.62526315789473685</c:v>
              </c:pt>
              <c:pt idx="188">
                <c:v>0.62315789473684213</c:v>
              </c:pt>
              <c:pt idx="189">
                <c:v>0.62105263157894741</c:v>
              </c:pt>
              <c:pt idx="190">
                <c:v>0.61894736842105258</c:v>
              </c:pt>
              <c:pt idx="191">
                <c:v>0.61684210526315786</c:v>
              </c:pt>
              <c:pt idx="192">
                <c:v>0.61473684210526314</c:v>
              </c:pt>
              <c:pt idx="193">
                <c:v>0.61263157894736842</c:v>
              </c:pt>
              <c:pt idx="194">
                <c:v>0.61052631578947369</c:v>
              </c:pt>
              <c:pt idx="195">
                <c:v>0.60842105263157897</c:v>
              </c:pt>
              <c:pt idx="196">
                <c:v>0.60631578947368425</c:v>
              </c:pt>
              <c:pt idx="197">
                <c:v>0.60421052631578942</c:v>
              </c:pt>
              <c:pt idx="198">
                <c:v>0.6021052631578947</c:v>
              </c:pt>
              <c:pt idx="199">
                <c:v>0.6</c:v>
              </c:pt>
              <c:pt idx="200">
                <c:v>0.59789473684210526</c:v>
              </c:pt>
              <c:pt idx="201">
                <c:v>0.59578947368421054</c:v>
              </c:pt>
              <c:pt idx="202">
                <c:v>0.59368421052631581</c:v>
              </c:pt>
              <c:pt idx="203">
                <c:v>0.59368421052631581</c:v>
              </c:pt>
              <c:pt idx="204">
                <c:v>0.59157894736842109</c:v>
              </c:pt>
              <c:pt idx="205">
                <c:v>0.58947368421052626</c:v>
              </c:pt>
              <c:pt idx="206">
                <c:v>0.58736842105263154</c:v>
              </c:pt>
              <c:pt idx="207">
                <c:v>0.58526315789473682</c:v>
              </c:pt>
              <c:pt idx="208">
                <c:v>0.5831578947368421</c:v>
              </c:pt>
              <c:pt idx="209">
                <c:v>0.5831578947368421</c:v>
              </c:pt>
              <c:pt idx="210">
                <c:v>0.58105263157894738</c:v>
              </c:pt>
              <c:pt idx="211">
                <c:v>0.57894736842105265</c:v>
              </c:pt>
              <c:pt idx="212">
                <c:v>0.57684210526315793</c:v>
              </c:pt>
              <c:pt idx="213">
                <c:v>0.57473684210526321</c:v>
              </c:pt>
              <c:pt idx="214">
                <c:v>0.57263157894736838</c:v>
              </c:pt>
              <c:pt idx="215">
                <c:v>0.57052631578947366</c:v>
              </c:pt>
              <c:pt idx="216">
                <c:v>0.56842105263157894</c:v>
              </c:pt>
              <c:pt idx="217">
                <c:v>0.56631578947368422</c:v>
              </c:pt>
              <c:pt idx="218">
                <c:v>0.5642105263157895</c:v>
              </c:pt>
              <c:pt idx="219">
                <c:v>0.5642105263157895</c:v>
              </c:pt>
              <c:pt idx="220">
                <c:v>0.56210526315789477</c:v>
              </c:pt>
              <c:pt idx="221">
                <c:v>0.56000000000000005</c:v>
              </c:pt>
              <c:pt idx="222">
                <c:v>0.55789473684210522</c:v>
              </c:pt>
              <c:pt idx="223">
                <c:v>0.55789473684210522</c:v>
              </c:pt>
              <c:pt idx="224">
                <c:v>0.5557894736842105</c:v>
              </c:pt>
              <c:pt idx="225">
                <c:v>0.55368421052631578</c:v>
              </c:pt>
              <c:pt idx="226">
                <c:v>0.55368421052631578</c:v>
              </c:pt>
              <c:pt idx="227">
                <c:v>0.55157894736842106</c:v>
              </c:pt>
              <c:pt idx="228">
                <c:v>0.54947368421052634</c:v>
              </c:pt>
              <c:pt idx="229">
                <c:v>0.54736842105263162</c:v>
              </c:pt>
              <c:pt idx="230">
                <c:v>0.54526315789473689</c:v>
              </c:pt>
              <c:pt idx="231">
                <c:v>0.54315789473684206</c:v>
              </c:pt>
              <c:pt idx="232">
                <c:v>0.54315789473684206</c:v>
              </c:pt>
              <c:pt idx="233">
                <c:v>0.54105263157894734</c:v>
              </c:pt>
              <c:pt idx="234">
                <c:v>0.53894736842105262</c:v>
              </c:pt>
              <c:pt idx="235">
                <c:v>0.5368421052631579</c:v>
              </c:pt>
              <c:pt idx="236">
                <c:v>0.53473684210526318</c:v>
              </c:pt>
              <c:pt idx="237">
                <c:v>0.53263157894736846</c:v>
              </c:pt>
              <c:pt idx="238">
                <c:v>0.53052631578947373</c:v>
              </c:pt>
              <c:pt idx="239">
                <c:v>0.5284210526315789</c:v>
              </c:pt>
              <c:pt idx="240">
                <c:v>0.5284210526315789</c:v>
              </c:pt>
              <c:pt idx="241">
                <c:v>0.52631578947368418</c:v>
              </c:pt>
              <c:pt idx="242">
                <c:v>0.52421052631578946</c:v>
              </c:pt>
              <c:pt idx="243">
                <c:v>0.52210526315789474</c:v>
              </c:pt>
              <c:pt idx="244">
                <c:v>0.52</c:v>
              </c:pt>
              <c:pt idx="245">
                <c:v>0.5178947368421053</c:v>
              </c:pt>
              <c:pt idx="246">
                <c:v>0.51578947368421058</c:v>
              </c:pt>
              <c:pt idx="247">
                <c:v>0.51578947368421058</c:v>
              </c:pt>
              <c:pt idx="248">
                <c:v>0.51368421052631574</c:v>
              </c:pt>
              <c:pt idx="249">
                <c:v>0.51157894736842102</c:v>
              </c:pt>
              <c:pt idx="250">
                <c:v>0.5094736842105263</c:v>
              </c:pt>
              <c:pt idx="251">
                <c:v>0.5094736842105263</c:v>
              </c:pt>
              <c:pt idx="252">
                <c:v>0.50736842105263158</c:v>
              </c:pt>
              <c:pt idx="253">
                <c:v>0.50526315789473686</c:v>
              </c:pt>
              <c:pt idx="254">
                <c:v>0.50315789473684214</c:v>
              </c:pt>
              <c:pt idx="255">
                <c:v>0.50105263157894742</c:v>
              </c:pt>
              <c:pt idx="256">
                <c:v>0.50105263157894742</c:v>
              </c:pt>
              <c:pt idx="257">
                <c:v>0.49894736842105264</c:v>
              </c:pt>
              <c:pt idx="258">
                <c:v>0.49684210526315792</c:v>
              </c:pt>
              <c:pt idx="259">
                <c:v>0.49473684210526314</c:v>
              </c:pt>
              <c:pt idx="260">
                <c:v>0.49473684210526314</c:v>
              </c:pt>
              <c:pt idx="261">
                <c:v>0.49263157894736842</c:v>
              </c:pt>
              <c:pt idx="262">
                <c:v>0.4905263157894737</c:v>
              </c:pt>
              <c:pt idx="263">
                <c:v>0.48842105263157892</c:v>
              </c:pt>
              <c:pt idx="264">
                <c:v>0.4863157894736842</c:v>
              </c:pt>
              <c:pt idx="265">
                <c:v>0.48421052631578948</c:v>
              </c:pt>
              <c:pt idx="266">
                <c:v>0.48210526315789476</c:v>
              </c:pt>
              <c:pt idx="267">
                <c:v>0.48210526315789476</c:v>
              </c:pt>
              <c:pt idx="268">
                <c:v>0.48</c:v>
              </c:pt>
              <c:pt idx="269">
                <c:v>0.47789473684210526</c:v>
              </c:pt>
              <c:pt idx="270">
                <c:v>0.47789473684210526</c:v>
              </c:pt>
              <c:pt idx="271">
                <c:v>0.47578947368421054</c:v>
              </c:pt>
              <c:pt idx="272">
                <c:v>0.47368421052631576</c:v>
              </c:pt>
              <c:pt idx="273">
                <c:v>0.47157894736842104</c:v>
              </c:pt>
              <c:pt idx="274">
                <c:v>0.46947368421052632</c:v>
              </c:pt>
              <c:pt idx="275">
                <c:v>0.46947368421052632</c:v>
              </c:pt>
              <c:pt idx="276">
                <c:v>0.4673684210526316</c:v>
              </c:pt>
              <c:pt idx="277">
                <c:v>0.46526315789473682</c:v>
              </c:pt>
              <c:pt idx="278">
                <c:v>0.46526315789473682</c:v>
              </c:pt>
              <c:pt idx="279">
                <c:v>0.4631578947368421</c:v>
              </c:pt>
              <c:pt idx="280">
                <c:v>0.46105263157894738</c:v>
              </c:pt>
              <c:pt idx="281">
                <c:v>0.4589473684210526</c:v>
              </c:pt>
              <c:pt idx="282">
                <c:v>0.4589473684210526</c:v>
              </c:pt>
              <c:pt idx="283">
                <c:v>0.45684210526315788</c:v>
              </c:pt>
              <c:pt idx="284">
                <c:v>0.45473684210526316</c:v>
              </c:pt>
              <c:pt idx="285">
                <c:v>0.45263157894736844</c:v>
              </c:pt>
              <c:pt idx="286">
                <c:v>0.45052631578947366</c:v>
              </c:pt>
              <c:pt idx="287">
                <c:v>0.45052631578947366</c:v>
              </c:pt>
              <c:pt idx="288">
                <c:v>0.45052631578947366</c:v>
              </c:pt>
              <c:pt idx="289">
                <c:v>0.44842105263157894</c:v>
              </c:pt>
              <c:pt idx="290">
                <c:v>0.44842105263157894</c:v>
              </c:pt>
              <c:pt idx="291">
                <c:v>0.44631578947368422</c:v>
              </c:pt>
              <c:pt idx="292">
                <c:v>0.4442105263157895</c:v>
              </c:pt>
              <c:pt idx="293">
                <c:v>0.44210526315789472</c:v>
              </c:pt>
              <c:pt idx="294">
                <c:v>0.44</c:v>
              </c:pt>
              <c:pt idx="295">
                <c:v>0.43789473684210528</c:v>
              </c:pt>
              <c:pt idx="296">
                <c:v>0.4357894736842105</c:v>
              </c:pt>
              <c:pt idx="297">
                <c:v>0.4357894736842105</c:v>
              </c:pt>
              <c:pt idx="298">
                <c:v>0.43368421052631578</c:v>
              </c:pt>
              <c:pt idx="299">
                <c:v>0.43157894736842106</c:v>
              </c:pt>
              <c:pt idx="300">
                <c:v>0.42947368421052634</c:v>
              </c:pt>
              <c:pt idx="301">
                <c:v>0.42736842105263156</c:v>
              </c:pt>
              <c:pt idx="302">
                <c:v>0.42736842105263156</c:v>
              </c:pt>
              <c:pt idx="303">
                <c:v>0.42526315789473684</c:v>
              </c:pt>
              <c:pt idx="304">
                <c:v>0.42315789473684212</c:v>
              </c:pt>
              <c:pt idx="305">
                <c:v>0.42105263157894735</c:v>
              </c:pt>
              <c:pt idx="306">
                <c:v>0.41894736842105262</c:v>
              </c:pt>
              <c:pt idx="307">
                <c:v>0.4168421052631579</c:v>
              </c:pt>
              <c:pt idx="308">
                <c:v>0.41473684210526318</c:v>
              </c:pt>
              <c:pt idx="309">
                <c:v>0.4126315789473684</c:v>
              </c:pt>
              <c:pt idx="310">
                <c:v>0.41052631578947368</c:v>
              </c:pt>
              <c:pt idx="311">
                <c:v>0.40842105263157896</c:v>
              </c:pt>
              <c:pt idx="312">
                <c:v>0.40631578947368419</c:v>
              </c:pt>
              <c:pt idx="313">
                <c:v>0.40421052631578946</c:v>
              </c:pt>
              <c:pt idx="314">
                <c:v>0.40210526315789474</c:v>
              </c:pt>
              <c:pt idx="315">
                <c:v>0.4</c:v>
              </c:pt>
              <c:pt idx="316">
                <c:v>0.39789473684210525</c:v>
              </c:pt>
              <c:pt idx="317">
                <c:v>0.39578947368421052</c:v>
              </c:pt>
              <c:pt idx="318">
                <c:v>0.3936842105263158</c:v>
              </c:pt>
              <c:pt idx="319">
                <c:v>0.3936842105263158</c:v>
              </c:pt>
              <c:pt idx="320">
                <c:v>0.3936842105263158</c:v>
              </c:pt>
              <c:pt idx="321">
                <c:v>0.39157894736842103</c:v>
              </c:pt>
              <c:pt idx="322">
                <c:v>0.39157894736842103</c:v>
              </c:pt>
              <c:pt idx="323">
                <c:v>0.38947368421052631</c:v>
              </c:pt>
              <c:pt idx="324">
                <c:v>0.38947368421052631</c:v>
              </c:pt>
              <c:pt idx="325">
                <c:v>0.38736842105263158</c:v>
              </c:pt>
              <c:pt idx="326">
                <c:v>0.38736842105263158</c:v>
              </c:pt>
              <c:pt idx="327">
                <c:v>0.38526315789473686</c:v>
              </c:pt>
              <c:pt idx="328">
                <c:v>0.38315789473684209</c:v>
              </c:pt>
              <c:pt idx="329">
                <c:v>0.38105263157894737</c:v>
              </c:pt>
              <c:pt idx="330">
                <c:v>0.38105263157894737</c:v>
              </c:pt>
              <c:pt idx="331">
                <c:v>0.37894736842105264</c:v>
              </c:pt>
              <c:pt idx="332">
                <c:v>0.37684210526315787</c:v>
              </c:pt>
              <c:pt idx="333">
                <c:v>0.37473684210526315</c:v>
              </c:pt>
              <c:pt idx="334">
                <c:v>0.37263157894736842</c:v>
              </c:pt>
              <c:pt idx="335">
                <c:v>0.3705263157894737</c:v>
              </c:pt>
              <c:pt idx="336">
                <c:v>0.36842105263157893</c:v>
              </c:pt>
              <c:pt idx="337">
                <c:v>0.36631578947368421</c:v>
              </c:pt>
              <c:pt idx="338">
                <c:v>0.36421052631578948</c:v>
              </c:pt>
              <c:pt idx="339">
                <c:v>0.36210526315789476</c:v>
              </c:pt>
              <c:pt idx="340">
                <c:v>0.36</c:v>
              </c:pt>
              <c:pt idx="341">
                <c:v>0.35789473684210527</c:v>
              </c:pt>
              <c:pt idx="342">
                <c:v>0.35789473684210527</c:v>
              </c:pt>
              <c:pt idx="343">
                <c:v>0.35578947368421054</c:v>
              </c:pt>
              <c:pt idx="344">
                <c:v>0.35368421052631577</c:v>
              </c:pt>
              <c:pt idx="345">
                <c:v>0.35157894736842105</c:v>
              </c:pt>
              <c:pt idx="346">
                <c:v>0.34947368421052633</c:v>
              </c:pt>
              <c:pt idx="347">
                <c:v>0.34947368421052633</c:v>
              </c:pt>
              <c:pt idx="348">
                <c:v>0.3473684210526316</c:v>
              </c:pt>
              <c:pt idx="349">
                <c:v>0.3473684210526316</c:v>
              </c:pt>
              <c:pt idx="350">
                <c:v>0.3473684210526316</c:v>
              </c:pt>
              <c:pt idx="351">
                <c:v>0.3473684210526316</c:v>
              </c:pt>
              <c:pt idx="352">
                <c:v>0.3473684210526316</c:v>
              </c:pt>
              <c:pt idx="353">
                <c:v>0.34526315789473683</c:v>
              </c:pt>
              <c:pt idx="354">
                <c:v>0.34315789473684211</c:v>
              </c:pt>
              <c:pt idx="355">
                <c:v>0.34105263157894739</c:v>
              </c:pt>
              <c:pt idx="356">
                <c:v>0.33894736842105261</c:v>
              </c:pt>
              <c:pt idx="357">
                <c:v>0.33894736842105261</c:v>
              </c:pt>
              <c:pt idx="358">
                <c:v>0.33684210526315789</c:v>
              </c:pt>
              <c:pt idx="359">
                <c:v>0.33473684210526317</c:v>
              </c:pt>
              <c:pt idx="360">
                <c:v>0.33263157894736844</c:v>
              </c:pt>
              <c:pt idx="361">
                <c:v>0.33052631578947367</c:v>
              </c:pt>
              <c:pt idx="362">
                <c:v>0.32842105263157895</c:v>
              </c:pt>
              <c:pt idx="363">
                <c:v>0.32631578947368423</c:v>
              </c:pt>
              <c:pt idx="364">
                <c:v>0.32421052631578945</c:v>
              </c:pt>
              <c:pt idx="365">
                <c:v>0.32421052631578945</c:v>
              </c:pt>
              <c:pt idx="366">
                <c:v>0.32210526315789473</c:v>
              </c:pt>
              <c:pt idx="367">
                <c:v>0.32</c:v>
              </c:pt>
              <c:pt idx="368">
                <c:v>0.31789473684210529</c:v>
              </c:pt>
              <c:pt idx="369">
                <c:v>0.31789473684210529</c:v>
              </c:pt>
              <c:pt idx="370">
                <c:v>0.31578947368421051</c:v>
              </c:pt>
              <c:pt idx="371">
                <c:v>0.31368421052631579</c:v>
              </c:pt>
              <c:pt idx="372">
                <c:v>0.31368421052631579</c:v>
              </c:pt>
              <c:pt idx="373">
                <c:v>0.31368421052631579</c:v>
              </c:pt>
              <c:pt idx="374">
                <c:v>0.31157894736842107</c:v>
              </c:pt>
              <c:pt idx="375">
                <c:v>0.30947368421052629</c:v>
              </c:pt>
              <c:pt idx="376">
                <c:v>0.30736842105263157</c:v>
              </c:pt>
              <c:pt idx="377">
                <c:v>0.30526315789473685</c:v>
              </c:pt>
              <c:pt idx="378">
                <c:v>0.30315789473684213</c:v>
              </c:pt>
              <c:pt idx="379">
                <c:v>0.30105263157894735</c:v>
              </c:pt>
              <c:pt idx="380">
                <c:v>0.30105263157894735</c:v>
              </c:pt>
              <c:pt idx="381">
                <c:v>0.29894736842105263</c:v>
              </c:pt>
              <c:pt idx="382">
                <c:v>0.29684210526315791</c:v>
              </c:pt>
              <c:pt idx="383">
                <c:v>0.29473684210526313</c:v>
              </c:pt>
              <c:pt idx="384">
                <c:v>0.29263157894736841</c:v>
              </c:pt>
              <c:pt idx="385">
                <c:v>0.29052631578947369</c:v>
              </c:pt>
              <c:pt idx="386">
                <c:v>0.28842105263157897</c:v>
              </c:pt>
              <c:pt idx="387">
                <c:v>0.28631578947368419</c:v>
              </c:pt>
              <c:pt idx="388">
                <c:v>0.28631578947368419</c:v>
              </c:pt>
              <c:pt idx="389">
                <c:v>0.28631578947368419</c:v>
              </c:pt>
              <c:pt idx="390">
                <c:v>0.28631578947368419</c:v>
              </c:pt>
              <c:pt idx="391">
                <c:v>0.28421052631578947</c:v>
              </c:pt>
              <c:pt idx="392">
                <c:v>0.28210526315789475</c:v>
              </c:pt>
              <c:pt idx="393">
                <c:v>0.28210526315789475</c:v>
              </c:pt>
              <c:pt idx="394">
                <c:v>0.28000000000000003</c:v>
              </c:pt>
              <c:pt idx="395">
                <c:v>0.28000000000000003</c:v>
              </c:pt>
              <c:pt idx="396">
                <c:v>0.27789473684210525</c:v>
              </c:pt>
              <c:pt idx="397">
                <c:v>0.27789473684210525</c:v>
              </c:pt>
              <c:pt idx="398">
                <c:v>0.27789473684210525</c:v>
              </c:pt>
              <c:pt idx="399">
                <c:v>0.27789473684210525</c:v>
              </c:pt>
              <c:pt idx="400">
                <c:v>0.27789473684210525</c:v>
              </c:pt>
              <c:pt idx="401">
                <c:v>0.27578947368421053</c:v>
              </c:pt>
              <c:pt idx="402">
                <c:v>0.27368421052631581</c:v>
              </c:pt>
              <c:pt idx="403">
                <c:v>0.27157894736842103</c:v>
              </c:pt>
              <c:pt idx="404">
                <c:v>0.26947368421052631</c:v>
              </c:pt>
              <c:pt idx="405">
                <c:v>0.26947368421052631</c:v>
              </c:pt>
              <c:pt idx="406">
                <c:v>0.26947368421052631</c:v>
              </c:pt>
              <c:pt idx="407">
                <c:v>0.26736842105263159</c:v>
              </c:pt>
              <c:pt idx="408">
                <c:v>0.26736842105263159</c:v>
              </c:pt>
              <c:pt idx="409">
                <c:v>0.26526315789473687</c:v>
              </c:pt>
              <c:pt idx="410">
                <c:v>0.26315789473684209</c:v>
              </c:pt>
              <c:pt idx="411">
                <c:v>0.26105263157894737</c:v>
              </c:pt>
              <c:pt idx="412">
                <c:v>0.26105263157894737</c:v>
              </c:pt>
              <c:pt idx="413">
                <c:v>0.26105263157894737</c:v>
              </c:pt>
              <c:pt idx="414">
                <c:v>0.25894736842105265</c:v>
              </c:pt>
              <c:pt idx="415">
                <c:v>0.25684210526315787</c:v>
              </c:pt>
              <c:pt idx="416">
                <c:v>0.25473684210526315</c:v>
              </c:pt>
              <c:pt idx="417">
                <c:v>0.25263157894736843</c:v>
              </c:pt>
              <c:pt idx="418">
                <c:v>0.25263157894736843</c:v>
              </c:pt>
              <c:pt idx="419">
                <c:v>0.25263157894736843</c:v>
              </c:pt>
              <c:pt idx="420">
                <c:v>0.25052631578947371</c:v>
              </c:pt>
              <c:pt idx="421">
                <c:v>0.24842105263157896</c:v>
              </c:pt>
              <c:pt idx="422">
                <c:v>0.24631578947368421</c:v>
              </c:pt>
              <c:pt idx="423">
                <c:v>0.24421052631578946</c:v>
              </c:pt>
              <c:pt idx="424">
                <c:v>0.24210526315789474</c:v>
              </c:pt>
              <c:pt idx="425">
                <c:v>0.24</c:v>
              </c:pt>
              <c:pt idx="426">
                <c:v>0.24</c:v>
              </c:pt>
              <c:pt idx="427">
                <c:v>0.23789473684210527</c:v>
              </c:pt>
              <c:pt idx="428">
                <c:v>0.23578947368421052</c:v>
              </c:pt>
              <c:pt idx="429">
                <c:v>0.23578947368421052</c:v>
              </c:pt>
              <c:pt idx="430">
                <c:v>0.2336842105263158</c:v>
              </c:pt>
              <c:pt idx="431">
                <c:v>0.23157894736842105</c:v>
              </c:pt>
              <c:pt idx="432">
                <c:v>0.2294736842105263</c:v>
              </c:pt>
              <c:pt idx="433">
                <c:v>0.2294736842105263</c:v>
              </c:pt>
              <c:pt idx="434">
                <c:v>0.22736842105263158</c:v>
              </c:pt>
              <c:pt idx="435">
                <c:v>0.22736842105263158</c:v>
              </c:pt>
              <c:pt idx="436">
                <c:v>0.22736842105263158</c:v>
              </c:pt>
              <c:pt idx="437">
                <c:v>0.22526315789473683</c:v>
              </c:pt>
              <c:pt idx="438">
                <c:v>0.22526315789473683</c:v>
              </c:pt>
              <c:pt idx="439">
                <c:v>0.22315789473684211</c:v>
              </c:pt>
              <c:pt idx="440">
                <c:v>0.22315789473684211</c:v>
              </c:pt>
              <c:pt idx="441">
                <c:v>0.22105263157894736</c:v>
              </c:pt>
              <c:pt idx="442">
                <c:v>0.21894736842105264</c:v>
              </c:pt>
              <c:pt idx="443">
                <c:v>0.21684210526315789</c:v>
              </c:pt>
              <c:pt idx="444">
                <c:v>0.21473684210526317</c:v>
              </c:pt>
              <c:pt idx="445">
                <c:v>0.21473684210526317</c:v>
              </c:pt>
              <c:pt idx="446">
                <c:v>0.21473684210526317</c:v>
              </c:pt>
              <c:pt idx="447">
                <c:v>0.21473684210526317</c:v>
              </c:pt>
              <c:pt idx="448">
                <c:v>0.21263157894736842</c:v>
              </c:pt>
              <c:pt idx="449">
                <c:v>0.21263157894736842</c:v>
              </c:pt>
              <c:pt idx="450">
                <c:v>0.21052631578947367</c:v>
              </c:pt>
              <c:pt idx="451">
                <c:v>0.20842105263157895</c:v>
              </c:pt>
              <c:pt idx="452">
                <c:v>0.2063157894736842</c:v>
              </c:pt>
              <c:pt idx="453">
                <c:v>0.2063157894736842</c:v>
              </c:pt>
              <c:pt idx="454">
                <c:v>0.20421052631578948</c:v>
              </c:pt>
              <c:pt idx="455">
                <c:v>0.20210526315789473</c:v>
              </c:pt>
              <c:pt idx="456">
                <c:v>0.20210526315789473</c:v>
              </c:pt>
              <c:pt idx="457">
                <c:v>0.2</c:v>
              </c:pt>
              <c:pt idx="458">
                <c:v>0.19789473684210526</c:v>
              </c:pt>
              <c:pt idx="459">
                <c:v>0.19578947368421051</c:v>
              </c:pt>
              <c:pt idx="460">
                <c:v>0.19368421052631579</c:v>
              </c:pt>
              <c:pt idx="461">
                <c:v>0.19368421052631579</c:v>
              </c:pt>
              <c:pt idx="462">
                <c:v>0.19368421052631579</c:v>
              </c:pt>
              <c:pt idx="463">
                <c:v>0.19157894736842104</c:v>
              </c:pt>
              <c:pt idx="464">
                <c:v>0.18947368421052632</c:v>
              </c:pt>
              <c:pt idx="465">
                <c:v>0.18947368421052632</c:v>
              </c:pt>
              <c:pt idx="466">
                <c:v>0.18736842105263157</c:v>
              </c:pt>
              <c:pt idx="467">
                <c:v>0.18526315789473685</c:v>
              </c:pt>
              <c:pt idx="468">
                <c:v>0.18526315789473685</c:v>
              </c:pt>
              <c:pt idx="469">
                <c:v>0.1831578947368421</c:v>
              </c:pt>
              <c:pt idx="470">
                <c:v>0.18105263157894738</c:v>
              </c:pt>
              <c:pt idx="471">
                <c:v>0.17894736842105263</c:v>
              </c:pt>
              <c:pt idx="472">
                <c:v>0.17894736842105263</c:v>
              </c:pt>
              <c:pt idx="473">
                <c:v>0.17894736842105263</c:v>
              </c:pt>
              <c:pt idx="474">
                <c:v>0.17684210526315788</c:v>
              </c:pt>
              <c:pt idx="475">
                <c:v>0.17473684210526316</c:v>
              </c:pt>
              <c:pt idx="476">
                <c:v>0.17473684210526316</c:v>
              </c:pt>
              <c:pt idx="477">
                <c:v>0.17473684210526316</c:v>
              </c:pt>
              <c:pt idx="478">
                <c:v>0.17473684210526316</c:v>
              </c:pt>
              <c:pt idx="479">
                <c:v>0.17263157894736841</c:v>
              </c:pt>
              <c:pt idx="480">
                <c:v>0.17052631578947369</c:v>
              </c:pt>
              <c:pt idx="481">
                <c:v>0.17052631578947369</c:v>
              </c:pt>
              <c:pt idx="482">
                <c:v>0.16842105263157894</c:v>
              </c:pt>
              <c:pt idx="483">
                <c:v>0.16631578947368422</c:v>
              </c:pt>
              <c:pt idx="484">
                <c:v>0.16631578947368422</c:v>
              </c:pt>
              <c:pt idx="485">
                <c:v>0.16421052631578947</c:v>
              </c:pt>
              <c:pt idx="486">
                <c:v>0.16210526315789472</c:v>
              </c:pt>
              <c:pt idx="487">
                <c:v>0.16210526315789472</c:v>
              </c:pt>
              <c:pt idx="488">
                <c:v>0.16210526315789472</c:v>
              </c:pt>
              <c:pt idx="489">
                <c:v>0.16</c:v>
              </c:pt>
              <c:pt idx="490">
                <c:v>0.15789473684210525</c:v>
              </c:pt>
              <c:pt idx="491">
                <c:v>0.15578947368421053</c:v>
              </c:pt>
              <c:pt idx="492">
                <c:v>0.15368421052631578</c:v>
              </c:pt>
              <c:pt idx="493">
                <c:v>0.15157894736842106</c:v>
              </c:pt>
              <c:pt idx="494">
                <c:v>0.15157894736842106</c:v>
              </c:pt>
              <c:pt idx="495">
                <c:v>0.15157894736842106</c:v>
              </c:pt>
              <c:pt idx="496">
                <c:v>0.15157894736842106</c:v>
              </c:pt>
              <c:pt idx="497">
                <c:v>0.15157894736842106</c:v>
              </c:pt>
              <c:pt idx="498">
                <c:v>0.15157894736842106</c:v>
              </c:pt>
              <c:pt idx="499">
                <c:v>0.15157894736842106</c:v>
              </c:pt>
              <c:pt idx="500">
                <c:v>0.14947368421052631</c:v>
              </c:pt>
              <c:pt idx="501">
                <c:v>0.14736842105263157</c:v>
              </c:pt>
              <c:pt idx="502">
                <c:v>0.14526315789473684</c:v>
              </c:pt>
              <c:pt idx="503">
                <c:v>0.1431578947368421</c:v>
              </c:pt>
              <c:pt idx="504">
                <c:v>0.14105263157894737</c:v>
              </c:pt>
              <c:pt idx="505">
                <c:v>0.13894736842105262</c:v>
              </c:pt>
              <c:pt idx="506">
                <c:v>0.1368421052631579</c:v>
              </c:pt>
              <c:pt idx="507">
                <c:v>0.13473684210526315</c:v>
              </c:pt>
              <c:pt idx="508">
                <c:v>0.13263157894736843</c:v>
              </c:pt>
              <c:pt idx="509">
                <c:v>0.13052631578947368</c:v>
              </c:pt>
              <c:pt idx="510">
                <c:v>0.12842105263157894</c:v>
              </c:pt>
              <c:pt idx="511">
                <c:v>0.12631578947368421</c:v>
              </c:pt>
              <c:pt idx="512">
                <c:v>0.12421052631578948</c:v>
              </c:pt>
              <c:pt idx="513">
                <c:v>0.12421052631578948</c:v>
              </c:pt>
              <c:pt idx="514">
                <c:v>0.12421052631578948</c:v>
              </c:pt>
              <c:pt idx="515">
                <c:v>0.12421052631578948</c:v>
              </c:pt>
              <c:pt idx="516">
                <c:v>0.12210526315789473</c:v>
              </c:pt>
              <c:pt idx="517">
                <c:v>0.12</c:v>
              </c:pt>
              <c:pt idx="518">
                <c:v>0.11789473684210526</c:v>
              </c:pt>
              <c:pt idx="519">
                <c:v>0.11578947368421053</c:v>
              </c:pt>
              <c:pt idx="520">
                <c:v>0.11368421052631579</c:v>
              </c:pt>
              <c:pt idx="521">
                <c:v>0.11368421052631579</c:v>
              </c:pt>
              <c:pt idx="522">
                <c:v>0.11368421052631579</c:v>
              </c:pt>
              <c:pt idx="523">
                <c:v>0.11368421052631579</c:v>
              </c:pt>
              <c:pt idx="524">
                <c:v>0.11157894736842106</c:v>
              </c:pt>
              <c:pt idx="525">
                <c:v>0.10947368421052632</c:v>
              </c:pt>
              <c:pt idx="526">
                <c:v>0.10947368421052632</c:v>
              </c:pt>
              <c:pt idx="527">
                <c:v>0.10947368421052632</c:v>
              </c:pt>
              <c:pt idx="528">
                <c:v>0.10947368421052632</c:v>
              </c:pt>
              <c:pt idx="529">
                <c:v>0.10947368421052632</c:v>
              </c:pt>
              <c:pt idx="530">
                <c:v>0.10736842105263159</c:v>
              </c:pt>
              <c:pt idx="531">
                <c:v>0.10526315789473684</c:v>
              </c:pt>
              <c:pt idx="532">
                <c:v>0.1031578947368421</c:v>
              </c:pt>
              <c:pt idx="533">
                <c:v>0.10105263157894737</c:v>
              </c:pt>
              <c:pt idx="534">
                <c:v>0.10105263157894737</c:v>
              </c:pt>
              <c:pt idx="535">
                <c:v>9.8947368421052631E-2</c:v>
              </c:pt>
              <c:pt idx="536">
                <c:v>9.6842105263157896E-2</c:v>
              </c:pt>
              <c:pt idx="537">
                <c:v>9.6842105263157896E-2</c:v>
              </c:pt>
              <c:pt idx="538">
                <c:v>9.4736842105263161E-2</c:v>
              </c:pt>
              <c:pt idx="539">
                <c:v>9.2631578947368426E-2</c:v>
              </c:pt>
              <c:pt idx="540">
                <c:v>9.2631578947368426E-2</c:v>
              </c:pt>
              <c:pt idx="541">
                <c:v>9.2631578947368426E-2</c:v>
              </c:pt>
              <c:pt idx="542">
                <c:v>9.0526315789473691E-2</c:v>
              </c:pt>
              <c:pt idx="543">
                <c:v>9.0526315789473691E-2</c:v>
              </c:pt>
              <c:pt idx="544">
                <c:v>8.8421052631578942E-2</c:v>
              </c:pt>
              <c:pt idx="545">
                <c:v>8.6315789473684207E-2</c:v>
              </c:pt>
              <c:pt idx="546">
                <c:v>8.4210526315789472E-2</c:v>
              </c:pt>
              <c:pt idx="547">
                <c:v>8.4210526315789472E-2</c:v>
              </c:pt>
              <c:pt idx="548">
                <c:v>8.4210526315789472E-2</c:v>
              </c:pt>
              <c:pt idx="549">
                <c:v>8.4210526315789472E-2</c:v>
              </c:pt>
              <c:pt idx="550">
                <c:v>8.4210526315789472E-2</c:v>
              </c:pt>
              <c:pt idx="551">
                <c:v>8.2105263157894737E-2</c:v>
              </c:pt>
              <c:pt idx="552">
                <c:v>8.2105263157894737E-2</c:v>
              </c:pt>
              <c:pt idx="553">
                <c:v>8.2105263157894737E-2</c:v>
              </c:pt>
              <c:pt idx="554">
                <c:v>8.2105263157894737E-2</c:v>
              </c:pt>
              <c:pt idx="555">
                <c:v>0.08</c:v>
              </c:pt>
              <c:pt idx="556">
                <c:v>0.08</c:v>
              </c:pt>
              <c:pt idx="557">
                <c:v>0.08</c:v>
              </c:pt>
              <c:pt idx="558">
                <c:v>0.08</c:v>
              </c:pt>
              <c:pt idx="559">
                <c:v>7.7894736842105267E-2</c:v>
              </c:pt>
              <c:pt idx="560">
                <c:v>7.7894736842105267E-2</c:v>
              </c:pt>
              <c:pt idx="561">
                <c:v>7.5789473684210532E-2</c:v>
              </c:pt>
              <c:pt idx="562">
                <c:v>7.5789473684210532E-2</c:v>
              </c:pt>
              <c:pt idx="563">
                <c:v>7.3684210526315783E-2</c:v>
              </c:pt>
              <c:pt idx="564">
                <c:v>7.3684210526315783E-2</c:v>
              </c:pt>
              <c:pt idx="565">
                <c:v>7.1578947368421048E-2</c:v>
              </c:pt>
              <c:pt idx="566">
                <c:v>6.9473684210526312E-2</c:v>
              </c:pt>
              <c:pt idx="567">
                <c:v>6.9473684210526312E-2</c:v>
              </c:pt>
              <c:pt idx="568">
                <c:v>6.9473684210526312E-2</c:v>
              </c:pt>
              <c:pt idx="569">
                <c:v>6.9473684210526312E-2</c:v>
              </c:pt>
              <c:pt idx="570">
                <c:v>6.9473684210526312E-2</c:v>
              </c:pt>
              <c:pt idx="571">
                <c:v>6.9473684210526312E-2</c:v>
              </c:pt>
              <c:pt idx="572">
                <c:v>6.9473684210526312E-2</c:v>
              </c:pt>
              <c:pt idx="573">
                <c:v>6.9473684210526312E-2</c:v>
              </c:pt>
              <c:pt idx="574">
                <c:v>6.9473684210526312E-2</c:v>
              </c:pt>
              <c:pt idx="575">
                <c:v>6.9473684210526312E-2</c:v>
              </c:pt>
              <c:pt idx="576">
                <c:v>6.7368421052631577E-2</c:v>
              </c:pt>
              <c:pt idx="577">
                <c:v>6.7368421052631577E-2</c:v>
              </c:pt>
              <c:pt idx="578">
                <c:v>6.5263157894736842E-2</c:v>
              </c:pt>
              <c:pt idx="579">
                <c:v>6.5263157894736842E-2</c:v>
              </c:pt>
              <c:pt idx="580">
                <c:v>6.3157894736842107E-2</c:v>
              </c:pt>
              <c:pt idx="581">
                <c:v>6.3157894736842107E-2</c:v>
              </c:pt>
              <c:pt idx="582">
                <c:v>6.3157894736842107E-2</c:v>
              </c:pt>
              <c:pt idx="583">
                <c:v>6.1052631578947365E-2</c:v>
              </c:pt>
              <c:pt idx="584">
                <c:v>6.1052631578947365E-2</c:v>
              </c:pt>
              <c:pt idx="585">
                <c:v>6.1052631578947365E-2</c:v>
              </c:pt>
              <c:pt idx="586">
                <c:v>6.1052631578947365E-2</c:v>
              </c:pt>
              <c:pt idx="587">
                <c:v>5.894736842105263E-2</c:v>
              </c:pt>
              <c:pt idx="588">
                <c:v>5.6842105263157895E-2</c:v>
              </c:pt>
              <c:pt idx="589">
                <c:v>5.6842105263157895E-2</c:v>
              </c:pt>
              <c:pt idx="590">
                <c:v>5.473684210526316E-2</c:v>
              </c:pt>
              <c:pt idx="591">
                <c:v>5.473684210526316E-2</c:v>
              </c:pt>
              <c:pt idx="592">
                <c:v>5.2631578947368418E-2</c:v>
              </c:pt>
              <c:pt idx="593">
                <c:v>5.2631578947368418E-2</c:v>
              </c:pt>
              <c:pt idx="594">
                <c:v>5.2631578947368418E-2</c:v>
              </c:pt>
              <c:pt idx="595">
                <c:v>5.2631578947368418E-2</c:v>
              </c:pt>
              <c:pt idx="596">
                <c:v>5.2631578947368418E-2</c:v>
              </c:pt>
              <c:pt idx="597">
                <c:v>5.2631578947368418E-2</c:v>
              </c:pt>
              <c:pt idx="598">
                <c:v>5.2631578947368418E-2</c:v>
              </c:pt>
              <c:pt idx="599">
                <c:v>5.2631578947368418E-2</c:v>
              </c:pt>
              <c:pt idx="600">
                <c:v>5.0526315789473683E-2</c:v>
              </c:pt>
              <c:pt idx="601">
                <c:v>5.0526315789473683E-2</c:v>
              </c:pt>
              <c:pt idx="602">
                <c:v>4.8421052631578948E-2</c:v>
              </c:pt>
              <c:pt idx="603">
                <c:v>4.8421052631578948E-2</c:v>
              </c:pt>
              <c:pt idx="604">
                <c:v>4.8421052631578948E-2</c:v>
              </c:pt>
              <c:pt idx="605">
                <c:v>4.6315789473684213E-2</c:v>
              </c:pt>
              <c:pt idx="606">
                <c:v>4.6315789473684213E-2</c:v>
              </c:pt>
              <c:pt idx="607">
                <c:v>4.4210526315789471E-2</c:v>
              </c:pt>
              <c:pt idx="608">
                <c:v>4.4210526315789471E-2</c:v>
              </c:pt>
              <c:pt idx="609">
                <c:v>4.4210526315789471E-2</c:v>
              </c:pt>
              <c:pt idx="610">
                <c:v>4.4210526315789471E-2</c:v>
              </c:pt>
              <c:pt idx="611">
                <c:v>4.2105263157894736E-2</c:v>
              </c:pt>
              <c:pt idx="612">
                <c:v>4.2105263157894736E-2</c:v>
              </c:pt>
              <c:pt idx="613">
                <c:v>4.2105263157894736E-2</c:v>
              </c:pt>
              <c:pt idx="614">
                <c:v>4.2105263157894736E-2</c:v>
              </c:pt>
              <c:pt idx="615">
                <c:v>4.2105263157894736E-2</c:v>
              </c:pt>
              <c:pt idx="616">
                <c:v>4.2105263157894736E-2</c:v>
              </c:pt>
              <c:pt idx="617">
                <c:v>4.2105263157894736E-2</c:v>
              </c:pt>
              <c:pt idx="618">
                <c:v>4.2105263157894736E-2</c:v>
              </c:pt>
              <c:pt idx="619">
                <c:v>4.2105263157894736E-2</c:v>
              </c:pt>
              <c:pt idx="620">
                <c:v>0.04</c:v>
              </c:pt>
              <c:pt idx="621">
                <c:v>3.7894736842105266E-2</c:v>
              </c:pt>
              <c:pt idx="622">
                <c:v>3.7894736842105266E-2</c:v>
              </c:pt>
              <c:pt idx="623">
                <c:v>3.5789473684210524E-2</c:v>
              </c:pt>
              <c:pt idx="624">
                <c:v>3.3684210526315789E-2</c:v>
              </c:pt>
              <c:pt idx="625">
                <c:v>3.1578947368421054E-2</c:v>
              </c:pt>
              <c:pt idx="626">
                <c:v>3.1578947368421054E-2</c:v>
              </c:pt>
              <c:pt idx="627">
                <c:v>3.1578947368421054E-2</c:v>
              </c:pt>
              <c:pt idx="628">
                <c:v>3.1578947368421054E-2</c:v>
              </c:pt>
              <c:pt idx="629">
                <c:v>3.1578947368421054E-2</c:v>
              </c:pt>
              <c:pt idx="630">
                <c:v>2.9473684210526315E-2</c:v>
              </c:pt>
              <c:pt idx="631">
                <c:v>2.9473684210526315E-2</c:v>
              </c:pt>
              <c:pt idx="632">
                <c:v>2.9473684210526315E-2</c:v>
              </c:pt>
              <c:pt idx="633">
                <c:v>2.9473684210526315E-2</c:v>
              </c:pt>
              <c:pt idx="634">
                <c:v>2.736842105263158E-2</c:v>
              </c:pt>
              <c:pt idx="635">
                <c:v>2.5263157894736842E-2</c:v>
              </c:pt>
              <c:pt idx="636">
                <c:v>2.5263157894736842E-2</c:v>
              </c:pt>
              <c:pt idx="637">
                <c:v>2.5263157894736842E-2</c:v>
              </c:pt>
              <c:pt idx="638">
                <c:v>2.5263157894736842E-2</c:v>
              </c:pt>
              <c:pt idx="639">
                <c:v>2.5263157894736842E-2</c:v>
              </c:pt>
              <c:pt idx="640">
                <c:v>2.5263157894736842E-2</c:v>
              </c:pt>
              <c:pt idx="641">
                <c:v>2.5263157894736842E-2</c:v>
              </c:pt>
              <c:pt idx="642">
                <c:v>2.5263157894736842E-2</c:v>
              </c:pt>
              <c:pt idx="643">
                <c:v>2.5263157894736842E-2</c:v>
              </c:pt>
              <c:pt idx="644">
                <c:v>2.3157894736842106E-2</c:v>
              </c:pt>
              <c:pt idx="645">
                <c:v>2.3157894736842106E-2</c:v>
              </c:pt>
              <c:pt idx="646">
                <c:v>2.3157894736842106E-2</c:v>
              </c:pt>
              <c:pt idx="647">
                <c:v>2.1052631578947368E-2</c:v>
              </c:pt>
              <c:pt idx="648">
                <c:v>2.1052631578947368E-2</c:v>
              </c:pt>
              <c:pt idx="649">
                <c:v>2.1052631578947368E-2</c:v>
              </c:pt>
              <c:pt idx="650">
                <c:v>2.1052631578947368E-2</c:v>
              </c:pt>
              <c:pt idx="651">
                <c:v>2.1052631578947368E-2</c:v>
              </c:pt>
              <c:pt idx="652">
                <c:v>2.1052631578947368E-2</c:v>
              </c:pt>
              <c:pt idx="653">
                <c:v>1.8947368421052633E-2</c:v>
              </c:pt>
              <c:pt idx="654">
                <c:v>1.8947368421052633E-2</c:v>
              </c:pt>
              <c:pt idx="655">
                <c:v>1.8947368421052633E-2</c:v>
              </c:pt>
              <c:pt idx="656">
                <c:v>1.8947368421052633E-2</c:v>
              </c:pt>
              <c:pt idx="657">
                <c:v>1.8947368421052633E-2</c:v>
              </c:pt>
              <c:pt idx="658">
                <c:v>1.6842105263157894E-2</c:v>
              </c:pt>
              <c:pt idx="659">
                <c:v>1.6842105263157894E-2</c:v>
              </c:pt>
              <c:pt idx="660">
                <c:v>1.6842105263157894E-2</c:v>
              </c:pt>
              <c:pt idx="661">
                <c:v>1.4736842105263158E-2</c:v>
              </c:pt>
              <c:pt idx="662">
                <c:v>1.4736842105263158E-2</c:v>
              </c:pt>
              <c:pt idx="663">
                <c:v>1.2631578947368421E-2</c:v>
              </c:pt>
              <c:pt idx="664">
                <c:v>1.2631578947368421E-2</c:v>
              </c:pt>
              <c:pt idx="665">
                <c:v>1.2631578947368421E-2</c:v>
              </c:pt>
              <c:pt idx="666">
                <c:v>1.0526315789473684E-2</c:v>
              </c:pt>
              <c:pt idx="667">
                <c:v>1.0526315789473684E-2</c:v>
              </c:pt>
              <c:pt idx="668">
                <c:v>1.0526315789473684E-2</c:v>
              </c:pt>
              <c:pt idx="669">
                <c:v>1.0526315789473684E-2</c:v>
              </c:pt>
              <c:pt idx="670">
                <c:v>1.0526315789473684E-2</c:v>
              </c:pt>
              <c:pt idx="671">
                <c:v>1.0526315789473684E-2</c:v>
              </c:pt>
              <c:pt idx="672">
                <c:v>1.0526315789473684E-2</c:v>
              </c:pt>
              <c:pt idx="673">
                <c:v>1.0526315789473684E-2</c:v>
              </c:pt>
              <c:pt idx="674">
                <c:v>1.0526315789473684E-2</c:v>
              </c:pt>
              <c:pt idx="675">
                <c:v>1.0526315789473684E-2</c:v>
              </c:pt>
              <c:pt idx="676">
                <c:v>1.0526315789473684E-2</c:v>
              </c:pt>
              <c:pt idx="677">
                <c:v>1.0526315789473684E-2</c:v>
              </c:pt>
              <c:pt idx="678">
                <c:v>1.0526315789473684E-2</c:v>
              </c:pt>
              <c:pt idx="679">
                <c:v>1.0526315789473684E-2</c:v>
              </c:pt>
              <c:pt idx="680">
                <c:v>1.0526315789473684E-2</c:v>
              </c:pt>
              <c:pt idx="681">
                <c:v>8.4210526315789472E-3</c:v>
              </c:pt>
              <c:pt idx="682">
                <c:v>8.4210526315789472E-3</c:v>
              </c:pt>
              <c:pt idx="683">
                <c:v>8.4210526315789472E-3</c:v>
              </c:pt>
              <c:pt idx="684">
                <c:v>8.4210526315789472E-3</c:v>
              </c:pt>
              <c:pt idx="685">
                <c:v>8.4210526315789472E-3</c:v>
              </c:pt>
              <c:pt idx="686">
                <c:v>8.4210526315789472E-3</c:v>
              </c:pt>
              <c:pt idx="687">
                <c:v>8.4210526315789472E-3</c:v>
              </c:pt>
              <c:pt idx="688">
                <c:v>6.3157894736842104E-3</c:v>
              </c:pt>
              <c:pt idx="689">
                <c:v>6.3157894736842104E-3</c:v>
              </c:pt>
              <c:pt idx="690">
                <c:v>6.3157894736842104E-3</c:v>
              </c:pt>
              <c:pt idx="691">
                <c:v>6.3157894736842104E-3</c:v>
              </c:pt>
              <c:pt idx="692">
                <c:v>6.3157894736842104E-3</c:v>
              </c:pt>
              <c:pt idx="693">
                <c:v>6.3157894736842104E-3</c:v>
              </c:pt>
              <c:pt idx="694">
                <c:v>6.3157894736842104E-3</c:v>
              </c:pt>
              <c:pt idx="695">
                <c:v>6.3157894736842104E-3</c:v>
              </c:pt>
              <c:pt idx="696">
                <c:v>6.3157894736842104E-3</c:v>
              </c:pt>
              <c:pt idx="697">
                <c:v>6.3157894736842104E-3</c:v>
              </c:pt>
              <c:pt idx="698">
                <c:v>4.2105263157894736E-3</c:v>
              </c:pt>
              <c:pt idx="699">
                <c:v>4.2105263157894736E-3</c:v>
              </c:pt>
              <c:pt idx="700">
                <c:v>4.2105263157894736E-3</c:v>
              </c:pt>
              <c:pt idx="701">
                <c:v>4.2105263157894736E-3</c:v>
              </c:pt>
              <c:pt idx="702">
                <c:v>4.2105263157894736E-3</c:v>
              </c:pt>
              <c:pt idx="703">
                <c:v>2.1052631578947368E-3</c:v>
              </c:pt>
              <c:pt idx="704">
                <c:v>2.1052631578947368E-3</c:v>
              </c:pt>
              <c:pt idx="705">
                <c:v>2.1052631578947368E-3</c:v>
              </c:pt>
              <c:pt idx="706">
                <c:v>2.1052631578947368E-3</c:v>
              </c:pt>
              <c:pt idx="707">
                <c:v>2.1052631578947368E-3</c:v>
              </c:pt>
              <c:pt idx="708">
                <c:v>2.1052631578947368E-3</c:v>
              </c:pt>
              <c:pt idx="709">
                <c:v>2.1052631578947368E-3</c:v>
              </c:pt>
              <c:pt idx="710">
                <c:v>0</c:v>
              </c:pt>
            </c:numLit>
          </c:xVal>
          <c:yVal>
            <c:numLit>
              <c:formatCode>General</c:formatCode>
              <c:ptCount val="7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0.99576271186440679</c:v>
              </c:pt>
              <c:pt idx="5">
                <c:v>0.99576271186440679</c:v>
              </c:pt>
              <c:pt idx="6">
                <c:v>0.99576271186440679</c:v>
              </c:pt>
              <c:pt idx="7">
                <c:v>0.99576271186440679</c:v>
              </c:pt>
              <c:pt idx="8">
                <c:v>0.99576271186440679</c:v>
              </c:pt>
              <c:pt idx="9">
                <c:v>0.99576271186440679</c:v>
              </c:pt>
              <c:pt idx="10">
                <c:v>0.99152542372881358</c:v>
              </c:pt>
              <c:pt idx="11">
                <c:v>0.99152542372881358</c:v>
              </c:pt>
              <c:pt idx="12">
                <c:v>0.99152542372881358</c:v>
              </c:pt>
              <c:pt idx="13">
                <c:v>0.99152542372881358</c:v>
              </c:pt>
              <c:pt idx="14">
                <c:v>0.99152542372881358</c:v>
              </c:pt>
              <c:pt idx="15">
                <c:v>0.99152542372881358</c:v>
              </c:pt>
              <c:pt idx="16">
                <c:v>0.99152542372881358</c:v>
              </c:pt>
              <c:pt idx="17">
                <c:v>0.99152542372881358</c:v>
              </c:pt>
              <c:pt idx="18">
                <c:v>0.99152542372881358</c:v>
              </c:pt>
              <c:pt idx="19">
                <c:v>0.99152542372881358</c:v>
              </c:pt>
              <c:pt idx="20">
                <c:v>0.99152542372881358</c:v>
              </c:pt>
              <c:pt idx="21">
                <c:v>0.99152542372881358</c:v>
              </c:pt>
              <c:pt idx="22">
                <c:v>0.99152542372881358</c:v>
              </c:pt>
              <c:pt idx="23">
                <c:v>0.99152542372881358</c:v>
              </c:pt>
              <c:pt idx="24">
                <c:v>0.99152542372881358</c:v>
              </c:pt>
              <c:pt idx="25">
                <c:v>0.99152542372881358</c:v>
              </c:pt>
              <c:pt idx="26">
                <c:v>0.99152542372881358</c:v>
              </c:pt>
              <c:pt idx="27">
                <c:v>0.99152542372881358</c:v>
              </c:pt>
              <c:pt idx="28">
                <c:v>0.99152542372881358</c:v>
              </c:pt>
              <c:pt idx="29">
                <c:v>0.99152542372881358</c:v>
              </c:pt>
              <c:pt idx="30">
                <c:v>0.99152542372881358</c:v>
              </c:pt>
              <c:pt idx="31">
                <c:v>0.99152542372881358</c:v>
              </c:pt>
              <c:pt idx="32">
                <c:v>0.99152542372881358</c:v>
              </c:pt>
              <c:pt idx="33">
                <c:v>0.99152542372881358</c:v>
              </c:pt>
              <c:pt idx="34">
                <c:v>0.99152542372881358</c:v>
              </c:pt>
              <c:pt idx="35">
                <c:v>0.99152542372881358</c:v>
              </c:pt>
              <c:pt idx="36">
                <c:v>0.99152542372881358</c:v>
              </c:pt>
              <c:pt idx="37">
                <c:v>0.99152542372881358</c:v>
              </c:pt>
              <c:pt idx="38">
                <c:v>0.99152542372881358</c:v>
              </c:pt>
              <c:pt idx="39">
                <c:v>0.99152542372881358</c:v>
              </c:pt>
              <c:pt idx="40">
                <c:v>0.99152542372881358</c:v>
              </c:pt>
              <c:pt idx="41">
                <c:v>0.99152542372881358</c:v>
              </c:pt>
              <c:pt idx="42">
                <c:v>0.99152542372881358</c:v>
              </c:pt>
              <c:pt idx="43">
                <c:v>0.99152542372881358</c:v>
              </c:pt>
              <c:pt idx="44">
                <c:v>0.99152542372881358</c:v>
              </c:pt>
              <c:pt idx="45">
                <c:v>0.99152542372881358</c:v>
              </c:pt>
              <c:pt idx="46">
                <c:v>0.99152542372881358</c:v>
              </c:pt>
              <c:pt idx="47">
                <c:v>0.99152542372881358</c:v>
              </c:pt>
              <c:pt idx="48">
                <c:v>0.99152542372881358</c:v>
              </c:pt>
              <c:pt idx="49">
                <c:v>0.99152542372881358</c:v>
              </c:pt>
              <c:pt idx="50">
                <c:v>0.99152542372881358</c:v>
              </c:pt>
              <c:pt idx="51">
                <c:v>0.99152542372881358</c:v>
              </c:pt>
              <c:pt idx="52">
                <c:v>0.99152542372881358</c:v>
              </c:pt>
              <c:pt idx="53">
                <c:v>0.99152542372881358</c:v>
              </c:pt>
              <c:pt idx="54">
                <c:v>0.99152542372881358</c:v>
              </c:pt>
              <c:pt idx="55">
                <c:v>0.99152542372881358</c:v>
              </c:pt>
              <c:pt idx="56">
                <c:v>0.99152542372881358</c:v>
              </c:pt>
              <c:pt idx="57">
                <c:v>0.99152542372881358</c:v>
              </c:pt>
              <c:pt idx="58">
                <c:v>0.99152542372881358</c:v>
              </c:pt>
              <c:pt idx="59">
                <c:v>0.99152542372881358</c:v>
              </c:pt>
              <c:pt idx="60">
                <c:v>0.99152542372881358</c:v>
              </c:pt>
              <c:pt idx="61">
                <c:v>0.98728813559322037</c:v>
              </c:pt>
              <c:pt idx="62">
                <c:v>0.98728813559322037</c:v>
              </c:pt>
              <c:pt idx="63">
                <c:v>0.98728813559322037</c:v>
              </c:pt>
              <c:pt idx="64">
                <c:v>0.98728813559322037</c:v>
              </c:pt>
              <c:pt idx="65">
                <c:v>0.98728813559322037</c:v>
              </c:pt>
              <c:pt idx="66">
                <c:v>0.98728813559322037</c:v>
              </c:pt>
              <c:pt idx="67">
                <c:v>0.98728813559322037</c:v>
              </c:pt>
              <c:pt idx="68">
                <c:v>0.98728813559322037</c:v>
              </c:pt>
              <c:pt idx="69">
                <c:v>0.98728813559322037</c:v>
              </c:pt>
              <c:pt idx="70">
                <c:v>0.98728813559322037</c:v>
              </c:pt>
              <c:pt idx="71">
                <c:v>0.98728813559322037</c:v>
              </c:pt>
              <c:pt idx="72">
                <c:v>0.98728813559322037</c:v>
              </c:pt>
              <c:pt idx="73">
                <c:v>0.98728813559322037</c:v>
              </c:pt>
              <c:pt idx="74">
                <c:v>0.98728813559322037</c:v>
              </c:pt>
              <c:pt idx="75">
                <c:v>0.98728813559322037</c:v>
              </c:pt>
              <c:pt idx="76">
                <c:v>0.98728813559322037</c:v>
              </c:pt>
              <c:pt idx="77">
                <c:v>0.98728813559322037</c:v>
              </c:pt>
              <c:pt idx="78">
                <c:v>0.98728813559322037</c:v>
              </c:pt>
              <c:pt idx="79">
                <c:v>0.98728813559322037</c:v>
              </c:pt>
              <c:pt idx="80">
                <c:v>0.98728813559322037</c:v>
              </c:pt>
              <c:pt idx="81">
                <c:v>0.98728813559322037</c:v>
              </c:pt>
              <c:pt idx="82">
                <c:v>0.98728813559322037</c:v>
              </c:pt>
              <c:pt idx="83">
                <c:v>0.98728813559322037</c:v>
              </c:pt>
              <c:pt idx="84">
                <c:v>0.98728813559322037</c:v>
              </c:pt>
              <c:pt idx="85">
                <c:v>0.98728813559322037</c:v>
              </c:pt>
              <c:pt idx="86">
                <c:v>0.98728813559322037</c:v>
              </c:pt>
              <c:pt idx="87">
                <c:v>0.98728813559322037</c:v>
              </c:pt>
              <c:pt idx="88">
                <c:v>0.98728813559322037</c:v>
              </c:pt>
              <c:pt idx="89">
                <c:v>0.98728813559322037</c:v>
              </c:pt>
              <c:pt idx="90">
                <c:v>0.98728813559322037</c:v>
              </c:pt>
              <c:pt idx="91">
                <c:v>0.98728813559322037</c:v>
              </c:pt>
              <c:pt idx="92">
                <c:v>0.98728813559322037</c:v>
              </c:pt>
              <c:pt idx="93">
                <c:v>0.98728813559322037</c:v>
              </c:pt>
              <c:pt idx="94">
                <c:v>0.98728813559322037</c:v>
              </c:pt>
              <c:pt idx="95">
                <c:v>0.98728813559322037</c:v>
              </c:pt>
              <c:pt idx="96">
                <c:v>0.98728813559322037</c:v>
              </c:pt>
              <c:pt idx="97">
                <c:v>0.98728813559322037</c:v>
              </c:pt>
              <c:pt idx="98">
                <c:v>0.98728813559322037</c:v>
              </c:pt>
              <c:pt idx="99">
                <c:v>0.98728813559322037</c:v>
              </c:pt>
              <c:pt idx="100">
                <c:v>0.98728813559322037</c:v>
              </c:pt>
              <c:pt idx="101">
                <c:v>0.98728813559322037</c:v>
              </c:pt>
              <c:pt idx="102">
                <c:v>0.98728813559322037</c:v>
              </c:pt>
              <c:pt idx="103">
                <c:v>0.98728813559322037</c:v>
              </c:pt>
              <c:pt idx="104">
                <c:v>0.98728813559322037</c:v>
              </c:pt>
              <c:pt idx="105">
                <c:v>0.98728813559322037</c:v>
              </c:pt>
              <c:pt idx="106">
                <c:v>0.98728813559322037</c:v>
              </c:pt>
              <c:pt idx="107">
                <c:v>0.98728813559322037</c:v>
              </c:pt>
              <c:pt idx="108">
                <c:v>0.98728813559322037</c:v>
              </c:pt>
              <c:pt idx="109">
                <c:v>0.98728813559322037</c:v>
              </c:pt>
              <c:pt idx="110">
                <c:v>0.98728813559322037</c:v>
              </c:pt>
              <c:pt idx="111">
                <c:v>0.98728813559322037</c:v>
              </c:pt>
              <c:pt idx="112">
                <c:v>0.98728813559322037</c:v>
              </c:pt>
              <c:pt idx="113">
                <c:v>0.98728813559322037</c:v>
              </c:pt>
              <c:pt idx="114">
                <c:v>0.98728813559322037</c:v>
              </c:pt>
              <c:pt idx="115">
                <c:v>0.98728813559322037</c:v>
              </c:pt>
              <c:pt idx="116">
                <c:v>0.98728813559322037</c:v>
              </c:pt>
              <c:pt idx="117">
                <c:v>0.98728813559322037</c:v>
              </c:pt>
              <c:pt idx="118">
                <c:v>0.98305084745762716</c:v>
              </c:pt>
              <c:pt idx="119">
                <c:v>0.98305084745762716</c:v>
              </c:pt>
              <c:pt idx="120">
                <c:v>0.98305084745762716</c:v>
              </c:pt>
              <c:pt idx="121">
                <c:v>0.98305084745762716</c:v>
              </c:pt>
              <c:pt idx="122">
                <c:v>0.98305084745762716</c:v>
              </c:pt>
              <c:pt idx="123">
                <c:v>0.98305084745762716</c:v>
              </c:pt>
              <c:pt idx="124">
                <c:v>0.97881355932203384</c:v>
              </c:pt>
              <c:pt idx="125">
                <c:v>0.97881355932203384</c:v>
              </c:pt>
              <c:pt idx="126">
                <c:v>0.97881355932203384</c:v>
              </c:pt>
              <c:pt idx="127">
                <c:v>0.97881355932203384</c:v>
              </c:pt>
              <c:pt idx="128">
                <c:v>0.97881355932203384</c:v>
              </c:pt>
              <c:pt idx="129">
                <c:v>0.97881355932203384</c:v>
              </c:pt>
              <c:pt idx="130">
                <c:v>0.97881355932203384</c:v>
              </c:pt>
              <c:pt idx="131">
                <c:v>0.97881355932203384</c:v>
              </c:pt>
              <c:pt idx="132">
                <c:v>0.97881355932203384</c:v>
              </c:pt>
              <c:pt idx="133">
                <c:v>0.97881355932203384</c:v>
              </c:pt>
              <c:pt idx="134">
                <c:v>0.97881355932203384</c:v>
              </c:pt>
              <c:pt idx="135">
                <c:v>0.97881355932203384</c:v>
              </c:pt>
              <c:pt idx="136">
                <c:v>0.97881355932203384</c:v>
              </c:pt>
              <c:pt idx="137">
                <c:v>0.97881355932203384</c:v>
              </c:pt>
              <c:pt idx="138">
                <c:v>0.97881355932203384</c:v>
              </c:pt>
              <c:pt idx="139">
                <c:v>0.97881355932203384</c:v>
              </c:pt>
              <c:pt idx="140">
                <c:v>0.97881355932203384</c:v>
              </c:pt>
              <c:pt idx="141">
                <c:v>0.97881355932203384</c:v>
              </c:pt>
              <c:pt idx="142">
                <c:v>0.97881355932203384</c:v>
              </c:pt>
              <c:pt idx="143">
                <c:v>0.97881355932203384</c:v>
              </c:pt>
              <c:pt idx="144">
                <c:v>0.97881355932203384</c:v>
              </c:pt>
              <c:pt idx="145">
                <c:v>0.97881355932203384</c:v>
              </c:pt>
              <c:pt idx="146">
                <c:v>0.97881355932203384</c:v>
              </c:pt>
              <c:pt idx="147">
                <c:v>0.97881355932203384</c:v>
              </c:pt>
              <c:pt idx="148">
                <c:v>0.97881355932203384</c:v>
              </c:pt>
              <c:pt idx="149">
                <c:v>0.97881355932203384</c:v>
              </c:pt>
              <c:pt idx="150">
                <c:v>0.97881355932203384</c:v>
              </c:pt>
              <c:pt idx="151">
                <c:v>0.97881355932203384</c:v>
              </c:pt>
              <c:pt idx="152">
                <c:v>0.97881355932203384</c:v>
              </c:pt>
              <c:pt idx="153">
                <c:v>0.97881355932203384</c:v>
              </c:pt>
              <c:pt idx="154">
                <c:v>0.97881355932203384</c:v>
              </c:pt>
              <c:pt idx="155">
                <c:v>0.97457627118644063</c:v>
              </c:pt>
              <c:pt idx="156">
                <c:v>0.97457627118644063</c:v>
              </c:pt>
              <c:pt idx="157">
                <c:v>0.97457627118644063</c:v>
              </c:pt>
              <c:pt idx="158">
                <c:v>0.97457627118644063</c:v>
              </c:pt>
              <c:pt idx="159">
                <c:v>0.97457627118644063</c:v>
              </c:pt>
              <c:pt idx="160">
                <c:v>0.97457627118644063</c:v>
              </c:pt>
              <c:pt idx="161">
                <c:v>0.97457627118644063</c:v>
              </c:pt>
              <c:pt idx="162">
                <c:v>0.97457627118644063</c:v>
              </c:pt>
              <c:pt idx="163">
                <c:v>0.97457627118644063</c:v>
              </c:pt>
              <c:pt idx="164">
                <c:v>0.97457627118644063</c:v>
              </c:pt>
              <c:pt idx="165">
                <c:v>0.97457627118644063</c:v>
              </c:pt>
              <c:pt idx="166">
                <c:v>0.97033898305084743</c:v>
              </c:pt>
              <c:pt idx="167">
                <c:v>0.97033898305084743</c:v>
              </c:pt>
              <c:pt idx="168">
                <c:v>0.97033898305084743</c:v>
              </c:pt>
              <c:pt idx="169">
                <c:v>0.97033898305084743</c:v>
              </c:pt>
              <c:pt idx="170">
                <c:v>0.96610169491525422</c:v>
              </c:pt>
              <c:pt idx="171">
                <c:v>0.96610169491525422</c:v>
              </c:pt>
              <c:pt idx="172">
                <c:v>0.96610169491525422</c:v>
              </c:pt>
              <c:pt idx="173">
                <c:v>0.96610169491525422</c:v>
              </c:pt>
              <c:pt idx="174">
                <c:v>0.96610169491525422</c:v>
              </c:pt>
              <c:pt idx="175">
                <c:v>0.96610169491525422</c:v>
              </c:pt>
              <c:pt idx="176">
                <c:v>0.96186440677966101</c:v>
              </c:pt>
              <c:pt idx="177">
                <c:v>0.96186440677966101</c:v>
              </c:pt>
              <c:pt idx="178">
                <c:v>0.96186440677966101</c:v>
              </c:pt>
              <c:pt idx="179">
                <c:v>0.96186440677966101</c:v>
              </c:pt>
              <c:pt idx="180">
                <c:v>0.96186440677966101</c:v>
              </c:pt>
              <c:pt idx="181">
                <c:v>0.96186440677966101</c:v>
              </c:pt>
              <c:pt idx="182">
                <c:v>0.96186440677966101</c:v>
              </c:pt>
              <c:pt idx="183">
                <c:v>0.96186440677966101</c:v>
              </c:pt>
              <c:pt idx="184">
                <c:v>0.96186440677966101</c:v>
              </c:pt>
              <c:pt idx="185">
                <c:v>0.96186440677966101</c:v>
              </c:pt>
              <c:pt idx="186">
                <c:v>0.96186440677966101</c:v>
              </c:pt>
              <c:pt idx="187">
                <c:v>0.96186440677966101</c:v>
              </c:pt>
              <c:pt idx="188">
                <c:v>0.96186440677966101</c:v>
              </c:pt>
              <c:pt idx="189">
                <c:v>0.96186440677966101</c:v>
              </c:pt>
              <c:pt idx="190">
                <c:v>0.96186440677966101</c:v>
              </c:pt>
              <c:pt idx="191">
                <c:v>0.96186440677966101</c:v>
              </c:pt>
              <c:pt idx="192">
                <c:v>0.96186440677966101</c:v>
              </c:pt>
              <c:pt idx="193">
                <c:v>0.96186440677966101</c:v>
              </c:pt>
              <c:pt idx="194">
                <c:v>0.96186440677966101</c:v>
              </c:pt>
              <c:pt idx="195">
                <c:v>0.96186440677966101</c:v>
              </c:pt>
              <c:pt idx="196">
                <c:v>0.96186440677966101</c:v>
              </c:pt>
              <c:pt idx="197">
                <c:v>0.96186440677966101</c:v>
              </c:pt>
              <c:pt idx="198">
                <c:v>0.96186440677966101</c:v>
              </c:pt>
              <c:pt idx="199">
                <c:v>0.96186440677966101</c:v>
              </c:pt>
              <c:pt idx="200">
                <c:v>0.96186440677966101</c:v>
              </c:pt>
              <c:pt idx="201">
                <c:v>0.96186440677966101</c:v>
              </c:pt>
              <c:pt idx="202">
                <c:v>0.96186440677966101</c:v>
              </c:pt>
              <c:pt idx="203">
                <c:v>0.9576271186440678</c:v>
              </c:pt>
              <c:pt idx="204">
                <c:v>0.9576271186440678</c:v>
              </c:pt>
              <c:pt idx="205">
                <c:v>0.9576271186440678</c:v>
              </c:pt>
              <c:pt idx="206">
                <c:v>0.9576271186440678</c:v>
              </c:pt>
              <c:pt idx="207">
                <c:v>0.9576271186440678</c:v>
              </c:pt>
              <c:pt idx="208">
                <c:v>0.9576271186440678</c:v>
              </c:pt>
              <c:pt idx="209">
                <c:v>0.95338983050847459</c:v>
              </c:pt>
              <c:pt idx="210">
                <c:v>0.95338983050847459</c:v>
              </c:pt>
              <c:pt idx="211">
                <c:v>0.95338983050847459</c:v>
              </c:pt>
              <c:pt idx="212">
                <c:v>0.95338983050847459</c:v>
              </c:pt>
              <c:pt idx="213">
                <c:v>0.95338983050847459</c:v>
              </c:pt>
              <c:pt idx="214">
                <c:v>0.95338983050847459</c:v>
              </c:pt>
              <c:pt idx="215">
                <c:v>0.95338983050847459</c:v>
              </c:pt>
              <c:pt idx="216">
                <c:v>0.95338983050847459</c:v>
              </c:pt>
              <c:pt idx="217">
                <c:v>0.95338983050847459</c:v>
              </c:pt>
              <c:pt idx="218">
                <c:v>0.95338983050847459</c:v>
              </c:pt>
              <c:pt idx="219">
                <c:v>0.94915254237288138</c:v>
              </c:pt>
              <c:pt idx="220">
                <c:v>0.94915254237288138</c:v>
              </c:pt>
              <c:pt idx="221">
                <c:v>0.94915254237288138</c:v>
              </c:pt>
              <c:pt idx="222">
                <c:v>0.94915254237288138</c:v>
              </c:pt>
              <c:pt idx="223">
                <c:v>0.94491525423728817</c:v>
              </c:pt>
              <c:pt idx="224">
                <c:v>0.94491525423728817</c:v>
              </c:pt>
              <c:pt idx="225">
                <c:v>0.94491525423728817</c:v>
              </c:pt>
              <c:pt idx="226">
                <c:v>0.94067796610169496</c:v>
              </c:pt>
              <c:pt idx="227">
                <c:v>0.94067796610169496</c:v>
              </c:pt>
              <c:pt idx="228">
                <c:v>0.94067796610169496</c:v>
              </c:pt>
              <c:pt idx="229">
                <c:v>0.94067796610169496</c:v>
              </c:pt>
              <c:pt idx="230">
                <c:v>0.94067796610169496</c:v>
              </c:pt>
              <c:pt idx="231">
                <c:v>0.94067796610169496</c:v>
              </c:pt>
              <c:pt idx="232">
                <c:v>0.93644067796610164</c:v>
              </c:pt>
              <c:pt idx="233">
                <c:v>0.93644067796610164</c:v>
              </c:pt>
              <c:pt idx="234">
                <c:v>0.93644067796610164</c:v>
              </c:pt>
              <c:pt idx="235">
                <c:v>0.93644067796610164</c:v>
              </c:pt>
              <c:pt idx="236">
                <c:v>0.93644067796610164</c:v>
              </c:pt>
              <c:pt idx="237">
                <c:v>0.93644067796610164</c:v>
              </c:pt>
              <c:pt idx="238">
                <c:v>0.93644067796610164</c:v>
              </c:pt>
              <c:pt idx="239">
                <c:v>0.93644067796610164</c:v>
              </c:pt>
              <c:pt idx="240">
                <c:v>0.93220338983050843</c:v>
              </c:pt>
              <c:pt idx="241">
                <c:v>0.93220338983050843</c:v>
              </c:pt>
              <c:pt idx="242">
                <c:v>0.93220338983050843</c:v>
              </c:pt>
              <c:pt idx="243">
                <c:v>0.93220338983050843</c:v>
              </c:pt>
              <c:pt idx="244">
                <c:v>0.93220338983050843</c:v>
              </c:pt>
              <c:pt idx="245">
                <c:v>0.93220338983050843</c:v>
              </c:pt>
              <c:pt idx="246">
                <c:v>0.93220338983050843</c:v>
              </c:pt>
              <c:pt idx="247">
                <c:v>0.92796610169491522</c:v>
              </c:pt>
              <c:pt idx="248">
                <c:v>0.92796610169491522</c:v>
              </c:pt>
              <c:pt idx="249">
                <c:v>0.92796610169491522</c:v>
              </c:pt>
              <c:pt idx="250">
                <c:v>0.92796610169491522</c:v>
              </c:pt>
              <c:pt idx="251">
                <c:v>0.92372881355932202</c:v>
              </c:pt>
              <c:pt idx="252">
                <c:v>0.92372881355932202</c:v>
              </c:pt>
              <c:pt idx="253">
                <c:v>0.92372881355932202</c:v>
              </c:pt>
              <c:pt idx="254">
                <c:v>0.92372881355932202</c:v>
              </c:pt>
              <c:pt idx="255">
                <c:v>0.92372881355932202</c:v>
              </c:pt>
              <c:pt idx="256">
                <c:v>0.91949152542372881</c:v>
              </c:pt>
              <c:pt idx="257">
                <c:v>0.91949152542372881</c:v>
              </c:pt>
              <c:pt idx="258">
                <c:v>0.91949152542372881</c:v>
              </c:pt>
              <c:pt idx="259">
                <c:v>0.91949152542372881</c:v>
              </c:pt>
              <c:pt idx="260">
                <c:v>0.9152542372881356</c:v>
              </c:pt>
              <c:pt idx="261">
                <c:v>0.9152542372881356</c:v>
              </c:pt>
              <c:pt idx="262">
                <c:v>0.9152542372881356</c:v>
              </c:pt>
              <c:pt idx="263">
                <c:v>0.9152542372881356</c:v>
              </c:pt>
              <c:pt idx="264">
                <c:v>0.9152542372881356</c:v>
              </c:pt>
              <c:pt idx="265">
                <c:v>0.9152542372881356</c:v>
              </c:pt>
              <c:pt idx="266">
                <c:v>0.9152542372881356</c:v>
              </c:pt>
              <c:pt idx="267">
                <c:v>0.91101694915254239</c:v>
              </c:pt>
              <c:pt idx="268">
                <c:v>0.91101694915254239</c:v>
              </c:pt>
              <c:pt idx="269">
                <c:v>0.91101694915254239</c:v>
              </c:pt>
              <c:pt idx="270">
                <c:v>0.90677966101694918</c:v>
              </c:pt>
              <c:pt idx="271">
                <c:v>0.90677966101694918</c:v>
              </c:pt>
              <c:pt idx="272">
                <c:v>0.90677966101694918</c:v>
              </c:pt>
              <c:pt idx="273">
                <c:v>0.90677966101694918</c:v>
              </c:pt>
              <c:pt idx="274">
                <c:v>0.90677966101694918</c:v>
              </c:pt>
              <c:pt idx="275">
                <c:v>0.90254237288135597</c:v>
              </c:pt>
              <c:pt idx="276">
                <c:v>0.90254237288135597</c:v>
              </c:pt>
              <c:pt idx="277">
                <c:v>0.90254237288135597</c:v>
              </c:pt>
              <c:pt idx="278">
                <c:v>0.89830508474576276</c:v>
              </c:pt>
              <c:pt idx="279">
                <c:v>0.89830508474576276</c:v>
              </c:pt>
              <c:pt idx="280">
                <c:v>0.89830508474576276</c:v>
              </c:pt>
              <c:pt idx="281">
                <c:v>0.89830508474576276</c:v>
              </c:pt>
              <c:pt idx="282">
                <c:v>0.89406779661016944</c:v>
              </c:pt>
              <c:pt idx="283">
                <c:v>0.89406779661016944</c:v>
              </c:pt>
              <c:pt idx="284">
                <c:v>0.89406779661016944</c:v>
              </c:pt>
              <c:pt idx="285">
                <c:v>0.89406779661016944</c:v>
              </c:pt>
              <c:pt idx="286">
                <c:v>0.89406779661016944</c:v>
              </c:pt>
              <c:pt idx="287">
                <c:v>0.88983050847457623</c:v>
              </c:pt>
              <c:pt idx="288">
                <c:v>0.88559322033898302</c:v>
              </c:pt>
              <c:pt idx="289">
                <c:v>0.88559322033898302</c:v>
              </c:pt>
              <c:pt idx="290">
                <c:v>0.88135593220338981</c:v>
              </c:pt>
              <c:pt idx="291">
                <c:v>0.88135593220338981</c:v>
              </c:pt>
              <c:pt idx="292">
                <c:v>0.88135593220338981</c:v>
              </c:pt>
              <c:pt idx="293">
                <c:v>0.88135593220338981</c:v>
              </c:pt>
              <c:pt idx="294">
                <c:v>0.88135593220338981</c:v>
              </c:pt>
              <c:pt idx="295">
                <c:v>0.88135593220338981</c:v>
              </c:pt>
              <c:pt idx="296">
                <c:v>0.88135593220338981</c:v>
              </c:pt>
              <c:pt idx="297">
                <c:v>0.8771186440677966</c:v>
              </c:pt>
              <c:pt idx="298">
                <c:v>0.8771186440677966</c:v>
              </c:pt>
              <c:pt idx="299">
                <c:v>0.8771186440677966</c:v>
              </c:pt>
              <c:pt idx="300">
                <c:v>0.8771186440677966</c:v>
              </c:pt>
              <c:pt idx="301">
                <c:v>0.8771186440677966</c:v>
              </c:pt>
              <c:pt idx="302">
                <c:v>0.8728813559322034</c:v>
              </c:pt>
              <c:pt idx="303">
                <c:v>0.8728813559322034</c:v>
              </c:pt>
              <c:pt idx="304">
                <c:v>0.8728813559322034</c:v>
              </c:pt>
              <c:pt idx="305">
                <c:v>0.8728813559322034</c:v>
              </c:pt>
              <c:pt idx="306">
                <c:v>0.8728813559322034</c:v>
              </c:pt>
              <c:pt idx="307">
                <c:v>0.8728813559322034</c:v>
              </c:pt>
              <c:pt idx="308">
                <c:v>0.8728813559322034</c:v>
              </c:pt>
              <c:pt idx="309">
                <c:v>0.8728813559322034</c:v>
              </c:pt>
              <c:pt idx="310">
                <c:v>0.8728813559322034</c:v>
              </c:pt>
              <c:pt idx="311">
                <c:v>0.8728813559322034</c:v>
              </c:pt>
              <c:pt idx="312">
                <c:v>0.8728813559322034</c:v>
              </c:pt>
              <c:pt idx="313">
                <c:v>0.8728813559322034</c:v>
              </c:pt>
              <c:pt idx="314">
                <c:v>0.8728813559322034</c:v>
              </c:pt>
              <c:pt idx="315">
                <c:v>0.8728813559322034</c:v>
              </c:pt>
              <c:pt idx="316">
                <c:v>0.8728813559322034</c:v>
              </c:pt>
              <c:pt idx="317">
                <c:v>0.8728813559322034</c:v>
              </c:pt>
              <c:pt idx="318">
                <c:v>0.8728813559322034</c:v>
              </c:pt>
              <c:pt idx="319">
                <c:v>0.86864406779661019</c:v>
              </c:pt>
              <c:pt idx="320">
                <c:v>0.86440677966101698</c:v>
              </c:pt>
              <c:pt idx="321">
                <c:v>0.86440677966101698</c:v>
              </c:pt>
              <c:pt idx="322">
                <c:v>0.86016949152542377</c:v>
              </c:pt>
              <c:pt idx="323">
                <c:v>0.86016949152542377</c:v>
              </c:pt>
              <c:pt idx="324">
                <c:v>0.85593220338983056</c:v>
              </c:pt>
              <c:pt idx="325">
                <c:v>0.85593220338983056</c:v>
              </c:pt>
              <c:pt idx="326">
                <c:v>0.85169491525423724</c:v>
              </c:pt>
              <c:pt idx="327">
                <c:v>0.85169491525423724</c:v>
              </c:pt>
              <c:pt idx="328">
                <c:v>0.85169491525423724</c:v>
              </c:pt>
              <c:pt idx="329">
                <c:v>0.85169491525423724</c:v>
              </c:pt>
              <c:pt idx="330">
                <c:v>0.84745762711864403</c:v>
              </c:pt>
              <c:pt idx="331">
                <c:v>0.84745762711864403</c:v>
              </c:pt>
              <c:pt idx="332">
                <c:v>0.84745762711864403</c:v>
              </c:pt>
              <c:pt idx="333">
                <c:v>0.84745762711864403</c:v>
              </c:pt>
              <c:pt idx="334">
                <c:v>0.84745762711864403</c:v>
              </c:pt>
              <c:pt idx="335">
                <c:v>0.84745762711864403</c:v>
              </c:pt>
              <c:pt idx="336">
                <c:v>0.84745762711864403</c:v>
              </c:pt>
              <c:pt idx="337">
                <c:v>0.84745762711864403</c:v>
              </c:pt>
              <c:pt idx="338">
                <c:v>0.84745762711864403</c:v>
              </c:pt>
              <c:pt idx="339">
                <c:v>0.84745762711864403</c:v>
              </c:pt>
              <c:pt idx="340">
                <c:v>0.84745762711864403</c:v>
              </c:pt>
              <c:pt idx="341">
                <c:v>0.84745762711864403</c:v>
              </c:pt>
              <c:pt idx="342">
                <c:v>0.84322033898305082</c:v>
              </c:pt>
              <c:pt idx="343">
                <c:v>0.84322033898305082</c:v>
              </c:pt>
              <c:pt idx="344">
                <c:v>0.84322033898305082</c:v>
              </c:pt>
              <c:pt idx="345">
                <c:v>0.84322033898305082</c:v>
              </c:pt>
              <c:pt idx="346">
                <c:v>0.84322033898305082</c:v>
              </c:pt>
              <c:pt idx="347">
                <c:v>0.83898305084745761</c:v>
              </c:pt>
              <c:pt idx="348">
                <c:v>0.83898305084745761</c:v>
              </c:pt>
              <c:pt idx="349">
                <c:v>0.8347457627118644</c:v>
              </c:pt>
              <c:pt idx="350">
                <c:v>0.83050847457627119</c:v>
              </c:pt>
              <c:pt idx="351">
                <c:v>0.82627118644067798</c:v>
              </c:pt>
              <c:pt idx="352">
                <c:v>0.82203389830508478</c:v>
              </c:pt>
              <c:pt idx="353">
                <c:v>0.82203389830508478</c:v>
              </c:pt>
              <c:pt idx="354">
                <c:v>0.82203389830508478</c:v>
              </c:pt>
              <c:pt idx="355">
                <c:v>0.82203389830508478</c:v>
              </c:pt>
              <c:pt idx="356">
                <c:v>0.82203389830508478</c:v>
              </c:pt>
              <c:pt idx="357">
                <c:v>0.81779661016949157</c:v>
              </c:pt>
              <c:pt idx="358">
                <c:v>0.81779661016949157</c:v>
              </c:pt>
              <c:pt idx="359">
                <c:v>0.81779661016949157</c:v>
              </c:pt>
              <c:pt idx="360">
                <c:v>0.81779661016949157</c:v>
              </c:pt>
              <c:pt idx="361">
                <c:v>0.81779661016949157</c:v>
              </c:pt>
              <c:pt idx="362">
                <c:v>0.81779661016949157</c:v>
              </c:pt>
              <c:pt idx="363">
                <c:v>0.81779661016949157</c:v>
              </c:pt>
              <c:pt idx="364">
                <c:v>0.81779661016949157</c:v>
              </c:pt>
              <c:pt idx="365">
                <c:v>0.81355932203389836</c:v>
              </c:pt>
              <c:pt idx="366">
                <c:v>0.81355932203389836</c:v>
              </c:pt>
              <c:pt idx="367">
                <c:v>0.81355932203389836</c:v>
              </c:pt>
              <c:pt idx="368">
                <c:v>0.81355932203389836</c:v>
              </c:pt>
              <c:pt idx="369">
                <c:v>0.80932203389830504</c:v>
              </c:pt>
              <c:pt idx="370">
                <c:v>0.80932203389830504</c:v>
              </c:pt>
              <c:pt idx="371">
                <c:v>0.80932203389830504</c:v>
              </c:pt>
              <c:pt idx="372">
                <c:v>0.80508474576271183</c:v>
              </c:pt>
              <c:pt idx="373">
                <c:v>0.80084745762711862</c:v>
              </c:pt>
              <c:pt idx="374">
                <c:v>0.80084745762711862</c:v>
              </c:pt>
              <c:pt idx="375">
                <c:v>0.80084745762711862</c:v>
              </c:pt>
              <c:pt idx="376">
                <c:v>0.80084745762711862</c:v>
              </c:pt>
              <c:pt idx="377">
                <c:v>0.80084745762711862</c:v>
              </c:pt>
              <c:pt idx="378">
                <c:v>0.80084745762711862</c:v>
              </c:pt>
              <c:pt idx="379">
                <c:v>0.80084745762711862</c:v>
              </c:pt>
              <c:pt idx="380">
                <c:v>0.79661016949152541</c:v>
              </c:pt>
              <c:pt idx="381">
                <c:v>0.79661016949152541</c:v>
              </c:pt>
              <c:pt idx="382">
                <c:v>0.79661016949152541</c:v>
              </c:pt>
              <c:pt idx="383">
                <c:v>0.79661016949152541</c:v>
              </c:pt>
              <c:pt idx="384">
                <c:v>0.79661016949152541</c:v>
              </c:pt>
              <c:pt idx="385">
                <c:v>0.79661016949152541</c:v>
              </c:pt>
              <c:pt idx="386">
                <c:v>0.79661016949152541</c:v>
              </c:pt>
              <c:pt idx="387">
                <c:v>0.79661016949152541</c:v>
              </c:pt>
              <c:pt idx="388">
                <c:v>0.7923728813559322</c:v>
              </c:pt>
              <c:pt idx="389">
                <c:v>0.78813559322033899</c:v>
              </c:pt>
              <c:pt idx="390">
                <c:v>0.78389830508474578</c:v>
              </c:pt>
              <c:pt idx="391">
                <c:v>0.78389830508474578</c:v>
              </c:pt>
              <c:pt idx="392">
                <c:v>0.78389830508474578</c:v>
              </c:pt>
              <c:pt idx="393">
                <c:v>0.77966101694915257</c:v>
              </c:pt>
              <c:pt idx="394">
                <c:v>0.77966101694915257</c:v>
              </c:pt>
              <c:pt idx="395">
                <c:v>0.77542372881355937</c:v>
              </c:pt>
              <c:pt idx="396">
                <c:v>0.77542372881355937</c:v>
              </c:pt>
              <c:pt idx="397">
                <c:v>0.77118644067796616</c:v>
              </c:pt>
              <c:pt idx="398">
                <c:v>0.76694915254237284</c:v>
              </c:pt>
              <c:pt idx="399">
                <c:v>0.76271186440677963</c:v>
              </c:pt>
              <c:pt idx="400">
                <c:v>0.75847457627118642</c:v>
              </c:pt>
              <c:pt idx="401">
                <c:v>0.75847457627118642</c:v>
              </c:pt>
              <c:pt idx="402">
                <c:v>0.75847457627118642</c:v>
              </c:pt>
              <c:pt idx="403">
                <c:v>0.75847457627118642</c:v>
              </c:pt>
              <c:pt idx="404">
                <c:v>0.75847457627118642</c:v>
              </c:pt>
              <c:pt idx="405">
                <c:v>0.75423728813559321</c:v>
              </c:pt>
              <c:pt idx="406">
                <c:v>0.75</c:v>
              </c:pt>
              <c:pt idx="407">
                <c:v>0.75</c:v>
              </c:pt>
              <c:pt idx="408">
                <c:v>0.74576271186440679</c:v>
              </c:pt>
              <c:pt idx="409">
                <c:v>0.74576271186440679</c:v>
              </c:pt>
              <c:pt idx="410">
                <c:v>0.74576271186440679</c:v>
              </c:pt>
              <c:pt idx="411">
                <c:v>0.74576271186440679</c:v>
              </c:pt>
              <c:pt idx="412">
                <c:v>0.74152542372881358</c:v>
              </c:pt>
              <c:pt idx="413">
                <c:v>0.73728813559322037</c:v>
              </c:pt>
              <c:pt idx="414">
                <c:v>0.73728813559322037</c:v>
              </c:pt>
              <c:pt idx="415">
                <c:v>0.73728813559322037</c:v>
              </c:pt>
              <c:pt idx="416">
                <c:v>0.73728813559322037</c:v>
              </c:pt>
              <c:pt idx="417">
                <c:v>0.73728813559322037</c:v>
              </c:pt>
              <c:pt idx="418">
                <c:v>0.73305084745762716</c:v>
              </c:pt>
              <c:pt idx="419">
                <c:v>0.72881355932203384</c:v>
              </c:pt>
              <c:pt idx="420">
                <c:v>0.72881355932203384</c:v>
              </c:pt>
              <c:pt idx="421">
                <c:v>0.72881355932203384</c:v>
              </c:pt>
              <c:pt idx="422">
                <c:v>0.72881355932203384</c:v>
              </c:pt>
              <c:pt idx="423">
                <c:v>0.72881355932203384</c:v>
              </c:pt>
              <c:pt idx="424">
                <c:v>0.72881355932203384</c:v>
              </c:pt>
              <c:pt idx="425">
                <c:v>0.72881355932203384</c:v>
              </c:pt>
              <c:pt idx="426">
                <c:v>0.72457627118644063</c:v>
              </c:pt>
              <c:pt idx="427">
                <c:v>0.72457627118644063</c:v>
              </c:pt>
              <c:pt idx="428">
                <c:v>0.72457627118644063</c:v>
              </c:pt>
              <c:pt idx="429">
                <c:v>0.72033898305084743</c:v>
              </c:pt>
              <c:pt idx="430">
                <c:v>0.72033898305084743</c:v>
              </c:pt>
              <c:pt idx="431">
                <c:v>0.72033898305084743</c:v>
              </c:pt>
              <c:pt idx="432">
                <c:v>0.72033898305084743</c:v>
              </c:pt>
              <c:pt idx="433">
                <c:v>0.71610169491525422</c:v>
              </c:pt>
              <c:pt idx="434">
                <c:v>0.71610169491525422</c:v>
              </c:pt>
              <c:pt idx="435">
                <c:v>0.71186440677966101</c:v>
              </c:pt>
              <c:pt idx="436">
                <c:v>0.7076271186440678</c:v>
              </c:pt>
              <c:pt idx="437">
                <c:v>0.7076271186440678</c:v>
              </c:pt>
              <c:pt idx="438">
                <c:v>0.70338983050847459</c:v>
              </c:pt>
              <c:pt idx="439">
                <c:v>0.70338983050847459</c:v>
              </c:pt>
              <c:pt idx="440">
                <c:v>0.69915254237288138</c:v>
              </c:pt>
              <c:pt idx="441">
                <c:v>0.69915254237288138</c:v>
              </c:pt>
              <c:pt idx="442">
                <c:v>0.69915254237288138</c:v>
              </c:pt>
              <c:pt idx="443">
                <c:v>0.69915254237288138</c:v>
              </c:pt>
              <c:pt idx="444">
                <c:v>0.69915254237288138</c:v>
              </c:pt>
              <c:pt idx="445">
                <c:v>0.69491525423728817</c:v>
              </c:pt>
              <c:pt idx="446">
                <c:v>0.69067796610169496</c:v>
              </c:pt>
              <c:pt idx="447">
                <c:v>0.68644067796610164</c:v>
              </c:pt>
              <c:pt idx="448">
                <c:v>0.68644067796610164</c:v>
              </c:pt>
              <c:pt idx="449">
                <c:v>0.68220338983050843</c:v>
              </c:pt>
              <c:pt idx="450">
                <c:v>0.68220338983050843</c:v>
              </c:pt>
              <c:pt idx="451">
                <c:v>0.68220338983050843</c:v>
              </c:pt>
              <c:pt idx="452">
                <c:v>0.68220338983050843</c:v>
              </c:pt>
              <c:pt idx="453">
                <c:v>0.67796610169491522</c:v>
              </c:pt>
              <c:pt idx="454">
                <c:v>0.67796610169491522</c:v>
              </c:pt>
              <c:pt idx="455">
                <c:v>0.67796610169491522</c:v>
              </c:pt>
              <c:pt idx="456">
                <c:v>0.67372881355932202</c:v>
              </c:pt>
              <c:pt idx="457">
                <c:v>0.67372881355932202</c:v>
              </c:pt>
              <c:pt idx="458">
                <c:v>0.67372881355932202</c:v>
              </c:pt>
              <c:pt idx="459">
                <c:v>0.67372881355932202</c:v>
              </c:pt>
              <c:pt idx="460">
                <c:v>0.67372881355932202</c:v>
              </c:pt>
              <c:pt idx="461">
                <c:v>0.66949152542372881</c:v>
              </c:pt>
              <c:pt idx="462">
                <c:v>0.6652542372881356</c:v>
              </c:pt>
              <c:pt idx="463">
                <c:v>0.6652542372881356</c:v>
              </c:pt>
              <c:pt idx="464">
                <c:v>0.6652542372881356</c:v>
              </c:pt>
              <c:pt idx="465">
                <c:v>0.66101694915254239</c:v>
              </c:pt>
              <c:pt idx="466">
                <c:v>0.66101694915254239</c:v>
              </c:pt>
              <c:pt idx="467">
                <c:v>0.66101694915254239</c:v>
              </c:pt>
              <c:pt idx="468">
                <c:v>0.65677966101694918</c:v>
              </c:pt>
              <c:pt idx="469">
                <c:v>0.65677966101694918</c:v>
              </c:pt>
              <c:pt idx="470">
                <c:v>0.65677966101694918</c:v>
              </c:pt>
              <c:pt idx="471">
                <c:v>0.65677966101694918</c:v>
              </c:pt>
              <c:pt idx="472">
                <c:v>0.65254237288135597</c:v>
              </c:pt>
              <c:pt idx="473">
                <c:v>0.64830508474576276</c:v>
              </c:pt>
              <c:pt idx="474">
                <c:v>0.64830508474576276</c:v>
              </c:pt>
              <c:pt idx="475">
                <c:v>0.64830508474576276</c:v>
              </c:pt>
              <c:pt idx="476">
                <c:v>0.64406779661016944</c:v>
              </c:pt>
              <c:pt idx="477">
                <c:v>0.63983050847457623</c:v>
              </c:pt>
              <c:pt idx="478">
                <c:v>0.63559322033898302</c:v>
              </c:pt>
              <c:pt idx="479">
                <c:v>0.63559322033898302</c:v>
              </c:pt>
              <c:pt idx="480">
                <c:v>0.63559322033898302</c:v>
              </c:pt>
              <c:pt idx="481">
                <c:v>0.63135593220338981</c:v>
              </c:pt>
              <c:pt idx="482">
                <c:v>0.63135593220338981</c:v>
              </c:pt>
              <c:pt idx="483">
                <c:v>0.63135593220338981</c:v>
              </c:pt>
              <c:pt idx="484">
                <c:v>0.6271186440677966</c:v>
              </c:pt>
              <c:pt idx="485">
                <c:v>0.6271186440677966</c:v>
              </c:pt>
              <c:pt idx="486">
                <c:v>0.6271186440677966</c:v>
              </c:pt>
              <c:pt idx="487">
                <c:v>0.6228813559322034</c:v>
              </c:pt>
              <c:pt idx="488">
                <c:v>0.61864406779661019</c:v>
              </c:pt>
              <c:pt idx="489">
                <c:v>0.61864406779661019</c:v>
              </c:pt>
              <c:pt idx="490">
                <c:v>0.61864406779661019</c:v>
              </c:pt>
              <c:pt idx="491">
                <c:v>0.61864406779661019</c:v>
              </c:pt>
              <c:pt idx="492">
                <c:v>0.61864406779661019</c:v>
              </c:pt>
              <c:pt idx="493">
                <c:v>0.61864406779661019</c:v>
              </c:pt>
              <c:pt idx="494">
                <c:v>0.61440677966101698</c:v>
              </c:pt>
              <c:pt idx="495">
                <c:v>0.61016949152542377</c:v>
              </c:pt>
              <c:pt idx="496">
                <c:v>0.60593220338983056</c:v>
              </c:pt>
              <c:pt idx="497">
                <c:v>0.60169491525423724</c:v>
              </c:pt>
              <c:pt idx="498">
                <c:v>0.59745762711864403</c:v>
              </c:pt>
              <c:pt idx="499">
                <c:v>0.59322033898305082</c:v>
              </c:pt>
              <c:pt idx="500">
                <c:v>0.59322033898305082</c:v>
              </c:pt>
              <c:pt idx="501">
                <c:v>0.59322033898305082</c:v>
              </c:pt>
              <c:pt idx="502">
                <c:v>0.59322033898305082</c:v>
              </c:pt>
              <c:pt idx="503">
                <c:v>0.59322033898305082</c:v>
              </c:pt>
              <c:pt idx="504">
                <c:v>0.59322033898305082</c:v>
              </c:pt>
              <c:pt idx="505">
                <c:v>0.59322033898305082</c:v>
              </c:pt>
              <c:pt idx="506">
                <c:v>0.59322033898305082</c:v>
              </c:pt>
              <c:pt idx="507">
                <c:v>0.59322033898305082</c:v>
              </c:pt>
              <c:pt idx="508">
                <c:v>0.59322033898305082</c:v>
              </c:pt>
              <c:pt idx="509">
                <c:v>0.59322033898305082</c:v>
              </c:pt>
              <c:pt idx="510">
                <c:v>0.59322033898305082</c:v>
              </c:pt>
              <c:pt idx="511">
                <c:v>0.59322033898305082</c:v>
              </c:pt>
              <c:pt idx="512">
                <c:v>0.59322033898305082</c:v>
              </c:pt>
              <c:pt idx="513">
                <c:v>0.58898305084745761</c:v>
              </c:pt>
              <c:pt idx="514">
                <c:v>0.5847457627118644</c:v>
              </c:pt>
              <c:pt idx="515">
                <c:v>0.58050847457627119</c:v>
              </c:pt>
              <c:pt idx="516">
                <c:v>0.58050847457627119</c:v>
              </c:pt>
              <c:pt idx="517">
                <c:v>0.58050847457627119</c:v>
              </c:pt>
              <c:pt idx="518">
                <c:v>0.58050847457627119</c:v>
              </c:pt>
              <c:pt idx="519">
                <c:v>0.58050847457627119</c:v>
              </c:pt>
              <c:pt idx="520">
                <c:v>0.58050847457627119</c:v>
              </c:pt>
              <c:pt idx="521">
                <c:v>0.57627118644067798</c:v>
              </c:pt>
              <c:pt idx="522">
                <c:v>0.57203389830508478</c:v>
              </c:pt>
              <c:pt idx="523">
                <c:v>0.56779661016949157</c:v>
              </c:pt>
              <c:pt idx="524">
                <c:v>0.56779661016949157</c:v>
              </c:pt>
              <c:pt idx="525">
                <c:v>0.56779661016949157</c:v>
              </c:pt>
              <c:pt idx="526">
                <c:v>0.56355932203389836</c:v>
              </c:pt>
              <c:pt idx="527">
                <c:v>0.55932203389830504</c:v>
              </c:pt>
              <c:pt idx="528">
                <c:v>0.55508474576271183</c:v>
              </c:pt>
              <c:pt idx="529">
                <c:v>0.55084745762711862</c:v>
              </c:pt>
              <c:pt idx="530">
                <c:v>0.55084745762711862</c:v>
              </c:pt>
              <c:pt idx="531">
                <c:v>0.55084745762711862</c:v>
              </c:pt>
              <c:pt idx="532">
                <c:v>0.55084745762711862</c:v>
              </c:pt>
              <c:pt idx="533">
                <c:v>0.55084745762711862</c:v>
              </c:pt>
              <c:pt idx="534">
                <c:v>0.54661016949152541</c:v>
              </c:pt>
              <c:pt idx="535">
                <c:v>0.54661016949152541</c:v>
              </c:pt>
              <c:pt idx="536">
                <c:v>0.54661016949152541</c:v>
              </c:pt>
              <c:pt idx="537">
                <c:v>0.5423728813559322</c:v>
              </c:pt>
              <c:pt idx="538">
                <c:v>0.5423728813559322</c:v>
              </c:pt>
              <c:pt idx="539">
                <c:v>0.5423728813559322</c:v>
              </c:pt>
              <c:pt idx="540">
                <c:v>0.53813559322033899</c:v>
              </c:pt>
              <c:pt idx="541">
                <c:v>0.53389830508474578</c:v>
              </c:pt>
              <c:pt idx="542">
                <c:v>0.53389830508474578</c:v>
              </c:pt>
              <c:pt idx="543">
                <c:v>0.52966101694915257</c:v>
              </c:pt>
              <c:pt idx="544">
                <c:v>0.52966101694915257</c:v>
              </c:pt>
              <c:pt idx="545">
                <c:v>0.52966101694915257</c:v>
              </c:pt>
              <c:pt idx="546">
                <c:v>0.52966101694915257</c:v>
              </c:pt>
              <c:pt idx="547">
                <c:v>0.52542372881355937</c:v>
              </c:pt>
              <c:pt idx="548">
                <c:v>0.52118644067796616</c:v>
              </c:pt>
              <c:pt idx="549">
                <c:v>0.51694915254237284</c:v>
              </c:pt>
              <c:pt idx="550">
                <c:v>0.51271186440677963</c:v>
              </c:pt>
              <c:pt idx="551">
                <c:v>0.51271186440677963</c:v>
              </c:pt>
              <c:pt idx="552">
                <c:v>0.50847457627118642</c:v>
              </c:pt>
              <c:pt idx="553">
                <c:v>0.50423728813559321</c:v>
              </c:pt>
              <c:pt idx="554">
                <c:v>0.5</c:v>
              </c:pt>
              <c:pt idx="555">
                <c:v>0.5</c:v>
              </c:pt>
              <c:pt idx="556">
                <c:v>0.49576271186440679</c:v>
              </c:pt>
              <c:pt idx="557">
                <c:v>0.49152542372881358</c:v>
              </c:pt>
              <c:pt idx="558">
                <c:v>0.48728813559322032</c:v>
              </c:pt>
              <c:pt idx="559">
                <c:v>0.48728813559322032</c:v>
              </c:pt>
              <c:pt idx="560">
                <c:v>0.48305084745762711</c:v>
              </c:pt>
              <c:pt idx="561">
                <c:v>0.48305084745762711</c:v>
              </c:pt>
              <c:pt idx="562">
                <c:v>0.4788135593220339</c:v>
              </c:pt>
              <c:pt idx="563">
                <c:v>0.4788135593220339</c:v>
              </c:pt>
              <c:pt idx="564">
                <c:v>0.47457627118644069</c:v>
              </c:pt>
              <c:pt idx="565">
                <c:v>0.47457627118644069</c:v>
              </c:pt>
              <c:pt idx="566">
                <c:v>0.47457627118644069</c:v>
              </c:pt>
              <c:pt idx="567">
                <c:v>0.47033898305084748</c:v>
              </c:pt>
              <c:pt idx="568">
                <c:v>0.46610169491525422</c:v>
              </c:pt>
              <c:pt idx="569">
                <c:v>0.46186440677966101</c:v>
              </c:pt>
              <c:pt idx="570">
                <c:v>0.4576271186440678</c:v>
              </c:pt>
              <c:pt idx="571">
                <c:v>0.45338983050847459</c:v>
              </c:pt>
              <c:pt idx="572">
                <c:v>0.44915254237288138</c:v>
              </c:pt>
              <c:pt idx="573">
                <c:v>0.44491525423728812</c:v>
              </c:pt>
              <c:pt idx="574">
                <c:v>0.44067796610169491</c:v>
              </c:pt>
              <c:pt idx="575">
                <c:v>0.4364406779661017</c:v>
              </c:pt>
              <c:pt idx="576">
                <c:v>0.4364406779661017</c:v>
              </c:pt>
              <c:pt idx="577">
                <c:v>0.43220338983050849</c:v>
              </c:pt>
              <c:pt idx="578">
                <c:v>0.43220338983050849</c:v>
              </c:pt>
              <c:pt idx="579">
                <c:v>0.42796610169491528</c:v>
              </c:pt>
              <c:pt idx="580">
                <c:v>0.42796610169491528</c:v>
              </c:pt>
              <c:pt idx="581">
                <c:v>0.42372881355932202</c:v>
              </c:pt>
              <c:pt idx="582">
                <c:v>0.41949152542372881</c:v>
              </c:pt>
              <c:pt idx="583">
                <c:v>0.41949152542372881</c:v>
              </c:pt>
              <c:pt idx="584">
                <c:v>0.4152542372881356</c:v>
              </c:pt>
              <c:pt idx="585">
                <c:v>0.41101694915254239</c:v>
              </c:pt>
              <c:pt idx="586">
                <c:v>0.40677966101694918</c:v>
              </c:pt>
              <c:pt idx="587">
                <c:v>0.40677966101694918</c:v>
              </c:pt>
              <c:pt idx="588">
                <c:v>0.40677966101694918</c:v>
              </c:pt>
              <c:pt idx="589">
                <c:v>0.40254237288135591</c:v>
              </c:pt>
              <c:pt idx="590">
                <c:v>0.40254237288135591</c:v>
              </c:pt>
              <c:pt idx="591">
                <c:v>0.39830508474576271</c:v>
              </c:pt>
              <c:pt idx="592">
                <c:v>0.39830508474576271</c:v>
              </c:pt>
              <c:pt idx="593">
                <c:v>0.3940677966101695</c:v>
              </c:pt>
              <c:pt idx="594">
                <c:v>0.38983050847457629</c:v>
              </c:pt>
              <c:pt idx="595">
                <c:v>0.38559322033898308</c:v>
              </c:pt>
              <c:pt idx="596">
                <c:v>0.38135593220338981</c:v>
              </c:pt>
              <c:pt idx="597">
                <c:v>0.3771186440677966</c:v>
              </c:pt>
              <c:pt idx="598">
                <c:v>0.3728813559322034</c:v>
              </c:pt>
              <c:pt idx="599">
                <c:v>0.36864406779661019</c:v>
              </c:pt>
              <c:pt idx="600">
                <c:v>0.36864406779661019</c:v>
              </c:pt>
              <c:pt idx="601">
                <c:v>0.36440677966101692</c:v>
              </c:pt>
              <c:pt idx="602">
                <c:v>0.36440677966101692</c:v>
              </c:pt>
              <c:pt idx="603">
                <c:v>0.36016949152542371</c:v>
              </c:pt>
              <c:pt idx="604">
                <c:v>0.3559322033898305</c:v>
              </c:pt>
              <c:pt idx="605">
                <c:v>0.3559322033898305</c:v>
              </c:pt>
              <c:pt idx="606">
                <c:v>0.35169491525423729</c:v>
              </c:pt>
              <c:pt idx="607">
                <c:v>0.35169491525423729</c:v>
              </c:pt>
              <c:pt idx="608">
                <c:v>0.34745762711864409</c:v>
              </c:pt>
              <c:pt idx="609">
                <c:v>0.34322033898305082</c:v>
              </c:pt>
              <c:pt idx="610">
                <c:v>0.33898305084745761</c:v>
              </c:pt>
              <c:pt idx="611">
                <c:v>0.33898305084745761</c:v>
              </c:pt>
              <c:pt idx="612">
                <c:v>0.3347457627118644</c:v>
              </c:pt>
              <c:pt idx="613">
                <c:v>0.33050847457627119</c:v>
              </c:pt>
              <c:pt idx="614">
                <c:v>0.32627118644067798</c:v>
              </c:pt>
              <c:pt idx="615">
                <c:v>0.32203389830508472</c:v>
              </c:pt>
              <c:pt idx="616">
                <c:v>0.31779661016949151</c:v>
              </c:pt>
              <c:pt idx="617">
                <c:v>0.3135593220338983</c:v>
              </c:pt>
              <c:pt idx="618">
                <c:v>0.30932203389830509</c:v>
              </c:pt>
              <c:pt idx="619">
                <c:v>0.30508474576271188</c:v>
              </c:pt>
              <c:pt idx="620">
                <c:v>0.30508474576271188</c:v>
              </c:pt>
              <c:pt idx="621">
                <c:v>0.30508474576271188</c:v>
              </c:pt>
              <c:pt idx="622">
                <c:v>0.30084745762711862</c:v>
              </c:pt>
              <c:pt idx="623">
                <c:v>0.30084745762711862</c:v>
              </c:pt>
              <c:pt idx="624">
                <c:v>0.30084745762711862</c:v>
              </c:pt>
              <c:pt idx="625">
                <c:v>0.30084745762711862</c:v>
              </c:pt>
              <c:pt idx="626">
                <c:v>0.29661016949152541</c:v>
              </c:pt>
              <c:pt idx="627">
                <c:v>0.2923728813559322</c:v>
              </c:pt>
              <c:pt idx="628">
                <c:v>0.28813559322033899</c:v>
              </c:pt>
              <c:pt idx="629">
                <c:v>0.28389830508474578</c:v>
              </c:pt>
              <c:pt idx="630">
                <c:v>0.28389830508474578</c:v>
              </c:pt>
              <c:pt idx="631">
                <c:v>0.27966101694915252</c:v>
              </c:pt>
              <c:pt idx="632">
                <c:v>0.27542372881355931</c:v>
              </c:pt>
              <c:pt idx="633">
                <c:v>0.2711864406779661</c:v>
              </c:pt>
              <c:pt idx="634">
                <c:v>0.2711864406779661</c:v>
              </c:pt>
              <c:pt idx="635">
                <c:v>0.2711864406779661</c:v>
              </c:pt>
              <c:pt idx="636">
                <c:v>0.26694915254237289</c:v>
              </c:pt>
              <c:pt idx="637">
                <c:v>0.26271186440677968</c:v>
              </c:pt>
              <c:pt idx="638">
                <c:v>0.25847457627118642</c:v>
              </c:pt>
              <c:pt idx="639">
                <c:v>0.25423728813559321</c:v>
              </c:pt>
              <c:pt idx="640">
                <c:v>0.25</c:v>
              </c:pt>
              <c:pt idx="641">
                <c:v>0.24576271186440679</c:v>
              </c:pt>
              <c:pt idx="642">
                <c:v>0.24152542372881355</c:v>
              </c:pt>
              <c:pt idx="643">
                <c:v>0.23728813559322035</c:v>
              </c:pt>
              <c:pt idx="644">
                <c:v>0.23728813559322035</c:v>
              </c:pt>
              <c:pt idx="645">
                <c:v>0.23305084745762711</c:v>
              </c:pt>
              <c:pt idx="646">
                <c:v>0.2288135593220339</c:v>
              </c:pt>
              <c:pt idx="647">
                <c:v>0.2288135593220339</c:v>
              </c:pt>
              <c:pt idx="648">
                <c:v>0.22457627118644069</c:v>
              </c:pt>
              <c:pt idx="649">
                <c:v>0.22033898305084745</c:v>
              </c:pt>
              <c:pt idx="650">
                <c:v>0.21610169491525424</c:v>
              </c:pt>
              <c:pt idx="651">
                <c:v>0.21186440677966101</c:v>
              </c:pt>
              <c:pt idx="652">
                <c:v>0.2076271186440678</c:v>
              </c:pt>
              <c:pt idx="653">
                <c:v>0.2076271186440678</c:v>
              </c:pt>
              <c:pt idx="654">
                <c:v>0.20338983050847459</c:v>
              </c:pt>
              <c:pt idx="655">
                <c:v>0.19915254237288135</c:v>
              </c:pt>
              <c:pt idx="656">
                <c:v>0.19491525423728814</c:v>
              </c:pt>
              <c:pt idx="657">
                <c:v>0.19067796610169491</c:v>
              </c:pt>
              <c:pt idx="658">
                <c:v>0.19067796610169491</c:v>
              </c:pt>
              <c:pt idx="659">
                <c:v>0.1864406779661017</c:v>
              </c:pt>
              <c:pt idx="660">
                <c:v>0.18220338983050846</c:v>
              </c:pt>
              <c:pt idx="661">
                <c:v>0.18220338983050846</c:v>
              </c:pt>
              <c:pt idx="662">
                <c:v>0.17796610169491525</c:v>
              </c:pt>
              <c:pt idx="663">
                <c:v>0.17796610169491525</c:v>
              </c:pt>
              <c:pt idx="664">
                <c:v>0.17372881355932204</c:v>
              </c:pt>
              <c:pt idx="665">
                <c:v>0.16949152542372881</c:v>
              </c:pt>
              <c:pt idx="666">
                <c:v>0.16949152542372881</c:v>
              </c:pt>
              <c:pt idx="667">
                <c:v>0.1652542372881356</c:v>
              </c:pt>
              <c:pt idx="668">
                <c:v>0.16101694915254236</c:v>
              </c:pt>
              <c:pt idx="669">
                <c:v>0.15677966101694915</c:v>
              </c:pt>
              <c:pt idx="670">
                <c:v>0.15254237288135594</c:v>
              </c:pt>
              <c:pt idx="671">
                <c:v>0.14830508474576271</c:v>
              </c:pt>
              <c:pt idx="672">
                <c:v>0.1440677966101695</c:v>
              </c:pt>
              <c:pt idx="673">
                <c:v>0.13983050847457626</c:v>
              </c:pt>
              <c:pt idx="674">
                <c:v>0.13559322033898305</c:v>
              </c:pt>
              <c:pt idx="675">
                <c:v>0.13135593220338984</c:v>
              </c:pt>
              <c:pt idx="676">
                <c:v>0.1271186440677966</c:v>
              </c:pt>
              <c:pt idx="677">
                <c:v>0.1228813559322034</c:v>
              </c:pt>
              <c:pt idx="678">
                <c:v>0.11864406779661017</c:v>
              </c:pt>
              <c:pt idx="679">
                <c:v>0.11440677966101695</c:v>
              </c:pt>
              <c:pt idx="680">
                <c:v>0.11016949152542373</c:v>
              </c:pt>
              <c:pt idx="681">
                <c:v>0.11016949152542373</c:v>
              </c:pt>
              <c:pt idx="682">
                <c:v>0.1059322033898305</c:v>
              </c:pt>
              <c:pt idx="683">
                <c:v>0.10169491525423729</c:v>
              </c:pt>
              <c:pt idx="684">
                <c:v>9.7457627118644072E-2</c:v>
              </c:pt>
              <c:pt idx="685">
                <c:v>9.3220338983050849E-2</c:v>
              </c:pt>
              <c:pt idx="686">
                <c:v>8.8983050847457626E-2</c:v>
              </c:pt>
              <c:pt idx="687">
                <c:v>8.4745762711864403E-2</c:v>
              </c:pt>
              <c:pt idx="688">
                <c:v>8.4745762711864403E-2</c:v>
              </c:pt>
              <c:pt idx="689">
                <c:v>8.050847457627118E-2</c:v>
              </c:pt>
              <c:pt idx="690">
                <c:v>7.6271186440677971E-2</c:v>
              </c:pt>
              <c:pt idx="691">
                <c:v>7.2033898305084748E-2</c:v>
              </c:pt>
              <c:pt idx="692">
                <c:v>6.7796610169491525E-2</c:v>
              </c:pt>
              <c:pt idx="693">
                <c:v>6.3559322033898302E-2</c:v>
              </c:pt>
              <c:pt idx="694">
                <c:v>5.9322033898305086E-2</c:v>
              </c:pt>
              <c:pt idx="695">
                <c:v>5.5084745762711863E-2</c:v>
              </c:pt>
              <c:pt idx="696">
                <c:v>5.0847457627118647E-2</c:v>
              </c:pt>
              <c:pt idx="697">
                <c:v>4.6610169491525424E-2</c:v>
              </c:pt>
              <c:pt idx="698">
                <c:v>4.6610169491525424E-2</c:v>
              </c:pt>
              <c:pt idx="699">
                <c:v>4.2372881355932202E-2</c:v>
              </c:pt>
              <c:pt idx="700">
                <c:v>3.8135593220338986E-2</c:v>
              </c:pt>
              <c:pt idx="701">
                <c:v>3.3898305084745763E-2</c:v>
              </c:pt>
              <c:pt idx="702">
                <c:v>2.9661016949152543E-2</c:v>
              </c:pt>
              <c:pt idx="703">
                <c:v>2.9661016949152543E-2</c:v>
              </c:pt>
              <c:pt idx="704">
                <c:v>2.5423728813559324E-2</c:v>
              </c:pt>
              <c:pt idx="705">
                <c:v>2.1186440677966101E-2</c:v>
              </c:pt>
              <c:pt idx="706">
                <c:v>1.6949152542372881E-2</c:v>
              </c:pt>
              <c:pt idx="707">
                <c:v>1.2711864406779662E-2</c:v>
              </c:pt>
              <c:pt idx="708">
                <c:v>8.4745762711864406E-3</c:v>
              </c:pt>
              <c:pt idx="709">
                <c:v>4.2372881355932203E-3</c:v>
              </c:pt>
              <c:pt idx="710">
                <c:v>4.2372881355932203E-3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22F-4D0B-8B12-44B2B6329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077007"/>
        <c:axId val="365078447"/>
      </c:scatterChart>
      <c:valAx>
        <c:axId val="36507700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False Positive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5078447"/>
        <c:crosses val="autoZero"/>
        <c:crossBetween val="midCat"/>
      </c:valAx>
      <c:valAx>
        <c:axId val="365078447"/>
        <c:scaling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True Positive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50770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No of times Preganant</a:t>
            </a:r>
            <a:r>
              <a:rPr lang="en-IN"/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85CFD820-F6D1-41AF-9E0B-9E5000F5A6E7}">
          <cx:tx>
            <cx:txData>
              <cx:f>_xlchart.v1.0</cx:f>
              <cx:v>No of times Preganant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BP</a:t>
          </a:r>
        </a:p>
      </cx:txPr>
    </cx:title>
    <cx:plotArea>
      <cx:plotAreaRegion>
        <cx:series layoutId="clusteredColumn" uniqueId="{E4570BA9-061E-498B-BD4F-7F19F5A8B403}">
          <cx:tx>
            <cx:txData>
              <cx:f>_xlchart.v1.2</cx:f>
              <cx:v>BP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Insulin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Insulin</a:t>
          </a:r>
        </a:p>
      </cx:txPr>
    </cx:title>
    <cx:plotArea>
      <cx:plotAreaRegion>
        <cx:series layoutId="clusteredColumn" uniqueId="{438E51D7-966D-46E3-A618-77EFBD9349C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BMI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BMI</a:t>
          </a:r>
        </a:p>
      </cx:txPr>
    </cx:title>
    <cx:plotArea>
      <cx:plotAreaRegion>
        <cx:series layoutId="clusteredColumn" uniqueId="{9743AB12-8BCC-4007-AE4B-2EF43ADC40D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Diabetes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C62AFDA-F805-4002-B0B5-72DE26DC98A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</a:t>
          </a:r>
        </a:p>
      </cx:txPr>
    </cx:title>
    <cx:plotArea>
      <cx:plotAreaRegion>
        <cx:series layoutId="clusteredColumn" uniqueId="{EB48D1F0-5484-4951-82CD-4D0740E83B3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6.xml"/><Relationship Id="rId3" Type="http://schemas.microsoft.com/office/2014/relationships/chartEx" Target="../charts/chartEx2.xml"/><Relationship Id="rId7" Type="http://schemas.microsoft.com/office/2014/relationships/chartEx" Target="../charts/chartEx5.xml"/><Relationship Id="rId2" Type="http://schemas.openxmlformats.org/officeDocument/2006/relationships/image" Target="../media/image1.png"/><Relationship Id="rId1" Type="http://schemas.microsoft.com/office/2014/relationships/chartEx" Target="../charts/chartEx1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11</xdr:row>
      <xdr:rowOff>50800</xdr:rowOff>
    </xdr:from>
    <xdr:to>
      <xdr:col>13</xdr:col>
      <xdr:colOff>200025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F6AE5-92F8-B695-FF53-258031106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0B85317-97ED-4043-97DF-FB9C0AF6FE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305196</xdr:colOff>
      <xdr:row>22</xdr:row>
      <xdr:rowOff>6334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9D25C3D-7825-07AE-72C9-332A3E3E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280160"/>
          <a:ext cx="4572396" cy="2749534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9</xdr:col>
      <xdr:colOff>304800</xdr:colOff>
      <xdr:row>37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0C4FB00-89B5-4E0B-A6D0-B360964413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0</xdr:colOff>
      <xdr:row>28</xdr:row>
      <xdr:rowOff>0</xdr:rowOff>
    </xdr:from>
    <xdr:to>
      <xdr:col>19</xdr:col>
      <xdr:colOff>305196</xdr:colOff>
      <xdr:row>43</xdr:row>
      <xdr:rowOff>6334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EEFDA5A-4464-D453-41C9-71B07FB1E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5120640"/>
          <a:ext cx="4572396" cy="2749534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10</xdr:col>
      <xdr:colOff>304800</xdr:colOff>
      <xdr:row>58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2CE8D6EC-E3D2-4138-B6C8-32AB5D7D34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52</xdr:row>
      <xdr:rowOff>0</xdr:rowOff>
    </xdr:from>
    <xdr:to>
      <xdr:col>21</xdr:col>
      <xdr:colOff>304800</xdr:colOff>
      <xdr:row>67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361221AF-6C69-4525-A35A-A6011F7DD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63</xdr:row>
      <xdr:rowOff>0</xdr:rowOff>
    </xdr:from>
    <xdr:to>
      <xdr:col>11</xdr:col>
      <xdr:colOff>304800</xdr:colOff>
      <xdr:row>78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817C064B-9538-490E-9A17-03AC3C4AA5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74</xdr:row>
      <xdr:rowOff>0</xdr:rowOff>
    </xdr:from>
    <xdr:to>
      <xdr:col>22</xdr:col>
      <xdr:colOff>304800</xdr:colOff>
      <xdr:row>89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CE78791A-4A18-4DB3-B578-BDDF970606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518160</xdr:colOff>
      <xdr:row>4</xdr:row>
      <xdr:rowOff>129540</xdr:rowOff>
    </xdr:from>
    <xdr:to>
      <xdr:col>9</xdr:col>
      <xdr:colOff>213756</xdr:colOff>
      <xdr:row>19</xdr:row>
      <xdr:rowOff>129778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4C2F04-508F-8525-2D0E-EEADBE147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861060"/>
          <a:ext cx="4572396" cy="2743438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4</xdr:row>
      <xdr:rowOff>152400</xdr:rowOff>
    </xdr:from>
    <xdr:to>
      <xdr:col>18</xdr:col>
      <xdr:colOff>396</xdr:colOff>
      <xdr:row>19</xdr:row>
      <xdr:rowOff>158734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4B3579-0066-B776-50F6-8839F8A5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883920"/>
          <a:ext cx="4572396" cy="274953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10</xdr:col>
      <xdr:colOff>305196</xdr:colOff>
      <xdr:row>37</xdr:row>
      <xdr:rowOff>6334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F22570-0D6A-B560-EC28-17147D44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4023360"/>
          <a:ext cx="4572396" cy="274953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10</xdr:col>
      <xdr:colOff>305196</xdr:colOff>
      <xdr:row>55</xdr:row>
      <xdr:rowOff>6334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B1DF0F6-BC64-9512-BC7D-7AA9CA7A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7315200"/>
          <a:ext cx="4572396" cy="27495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his\OneDrive\Desktop\XRealStats.xlam" TargetMode="External"/><Relationship Id="rId1" Type="http://schemas.openxmlformats.org/officeDocument/2006/relationships/externalLinkPath" Target="/Users/Abhis/OneDrive/Desktop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Dict"/>
      <sheetName val="ADict"/>
      <sheetName val="XRealStats"/>
    </sheetNames>
    <definedNames>
      <definedName name="LogitAUC"/>
      <definedName name="LogitCoeff"/>
      <definedName name="LogitConverge"/>
      <definedName name="LogitCorrect"/>
      <definedName name="LogitCov"/>
      <definedName name="LogitLL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DDF0-36D9-4F80-9A6D-21D5EF8900AD}">
  <dimension ref="A1:R15"/>
  <sheetViews>
    <sheetView topLeftCell="D1" workbookViewId="0">
      <selection activeCell="O1" sqref="O1"/>
    </sheetView>
  </sheetViews>
  <sheetFormatPr defaultRowHeight="14.45"/>
  <cols>
    <col min="2" max="2" width="12" bestFit="1" customWidth="1"/>
    <col min="4" max="4" width="12" bestFit="1" customWidth="1"/>
    <col min="5" max="5" width="16.5703125" bestFit="1" customWidth="1"/>
    <col min="6" max="6" width="12.7109375" bestFit="1" customWidth="1"/>
    <col min="8" max="8" width="12.7109375" bestFit="1" customWidth="1"/>
    <col min="12" max="12" width="12.7109375" bestFit="1" customWidth="1"/>
    <col min="14" max="14" width="12" bestFit="1" customWidth="1"/>
    <col min="16" max="16" width="12" bestFit="1" customWidth="1"/>
    <col min="18" max="18" width="12.7109375" bestFit="1" customWidth="1"/>
  </cols>
  <sheetData>
    <row r="1" spans="1:18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</row>
    <row r="3" spans="1:18">
      <c r="A3" t="s">
        <v>9</v>
      </c>
      <c r="B3">
        <v>3.8450520833333335</v>
      </c>
      <c r="C3" t="s">
        <v>9</v>
      </c>
      <c r="D3">
        <v>120.89453125</v>
      </c>
      <c r="E3" t="s">
        <v>9</v>
      </c>
      <c r="F3">
        <v>69.10546875</v>
      </c>
      <c r="G3" t="s">
        <v>9</v>
      </c>
      <c r="H3">
        <v>20.536458333333332</v>
      </c>
      <c r="I3" t="s">
        <v>9</v>
      </c>
      <c r="J3">
        <v>79.799479166666671</v>
      </c>
      <c r="K3" t="s">
        <v>9</v>
      </c>
      <c r="L3">
        <v>31.992578124999977</v>
      </c>
      <c r="M3" t="s">
        <v>9</v>
      </c>
      <c r="N3">
        <v>0.4718763020833327</v>
      </c>
      <c r="O3" t="s">
        <v>9</v>
      </c>
      <c r="P3">
        <v>33.240885416666664</v>
      </c>
      <c r="Q3" t="s">
        <v>9</v>
      </c>
      <c r="R3">
        <v>0.34895833333333331</v>
      </c>
    </row>
    <row r="4" spans="1:18">
      <c r="A4" t="s">
        <v>10</v>
      </c>
      <c r="B4">
        <v>0.12158917509716564</v>
      </c>
      <c r="C4" t="s">
        <v>10</v>
      </c>
      <c r="D4">
        <v>1.1537124826036891</v>
      </c>
      <c r="E4" t="s">
        <v>10</v>
      </c>
      <c r="F4">
        <v>0.69844253002214074</v>
      </c>
      <c r="G4" t="s">
        <v>10</v>
      </c>
      <c r="H4">
        <v>0.5756260691811893</v>
      </c>
      <c r="I4" t="s">
        <v>10</v>
      </c>
      <c r="J4">
        <v>4.158509736252185</v>
      </c>
      <c r="K4" t="s">
        <v>10</v>
      </c>
      <c r="L4">
        <v>0.28449513020643752</v>
      </c>
      <c r="M4" t="s">
        <v>10</v>
      </c>
      <c r="N4">
        <v>1.19557908450529E-2</v>
      </c>
      <c r="O4" t="s">
        <v>10</v>
      </c>
      <c r="P4">
        <v>0.42436080285894784</v>
      </c>
      <c r="Q4" t="s">
        <v>10</v>
      </c>
      <c r="R4">
        <v>1.7210500377593297E-2</v>
      </c>
    </row>
    <row r="5" spans="1:18">
      <c r="A5" t="s">
        <v>11</v>
      </c>
      <c r="B5">
        <v>3</v>
      </c>
      <c r="C5" t="s">
        <v>11</v>
      </c>
      <c r="D5">
        <v>117</v>
      </c>
      <c r="E5" t="s">
        <v>11</v>
      </c>
      <c r="F5">
        <v>72</v>
      </c>
      <c r="G5" t="s">
        <v>11</v>
      </c>
      <c r="H5">
        <v>23</v>
      </c>
      <c r="I5" t="s">
        <v>11</v>
      </c>
      <c r="J5">
        <v>30.5</v>
      </c>
      <c r="K5" t="s">
        <v>11</v>
      </c>
      <c r="L5">
        <v>32</v>
      </c>
      <c r="M5" t="s">
        <v>11</v>
      </c>
      <c r="N5">
        <v>0.3725</v>
      </c>
      <c r="O5" t="s">
        <v>11</v>
      </c>
      <c r="P5">
        <v>29</v>
      </c>
      <c r="Q5" t="s">
        <v>11</v>
      </c>
      <c r="R5">
        <v>0</v>
      </c>
    </row>
    <row r="6" spans="1:18">
      <c r="A6" t="s">
        <v>12</v>
      </c>
      <c r="B6">
        <v>1</v>
      </c>
      <c r="C6" t="s">
        <v>12</v>
      </c>
      <c r="D6">
        <v>100</v>
      </c>
      <c r="E6" t="s">
        <v>12</v>
      </c>
      <c r="F6">
        <v>70</v>
      </c>
      <c r="G6" t="s">
        <v>12</v>
      </c>
      <c r="H6">
        <v>0</v>
      </c>
      <c r="I6" t="s">
        <v>12</v>
      </c>
      <c r="J6">
        <v>0</v>
      </c>
      <c r="K6" t="s">
        <v>12</v>
      </c>
      <c r="L6">
        <v>32</v>
      </c>
      <c r="M6" t="s">
        <v>12</v>
      </c>
      <c r="N6">
        <v>0.254</v>
      </c>
      <c r="O6" t="s">
        <v>12</v>
      </c>
      <c r="P6">
        <v>22</v>
      </c>
      <c r="Q6" t="s">
        <v>12</v>
      </c>
      <c r="R6">
        <v>0</v>
      </c>
    </row>
    <row r="7" spans="1:18">
      <c r="A7" t="s">
        <v>13</v>
      </c>
      <c r="B7">
        <v>3.3695780626988698</v>
      </c>
      <c r="C7" t="s">
        <v>13</v>
      </c>
      <c r="D7">
        <v>31.972618195136221</v>
      </c>
      <c r="E7" t="s">
        <v>13</v>
      </c>
      <c r="F7">
        <v>19.355807170644777</v>
      </c>
      <c r="G7" t="s">
        <v>13</v>
      </c>
      <c r="H7">
        <v>15.952217567727637</v>
      </c>
      <c r="I7" t="s">
        <v>13</v>
      </c>
      <c r="J7">
        <v>115.24400235133817</v>
      </c>
      <c r="K7" t="s">
        <v>13</v>
      </c>
      <c r="L7">
        <v>7.8841603203755675</v>
      </c>
      <c r="M7" t="s">
        <v>13</v>
      </c>
      <c r="N7">
        <v>0.33132859501277545</v>
      </c>
      <c r="O7" t="s">
        <v>13</v>
      </c>
      <c r="P7">
        <v>11.760231540678683</v>
      </c>
      <c r="Q7" t="s">
        <v>13</v>
      </c>
      <c r="R7">
        <v>0.47695137724279896</v>
      </c>
    </row>
    <row r="8" spans="1:18">
      <c r="A8" t="s">
        <v>14</v>
      </c>
      <c r="B8">
        <v>11.354056320621469</v>
      </c>
      <c r="C8" t="s">
        <v>14</v>
      </c>
      <c r="D8">
        <v>1022.2483142519557</v>
      </c>
      <c r="E8" t="s">
        <v>14</v>
      </c>
      <c r="F8">
        <v>374.64727122718381</v>
      </c>
      <c r="G8" t="s">
        <v>14</v>
      </c>
      <c r="H8">
        <v>254.47324532811822</v>
      </c>
      <c r="I8" t="s">
        <v>14</v>
      </c>
      <c r="J8">
        <v>13281.180077955238</v>
      </c>
      <c r="K8" t="s">
        <v>14</v>
      </c>
      <c r="L8">
        <v>62.159983957384568</v>
      </c>
      <c r="M8" t="s">
        <v>14</v>
      </c>
      <c r="N8">
        <v>0.10977863787313978</v>
      </c>
      <c r="O8" t="s">
        <v>14</v>
      </c>
      <c r="P8">
        <v>138.30304589037371</v>
      </c>
      <c r="Q8" t="s">
        <v>14</v>
      </c>
      <c r="R8">
        <v>0.22748261625380273</v>
      </c>
    </row>
    <row r="9" spans="1:18">
      <c r="A9" t="s">
        <v>15</v>
      </c>
      <c r="B9">
        <v>0.1592197775474995</v>
      </c>
      <c r="C9" t="s">
        <v>15</v>
      </c>
      <c r="D9">
        <v>0.64077982037350445</v>
      </c>
      <c r="E9" t="s">
        <v>15</v>
      </c>
      <c r="F9">
        <v>5.1801565600824979</v>
      </c>
      <c r="G9" t="s">
        <v>15</v>
      </c>
      <c r="H9">
        <v>-0.5200718661530277</v>
      </c>
      <c r="I9" t="s">
        <v>15</v>
      </c>
      <c r="J9">
        <v>7.2142595543486276</v>
      </c>
      <c r="K9" t="s">
        <v>15</v>
      </c>
      <c r="L9">
        <v>3.2904429008169962</v>
      </c>
      <c r="M9" t="s">
        <v>15</v>
      </c>
      <c r="N9">
        <v>5.5949535279830691</v>
      </c>
      <c r="O9" t="s">
        <v>15</v>
      </c>
      <c r="P9">
        <v>0.64315888853989556</v>
      </c>
      <c r="Q9" t="s">
        <v>15</v>
      </c>
      <c r="R9">
        <v>-1.6009297551559922</v>
      </c>
    </row>
    <row r="10" spans="1:18">
      <c r="A10" t="s">
        <v>16</v>
      </c>
      <c r="B10">
        <v>0.90167397915186964</v>
      </c>
      <c r="C10" t="s">
        <v>16</v>
      </c>
      <c r="D10">
        <v>0.17375350179188997</v>
      </c>
      <c r="E10" t="s">
        <v>16</v>
      </c>
      <c r="F10">
        <v>-1.8436079833551287</v>
      </c>
      <c r="G10" t="s">
        <v>16</v>
      </c>
      <c r="H10">
        <v>0.10937249648187579</v>
      </c>
      <c r="I10" t="s">
        <v>16</v>
      </c>
      <c r="J10">
        <v>2.2722508584315828</v>
      </c>
      <c r="K10" t="s">
        <v>16</v>
      </c>
      <c r="L10">
        <v>-0.42898158845355744</v>
      </c>
      <c r="M10" t="s">
        <v>16</v>
      </c>
      <c r="N10">
        <v>1.9199110663072081</v>
      </c>
      <c r="O10" t="s">
        <v>16</v>
      </c>
      <c r="P10">
        <v>1.1295967011444836</v>
      </c>
      <c r="Q10" t="s">
        <v>16</v>
      </c>
      <c r="R10">
        <v>0.63501664344499065</v>
      </c>
    </row>
    <row r="11" spans="1:18">
      <c r="A11" t="s">
        <v>17</v>
      </c>
      <c r="B11">
        <v>17</v>
      </c>
      <c r="C11" t="s">
        <v>17</v>
      </c>
      <c r="D11">
        <v>199</v>
      </c>
      <c r="E11" t="s">
        <v>17</v>
      </c>
      <c r="F11">
        <v>122</v>
      </c>
      <c r="G11" t="s">
        <v>17</v>
      </c>
      <c r="H11">
        <v>99</v>
      </c>
      <c r="I11" t="s">
        <v>17</v>
      </c>
      <c r="J11">
        <v>846</v>
      </c>
      <c r="K11" t="s">
        <v>17</v>
      </c>
      <c r="L11">
        <v>67.099999999999994</v>
      </c>
      <c r="M11" t="s">
        <v>17</v>
      </c>
      <c r="N11">
        <v>2.3420000000000001</v>
      </c>
      <c r="O11" t="s">
        <v>17</v>
      </c>
      <c r="P11">
        <v>60</v>
      </c>
      <c r="Q11" t="s">
        <v>17</v>
      </c>
      <c r="R11">
        <v>1</v>
      </c>
    </row>
    <row r="12" spans="1:18">
      <c r="A12" t="s">
        <v>18</v>
      </c>
      <c r="B12">
        <v>0</v>
      </c>
      <c r="C12" t="s">
        <v>18</v>
      </c>
      <c r="D12">
        <v>0</v>
      </c>
      <c r="E12" t="s">
        <v>18</v>
      </c>
      <c r="F12">
        <v>0</v>
      </c>
      <c r="G12" t="s">
        <v>18</v>
      </c>
      <c r="H12">
        <v>0</v>
      </c>
      <c r="I12" t="s">
        <v>18</v>
      </c>
      <c r="J12">
        <v>0</v>
      </c>
      <c r="K12" t="s">
        <v>18</v>
      </c>
      <c r="L12">
        <v>0</v>
      </c>
      <c r="M12" t="s">
        <v>18</v>
      </c>
      <c r="N12">
        <v>7.8E-2</v>
      </c>
      <c r="O12" t="s">
        <v>18</v>
      </c>
      <c r="P12">
        <v>21</v>
      </c>
      <c r="Q12" t="s">
        <v>18</v>
      </c>
      <c r="R12">
        <v>0</v>
      </c>
    </row>
    <row r="13" spans="1:18">
      <c r="A13" t="s">
        <v>19</v>
      </c>
      <c r="B13">
        <v>17</v>
      </c>
      <c r="C13" t="s">
        <v>19</v>
      </c>
      <c r="D13">
        <v>199</v>
      </c>
      <c r="E13" t="s">
        <v>19</v>
      </c>
      <c r="F13">
        <v>122</v>
      </c>
      <c r="G13" t="s">
        <v>19</v>
      </c>
      <c r="H13">
        <v>99</v>
      </c>
      <c r="I13" t="s">
        <v>19</v>
      </c>
      <c r="J13">
        <v>846</v>
      </c>
      <c r="K13" t="s">
        <v>19</v>
      </c>
      <c r="L13">
        <v>67.099999999999994</v>
      </c>
      <c r="M13" t="s">
        <v>19</v>
      </c>
      <c r="N13">
        <v>2.42</v>
      </c>
      <c r="O13" t="s">
        <v>19</v>
      </c>
      <c r="P13">
        <v>81</v>
      </c>
      <c r="Q13" t="s">
        <v>19</v>
      </c>
      <c r="R13">
        <v>1</v>
      </c>
    </row>
    <row r="14" spans="1:18">
      <c r="A14" t="s">
        <v>20</v>
      </c>
      <c r="B14">
        <v>2953</v>
      </c>
      <c r="C14" t="s">
        <v>20</v>
      </c>
      <c r="D14">
        <v>92847</v>
      </c>
      <c r="E14" t="s">
        <v>20</v>
      </c>
      <c r="F14">
        <v>53073</v>
      </c>
      <c r="G14" t="s">
        <v>20</v>
      </c>
      <c r="H14">
        <v>15772</v>
      </c>
      <c r="I14" t="s">
        <v>20</v>
      </c>
      <c r="J14">
        <v>61286</v>
      </c>
      <c r="K14" t="s">
        <v>20</v>
      </c>
      <c r="L14">
        <v>24570.299999999981</v>
      </c>
      <c r="M14" t="s">
        <v>20</v>
      </c>
      <c r="N14">
        <v>362.4009999999995</v>
      </c>
      <c r="O14" t="s">
        <v>20</v>
      </c>
      <c r="P14">
        <v>25529</v>
      </c>
      <c r="Q14" t="s">
        <v>20</v>
      </c>
      <c r="R14">
        <v>268</v>
      </c>
    </row>
    <row r="15" spans="1:18" ht="15" thickBot="1">
      <c r="A15" s="2" t="s">
        <v>21</v>
      </c>
      <c r="B15" s="2">
        <v>768</v>
      </c>
      <c r="C15" s="2" t="s">
        <v>21</v>
      </c>
      <c r="D15" s="2">
        <v>768</v>
      </c>
      <c r="E15" s="2" t="s">
        <v>21</v>
      </c>
      <c r="F15" s="2">
        <v>768</v>
      </c>
      <c r="G15" s="2" t="s">
        <v>21</v>
      </c>
      <c r="H15" s="2">
        <v>768</v>
      </c>
      <c r="I15" s="2" t="s">
        <v>21</v>
      </c>
      <c r="J15" s="2">
        <v>768</v>
      </c>
      <c r="K15" s="2" t="s">
        <v>21</v>
      </c>
      <c r="L15" s="2">
        <v>768</v>
      </c>
      <c r="M15" s="2" t="s">
        <v>21</v>
      </c>
      <c r="N15" s="2">
        <v>768</v>
      </c>
      <c r="O15" s="2" t="s">
        <v>21</v>
      </c>
      <c r="P15" s="2">
        <v>768</v>
      </c>
      <c r="Q15" s="2" t="s">
        <v>21</v>
      </c>
      <c r="R15" s="2">
        <v>768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8E29-17C8-436D-9157-B76B1C0158A1}">
  <dimension ref="A1:J10"/>
  <sheetViews>
    <sheetView workbookViewId="0">
      <selection activeCell="D14" sqref="D14"/>
    </sheetView>
  </sheetViews>
  <sheetFormatPr defaultRowHeight="14.45"/>
  <cols>
    <col min="2" max="2" width="20" bestFit="1" customWidth="1"/>
    <col min="3" max="5" width="12.7109375" bestFit="1" customWidth="1"/>
    <col min="6" max="6" width="9.28515625" customWidth="1"/>
    <col min="7" max="7" width="12" bestFit="1" customWidth="1"/>
    <col min="9" max="9" width="12" bestFit="1" customWidth="1"/>
  </cols>
  <sheetData>
    <row r="1" spans="1:10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>
      <c r="A2" t="s">
        <v>0</v>
      </c>
      <c r="B2">
        <v>1</v>
      </c>
    </row>
    <row r="3" spans="1:10">
      <c r="A3" t="s">
        <v>1</v>
      </c>
      <c r="B3">
        <v>0.13599494198434287</v>
      </c>
      <c r="C3">
        <v>1</v>
      </c>
    </row>
    <row r="4" spans="1:10">
      <c r="A4" t="s">
        <v>2</v>
      </c>
      <c r="B4">
        <v>0.19658634863817945</v>
      </c>
      <c r="C4">
        <v>0.23897075790857059</v>
      </c>
      <c r="D4">
        <v>1</v>
      </c>
    </row>
    <row r="5" spans="1:10">
      <c r="A5" t="s">
        <v>3</v>
      </c>
      <c r="B5">
        <v>-7.5673248309776273E-2</v>
      </c>
      <c r="C5">
        <v>-1.847070168447406E-2</v>
      </c>
      <c r="D5">
        <v>3.788186512964762E-2</v>
      </c>
      <c r="E5">
        <v>1</v>
      </c>
    </row>
    <row r="6" spans="1:10">
      <c r="A6" t="s">
        <v>4</v>
      </c>
      <c r="B6">
        <v>-8.3470603816587399E-2</v>
      </c>
      <c r="C6">
        <v>0.24558399823832799</v>
      </c>
      <c r="D6">
        <v>-4.0980322713327196E-2</v>
      </c>
      <c r="E6" s="4">
        <v>0.49271883285013585</v>
      </c>
      <c r="F6">
        <v>1</v>
      </c>
    </row>
    <row r="7" spans="1:10">
      <c r="A7" t="s">
        <v>5</v>
      </c>
      <c r="B7">
        <v>2.1815380311550073E-2</v>
      </c>
      <c r="C7">
        <v>0.20511794862686614</v>
      </c>
      <c r="D7">
        <v>0.27167921221079966</v>
      </c>
      <c r="E7">
        <v>0.37801899747227707</v>
      </c>
      <c r="F7">
        <v>0.17621652464474175</v>
      </c>
      <c r="G7">
        <v>1</v>
      </c>
    </row>
    <row r="8" spans="1:10">
      <c r="A8" t="s">
        <v>6</v>
      </c>
      <c r="B8">
        <v>-4.3333543929318305E-3</v>
      </c>
      <c r="C8">
        <v>5.5376184192840426E-2</v>
      </c>
      <c r="D8">
        <v>4.3942528141207603E-2</v>
      </c>
      <c r="E8">
        <v>0.15981618978404388</v>
      </c>
      <c r="F8">
        <v>0.20878975431854438</v>
      </c>
      <c r="G8">
        <v>0.14550242941799954</v>
      </c>
      <c r="H8">
        <v>1</v>
      </c>
    </row>
    <row r="9" spans="1:10">
      <c r="A9" t="s">
        <v>7</v>
      </c>
      <c r="B9" s="4">
        <v>0.56066890471560982</v>
      </c>
      <c r="C9">
        <v>0.26743226638751572</v>
      </c>
      <c r="D9">
        <v>0.34293837231458235</v>
      </c>
      <c r="E9">
        <v>-0.14645815222488312</v>
      </c>
      <c r="F9">
        <v>-7.4805380612320796E-2</v>
      </c>
      <c r="G9">
        <v>5.7055706045998994E-2</v>
      </c>
      <c r="H9">
        <v>4.7036487322259811E-2</v>
      </c>
      <c r="I9">
        <v>1</v>
      </c>
    </row>
    <row r="10" spans="1:10" ht="15" thickBot="1">
      <c r="A10" s="2" t="s">
        <v>8</v>
      </c>
      <c r="B10" s="2">
        <v>0.20526675918245818</v>
      </c>
      <c r="C10" s="2">
        <v>0.46253913598111507</v>
      </c>
      <c r="D10" s="2">
        <v>0.1708651343379288</v>
      </c>
      <c r="E10" s="2">
        <v>3.9617894216364961E-2</v>
      </c>
      <c r="F10" s="2">
        <v>9.092367766603858E-2</v>
      </c>
      <c r="G10" s="2">
        <v>0.29426315110278711</v>
      </c>
      <c r="H10" s="2">
        <v>0.1590247954657889</v>
      </c>
      <c r="I10" s="2">
        <v>0.23422919931133282</v>
      </c>
      <c r="J10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FADA-EC95-426E-8C05-E62CAB7C914B}">
  <dimension ref="B1:AP712"/>
  <sheetViews>
    <sheetView tabSelected="1" topLeftCell="A9" workbookViewId="0">
      <selection activeCell="R24" sqref="R24"/>
    </sheetView>
  </sheetViews>
  <sheetFormatPr defaultRowHeight="14.45"/>
  <cols>
    <col min="2" max="2" width="9" bestFit="1" customWidth="1"/>
    <col min="3" max="3" width="5.28515625" bestFit="1" customWidth="1"/>
    <col min="4" max="4" width="8.42578125" bestFit="1" customWidth="1"/>
    <col min="5" max="5" width="6.5703125" bestFit="1" customWidth="1"/>
    <col min="6" max="6" width="10.28515625" bestFit="1" customWidth="1"/>
    <col min="7" max="7" width="9" customWidth="1"/>
    <col min="8" max="8" width="7.28515625" bestFit="1" customWidth="1"/>
    <col min="13" max="13" width="14.28515625" bestFit="1" customWidth="1"/>
    <col min="14" max="14" width="21.7109375" bestFit="1" customWidth="1"/>
    <col min="17" max="17" width="17.85546875" bestFit="1" customWidth="1"/>
    <col min="40" max="40" width="10.7109375" bestFit="1" customWidth="1"/>
    <col min="41" max="41" width="11.7109375" bestFit="1" customWidth="1"/>
  </cols>
  <sheetData>
    <row r="1" spans="2:14"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M1" t="s">
        <v>3</v>
      </c>
      <c r="N1" t="s">
        <v>0</v>
      </c>
    </row>
    <row r="2" spans="2:14">
      <c r="B2">
        <v>132</v>
      </c>
      <c r="C2">
        <v>80</v>
      </c>
      <c r="D2">
        <v>0</v>
      </c>
      <c r="E2">
        <v>26.8</v>
      </c>
      <c r="F2">
        <v>0.186</v>
      </c>
      <c r="G2">
        <v>69</v>
      </c>
      <c r="H2">
        <v>0</v>
      </c>
      <c r="M2">
        <v>0</v>
      </c>
      <c r="N2" s="1">
        <v>5</v>
      </c>
    </row>
    <row r="3" spans="2:14">
      <c r="B3">
        <v>91</v>
      </c>
      <c r="C3">
        <v>82</v>
      </c>
      <c r="D3">
        <v>0</v>
      </c>
      <c r="E3">
        <v>35.6</v>
      </c>
      <c r="F3">
        <v>0.58699999999999997</v>
      </c>
      <c r="G3">
        <v>68</v>
      </c>
      <c r="H3">
        <v>0</v>
      </c>
      <c r="M3">
        <v>0</v>
      </c>
      <c r="N3" s="1">
        <v>8</v>
      </c>
    </row>
    <row r="4" spans="2:14">
      <c r="B4">
        <v>57</v>
      </c>
      <c r="C4">
        <v>60</v>
      </c>
      <c r="D4">
        <v>0</v>
      </c>
      <c r="E4">
        <v>21.7</v>
      </c>
      <c r="F4">
        <v>0.73499999999999999</v>
      </c>
      <c r="G4">
        <v>67</v>
      </c>
      <c r="H4">
        <v>0</v>
      </c>
      <c r="M4">
        <v>0</v>
      </c>
      <c r="N4" s="1">
        <v>0</v>
      </c>
    </row>
    <row r="5" spans="2:14">
      <c r="B5">
        <v>194</v>
      </c>
      <c r="C5">
        <v>80</v>
      </c>
      <c r="D5">
        <v>0</v>
      </c>
      <c r="E5">
        <v>26.1</v>
      </c>
      <c r="F5">
        <v>0.55100000000000005</v>
      </c>
      <c r="G5">
        <v>67</v>
      </c>
      <c r="H5">
        <v>0</v>
      </c>
      <c r="M5">
        <v>0</v>
      </c>
      <c r="N5" s="1">
        <v>8</v>
      </c>
    </row>
    <row r="6" spans="2:14">
      <c r="B6">
        <v>146</v>
      </c>
      <c r="C6">
        <v>78</v>
      </c>
      <c r="D6">
        <v>0</v>
      </c>
      <c r="E6">
        <v>38.5</v>
      </c>
      <c r="F6">
        <v>0.52</v>
      </c>
      <c r="G6">
        <v>67</v>
      </c>
      <c r="H6">
        <v>1</v>
      </c>
      <c r="M6">
        <v>0</v>
      </c>
      <c r="N6" s="1">
        <v>4</v>
      </c>
    </row>
    <row r="7" spans="2:14">
      <c r="B7">
        <v>158</v>
      </c>
      <c r="C7">
        <v>90</v>
      </c>
      <c r="D7">
        <v>0</v>
      </c>
      <c r="E7">
        <v>31.6</v>
      </c>
      <c r="F7">
        <v>0.80500000000000005</v>
      </c>
      <c r="G7">
        <v>66</v>
      </c>
      <c r="H7">
        <v>1</v>
      </c>
      <c r="M7">
        <v>0</v>
      </c>
      <c r="N7" s="1">
        <v>2</v>
      </c>
    </row>
    <row r="8" spans="2:14">
      <c r="B8">
        <v>166</v>
      </c>
      <c r="C8">
        <v>74</v>
      </c>
      <c r="D8">
        <v>0</v>
      </c>
      <c r="E8">
        <v>26.6</v>
      </c>
      <c r="F8">
        <v>0.30399999999999999</v>
      </c>
      <c r="G8">
        <v>66</v>
      </c>
      <c r="H8">
        <v>0</v>
      </c>
      <c r="M8">
        <v>0</v>
      </c>
      <c r="N8" s="1">
        <v>6</v>
      </c>
    </row>
    <row r="9" spans="2:14">
      <c r="B9">
        <v>190</v>
      </c>
      <c r="C9">
        <v>92</v>
      </c>
      <c r="D9">
        <v>0</v>
      </c>
      <c r="E9">
        <v>35.5</v>
      </c>
      <c r="F9">
        <v>0.27800000000000002</v>
      </c>
      <c r="G9">
        <v>66</v>
      </c>
      <c r="H9">
        <v>1</v>
      </c>
      <c r="M9">
        <v>0</v>
      </c>
      <c r="N9" s="1">
        <v>6</v>
      </c>
    </row>
    <row r="10" spans="2:14">
      <c r="B10">
        <v>114</v>
      </c>
      <c r="C10">
        <v>88</v>
      </c>
      <c r="D10">
        <v>0</v>
      </c>
      <c r="E10">
        <v>27.8</v>
      </c>
      <c r="F10">
        <v>0.247</v>
      </c>
      <c r="G10">
        <v>66</v>
      </c>
      <c r="H10">
        <v>0</v>
      </c>
      <c r="M10">
        <v>0</v>
      </c>
      <c r="N10" s="1">
        <v>6</v>
      </c>
    </row>
    <row r="11" spans="2:14">
      <c r="B11">
        <v>161</v>
      </c>
      <c r="C11">
        <v>50</v>
      </c>
      <c r="D11">
        <v>0</v>
      </c>
      <c r="E11">
        <v>21.9</v>
      </c>
      <c r="F11">
        <v>0.254</v>
      </c>
      <c r="G11">
        <v>65</v>
      </c>
      <c r="H11">
        <v>0</v>
      </c>
      <c r="M11">
        <v>0</v>
      </c>
      <c r="N11" s="1">
        <v>0</v>
      </c>
    </row>
    <row r="12" spans="2:14">
      <c r="B12">
        <v>147</v>
      </c>
      <c r="C12">
        <v>78</v>
      </c>
      <c r="D12">
        <v>0</v>
      </c>
      <c r="E12">
        <v>33.700000000000003</v>
      </c>
      <c r="F12">
        <v>0.218</v>
      </c>
      <c r="G12">
        <v>65</v>
      </c>
      <c r="H12">
        <v>0</v>
      </c>
      <c r="M12">
        <v>0</v>
      </c>
      <c r="N12" s="1">
        <v>5</v>
      </c>
    </row>
    <row r="13" spans="2:14">
      <c r="B13">
        <v>120</v>
      </c>
      <c r="C13">
        <v>78</v>
      </c>
      <c r="D13">
        <v>0</v>
      </c>
      <c r="E13">
        <v>25</v>
      </c>
      <c r="F13">
        <v>0.40899999999999997</v>
      </c>
      <c r="G13">
        <v>64</v>
      </c>
      <c r="H13">
        <v>0</v>
      </c>
      <c r="M13">
        <v>0</v>
      </c>
      <c r="N13" s="1">
        <v>8</v>
      </c>
    </row>
    <row r="14" spans="2:14">
      <c r="B14">
        <v>132</v>
      </c>
      <c r="C14">
        <v>86</v>
      </c>
      <c r="D14">
        <v>0</v>
      </c>
      <c r="E14">
        <v>28</v>
      </c>
      <c r="F14">
        <v>0.41899999999999998</v>
      </c>
      <c r="G14">
        <v>63</v>
      </c>
      <c r="H14">
        <v>0</v>
      </c>
      <c r="M14">
        <v>31</v>
      </c>
      <c r="N14" s="1">
        <v>4</v>
      </c>
    </row>
    <row r="15" spans="2:14">
      <c r="B15">
        <v>158</v>
      </c>
      <c r="C15">
        <v>70</v>
      </c>
      <c r="D15">
        <v>0</v>
      </c>
      <c r="E15">
        <v>29.8</v>
      </c>
      <c r="F15">
        <v>0.20699999999999999</v>
      </c>
      <c r="G15">
        <v>63</v>
      </c>
      <c r="H15">
        <v>0</v>
      </c>
      <c r="M15">
        <v>0</v>
      </c>
      <c r="N15" s="1">
        <v>5</v>
      </c>
    </row>
    <row r="16" spans="2:14">
      <c r="B16">
        <v>142</v>
      </c>
      <c r="C16">
        <v>80</v>
      </c>
      <c r="D16">
        <v>0</v>
      </c>
      <c r="E16">
        <v>32.4</v>
      </c>
      <c r="F16">
        <v>0.2</v>
      </c>
      <c r="G16">
        <v>63</v>
      </c>
      <c r="H16">
        <v>0</v>
      </c>
      <c r="M16">
        <v>15</v>
      </c>
      <c r="N16" s="1">
        <v>3</v>
      </c>
    </row>
    <row r="17" spans="2:42">
      <c r="B17">
        <v>101</v>
      </c>
      <c r="C17">
        <v>76</v>
      </c>
      <c r="D17">
        <v>180</v>
      </c>
      <c r="E17">
        <v>32.9</v>
      </c>
      <c r="F17">
        <v>0.17100000000000001</v>
      </c>
      <c r="G17">
        <v>63</v>
      </c>
      <c r="H17">
        <v>0</v>
      </c>
      <c r="M17">
        <v>48</v>
      </c>
      <c r="N17" s="1">
        <v>10</v>
      </c>
    </row>
    <row r="18" spans="2:42">
      <c r="B18">
        <v>105</v>
      </c>
      <c r="C18">
        <v>84</v>
      </c>
      <c r="D18">
        <v>0</v>
      </c>
      <c r="E18">
        <v>27.9</v>
      </c>
      <c r="F18">
        <v>0.74099999999999999</v>
      </c>
      <c r="G18">
        <v>62</v>
      </c>
      <c r="H18">
        <v>1</v>
      </c>
      <c r="M18">
        <v>0</v>
      </c>
      <c r="N18" s="1">
        <v>0</v>
      </c>
    </row>
    <row r="19" spans="2:42">
      <c r="B19">
        <v>135</v>
      </c>
      <c r="C19">
        <v>54</v>
      </c>
      <c r="D19">
        <v>0</v>
      </c>
      <c r="E19">
        <v>26.7</v>
      </c>
      <c r="F19">
        <v>0.68700000000000006</v>
      </c>
      <c r="G19">
        <v>62</v>
      </c>
      <c r="H19">
        <v>0</v>
      </c>
      <c r="M19">
        <v>0</v>
      </c>
      <c r="N19" s="1">
        <v>1</v>
      </c>
    </row>
    <row r="20" spans="2:42">
      <c r="B20">
        <v>121</v>
      </c>
      <c r="C20">
        <v>78</v>
      </c>
      <c r="D20">
        <v>0</v>
      </c>
      <c r="E20">
        <v>26.5</v>
      </c>
      <c r="F20">
        <v>0.25900000000000001</v>
      </c>
      <c r="G20">
        <v>62</v>
      </c>
      <c r="H20">
        <v>0</v>
      </c>
      <c r="M20">
        <v>17</v>
      </c>
      <c r="N20" s="1">
        <v>12</v>
      </c>
      <c r="Q20" t="s">
        <v>22</v>
      </c>
      <c r="Z20" t="s">
        <v>23</v>
      </c>
      <c r="AC20" t="s">
        <v>24</v>
      </c>
      <c r="AK20" t="s">
        <v>25</v>
      </c>
      <c r="AM20" t="s">
        <v>26</v>
      </c>
    </row>
    <row r="21" spans="2:42" ht="15" thickBot="1">
      <c r="B21">
        <v>142</v>
      </c>
      <c r="C21">
        <v>60</v>
      </c>
      <c r="D21">
        <v>190</v>
      </c>
      <c r="E21">
        <v>28.8</v>
      </c>
      <c r="F21">
        <v>0.68700000000000006</v>
      </c>
      <c r="G21">
        <v>61</v>
      </c>
      <c r="H21">
        <v>0</v>
      </c>
      <c r="M21">
        <v>33</v>
      </c>
      <c r="N21" s="1">
        <v>7</v>
      </c>
      <c r="S21" t="s">
        <v>27</v>
      </c>
      <c r="T21">
        <v>20</v>
      </c>
      <c r="V21" t="s">
        <v>28</v>
      </c>
      <c r="W21">
        <v>0.05</v>
      </c>
    </row>
    <row r="22" spans="2:42" ht="15" thickTop="1">
      <c r="B22">
        <v>146</v>
      </c>
      <c r="C22">
        <v>92</v>
      </c>
      <c r="D22">
        <v>0</v>
      </c>
      <c r="E22">
        <v>31.2</v>
      </c>
      <c r="F22">
        <v>0.53900000000000003</v>
      </c>
      <c r="G22">
        <v>61</v>
      </c>
      <c r="H22">
        <v>1</v>
      </c>
      <c r="M22">
        <v>0</v>
      </c>
      <c r="N22" s="1">
        <v>4</v>
      </c>
      <c r="Q22" s="6" t="e" vm="1">
        <f t="array" ref="Q22:X29">[1]!LogitCoeff(B1:H712,TRUE,TRUE,TRUE,W21,T21)</f>
        <v>#VALUE!</v>
      </c>
      <c r="R22" s="6" t="e" vm="1">
        <v>#VALUE!</v>
      </c>
      <c r="S22" s="6" t="e" vm="1">
        <v>#VALUE!</v>
      </c>
      <c r="T22" s="6" t="e" vm="1">
        <v>#VALUE!</v>
      </c>
      <c r="U22" s="6" t="e" vm="1">
        <v>#VALUE!</v>
      </c>
      <c r="V22" s="6" t="e" vm="1">
        <v>#VALUE!</v>
      </c>
      <c r="W22" s="6" t="e" vm="1">
        <v>#VALUE!</v>
      </c>
      <c r="X22" s="6" t="e" vm="1">
        <v>#VALUE!</v>
      </c>
      <c r="Z22" t="e" vm="1">
        <f t="array" ref="Z22:AA31">[1]!LogitLL(B2:H712,R23:R29,TRUE)</f>
        <v>#VALUE!</v>
      </c>
      <c r="AA22" s="7" t="e" vm="1">
        <v>#VALUE!</v>
      </c>
      <c r="AC22" s="10" t="e" vm="1">
        <f t="array" ref="AC22:AI28">[1]!LogitCov(B2:H712,R23:R29)</f>
        <v>#VALUE!</v>
      </c>
      <c r="AD22" s="11" t="e" vm="1">
        <v>#VALUE!</v>
      </c>
      <c r="AE22" s="11" t="e" vm="1">
        <v>#VALUE!</v>
      </c>
      <c r="AF22" s="11" t="e" vm="1">
        <v>#VALUE!</v>
      </c>
      <c r="AG22" s="11" t="e" vm="1">
        <v>#VALUE!</v>
      </c>
      <c r="AH22" s="11" t="e" vm="1">
        <v>#VALUE!</v>
      </c>
      <c r="AI22" s="12" t="e" vm="1">
        <v>#VALUE!</v>
      </c>
      <c r="AK22" s="7" t="e" vm="1">
        <f t="array" ref="AK22:AK28">[1]!LogitConverge(B2:H712,R23:R29)</f>
        <v>#VALUE!</v>
      </c>
      <c r="AM22" t="e" vm="1">
        <f t="array" ref="AM22:AP26">[1]!LogitCorrect(B2:H712,R23:R29,TRUE,AN28)</f>
        <v>#VALUE!</v>
      </c>
      <c r="AN22" s="19" t="e" vm="1">
        <v>#VALUE!</v>
      </c>
      <c r="AO22" s="19" t="e" vm="1">
        <v>#VALUE!</v>
      </c>
      <c r="AP22" s="19" t="e" vm="1">
        <v>#VALUE!</v>
      </c>
    </row>
    <row r="23" spans="2:42">
      <c r="B23">
        <v>129</v>
      </c>
      <c r="C23">
        <v>90</v>
      </c>
      <c r="D23">
        <v>326</v>
      </c>
      <c r="E23">
        <v>19.600000000000001</v>
      </c>
      <c r="F23">
        <v>0.58199999999999996</v>
      </c>
      <c r="G23">
        <v>60</v>
      </c>
      <c r="H23">
        <v>0</v>
      </c>
      <c r="M23">
        <v>7</v>
      </c>
      <c r="N23" s="1">
        <v>6</v>
      </c>
      <c r="Q23" t="e" vm="1">
        <v>#VALUE!</v>
      </c>
      <c r="R23" t="e" vm="1">
        <v>#VALUE!</v>
      </c>
      <c r="S23" t="e" vm="1">
        <v>#VALUE!</v>
      </c>
      <c r="T23" t="e" vm="1">
        <v>#VALUE!</v>
      </c>
      <c r="U23" t="e" vm="1">
        <v>#VALUE!</v>
      </c>
      <c r="V23" t="e" vm="1">
        <v>#VALUE!</v>
      </c>
      <c r="W23" t="e" vm="1">
        <v>#VALUE!</v>
      </c>
      <c r="X23" t="e" vm="1">
        <v>#VALUE!</v>
      </c>
      <c r="Z23" t="e" vm="1">
        <v>#VALUE!</v>
      </c>
      <c r="AA23" s="8" t="e" vm="1">
        <v>#VALUE!</v>
      </c>
      <c r="AC23" s="13" t="e" vm="1">
        <v>#VALUE!</v>
      </c>
      <c r="AD23" t="e" vm="1">
        <v>#VALUE!</v>
      </c>
      <c r="AE23" t="e" vm="1">
        <v>#VALUE!</v>
      </c>
      <c r="AF23" t="e" vm="1">
        <v>#VALUE!</v>
      </c>
      <c r="AG23" t="e" vm="1">
        <v>#VALUE!</v>
      </c>
      <c r="AH23" t="e" vm="1">
        <v>#VALUE!</v>
      </c>
      <c r="AI23" s="14" t="e" vm="1">
        <v>#VALUE!</v>
      </c>
      <c r="AK23" s="8" t="e" vm="1">
        <v>#VALUE!</v>
      </c>
      <c r="AM23" t="e" vm="1">
        <v>#VALUE!</v>
      </c>
      <c r="AN23" s="10" t="e" vm="1">
        <v>#VALUE!</v>
      </c>
      <c r="AO23" s="12" t="e" vm="1">
        <v>#VALUE!</v>
      </c>
      <c r="AP23" t="e" vm="1">
        <v>#VALUE!</v>
      </c>
    </row>
    <row r="24" spans="2:42">
      <c r="B24">
        <v>109</v>
      </c>
      <c r="C24">
        <v>75</v>
      </c>
      <c r="D24">
        <v>0</v>
      </c>
      <c r="E24">
        <v>36</v>
      </c>
      <c r="F24">
        <v>0.54600000000000004</v>
      </c>
      <c r="G24">
        <v>60</v>
      </c>
      <c r="H24">
        <v>0</v>
      </c>
      <c r="M24">
        <v>26</v>
      </c>
      <c r="N24" s="1">
        <v>5</v>
      </c>
      <c r="Q24" t="e" vm="1">
        <v>#VALUE!</v>
      </c>
      <c r="R24" t="e" vm="1">
        <v>#VALUE!</v>
      </c>
      <c r="S24" t="e" vm="1">
        <v>#VALUE!</v>
      </c>
      <c r="T24" t="e" vm="1">
        <v>#VALUE!</v>
      </c>
      <c r="U24" t="e" vm="1">
        <v>#VALUE!</v>
      </c>
      <c r="V24" t="e" vm="1">
        <v>#VALUE!</v>
      </c>
      <c r="W24" t="e" vm="1">
        <v>#VALUE!</v>
      </c>
      <c r="X24" t="e" vm="1">
        <v>#VALUE!</v>
      </c>
      <c r="Z24" t="e" vm="1">
        <v>#VALUE!</v>
      </c>
      <c r="AA24" s="8" t="e" vm="1">
        <v>#VALUE!</v>
      </c>
      <c r="AC24" s="13" t="e" vm="1">
        <v>#VALUE!</v>
      </c>
      <c r="AD24" t="e" vm="1">
        <v>#VALUE!</v>
      </c>
      <c r="AE24" t="e" vm="1">
        <v>#VALUE!</v>
      </c>
      <c r="AF24" t="e" vm="1">
        <v>#VALUE!</v>
      </c>
      <c r="AG24" t="e" vm="1">
        <v>#VALUE!</v>
      </c>
      <c r="AH24" t="e" vm="1">
        <v>#VALUE!</v>
      </c>
      <c r="AI24" s="14" t="e" vm="1">
        <v>#VALUE!</v>
      </c>
      <c r="AK24" s="8" t="e" vm="1">
        <v>#VALUE!</v>
      </c>
      <c r="AM24" t="e" vm="1">
        <v>#VALUE!</v>
      </c>
      <c r="AN24" s="15" t="e" vm="1">
        <v>#VALUE!</v>
      </c>
      <c r="AO24" s="17" t="e" vm="1">
        <v>#VALUE!</v>
      </c>
      <c r="AP24" t="e" vm="1">
        <v>#VALUE!</v>
      </c>
    </row>
    <row r="25" spans="2:42">
      <c r="B25">
        <v>134</v>
      </c>
      <c r="C25">
        <v>72</v>
      </c>
      <c r="D25">
        <v>0</v>
      </c>
      <c r="E25">
        <v>23.8</v>
      </c>
      <c r="F25">
        <v>0.27700000000000002</v>
      </c>
      <c r="G25">
        <v>60</v>
      </c>
      <c r="H25">
        <v>1</v>
      </c>
      <c r="M25">
        <v>0</v>
      </c>
      <c r="N25" s="1">
        <v>4</v>
      </c>
      <c r="Q25" t="e" vm="1">
        <v>#VALUE!</v>
      </c>
      <c r="R25" t="e" vm="1">
        <v>#VALUE!</v>
      </c>
      <c r="S25" t="e" vm="1">
        <v>#VALUE!</v>
      </c>
      <c r="T25" t="e" vm="1">
        <v>#VALUE!</v>
      </c>
      <c r="U25" t="e" vm="1">
        <v>#VALUE!</v>
      </c>
      <c r="V25" t="e" vm="1">
        <v>#VALUE!</v>
      </c>
      <c r="W25" t="e" vm="1">
        <v>#VALUE!</v>
      </c>
      <c r="X25" t="e" vm="1">
        <v>#VALUE!</v>
      </c>
      <c r="Z25" t="e" vm="1">
        <v>#VALUE!</v>
      </c>
      <c r="AA25" s="8" t="e" vm="1">
        <v>#VALUE!</v>
      </c>
      <c r="AC25" s="13" t="e" vm="1">
        <v>#VALUE!</v>
      </c>
      <c r="AD25" t="e" vm="1">
        <v>#VALUE!</v>
      </c>
      <c r="AE25" t="e" vm="1">
        <v>#VALUE!</v>
      </c>
      <c r="AF25" t="e" vm="1">
        <v>#VALUE!</v>
      </c>
      <c r="AG25" t="e" vm="1">
        <v>#VALUE!</v>
      </c>
      <c r="AH25" t="e" vm="1">
        <v>#VALUE!</v>
      </c>
      <c r="AI25" s="14" t="e" vm="1">
        <v>#VALUE!</v>
      </c>
      <c r="AK25" s="8" t="e" vm="1">
        <v>#VALUE!</v>
      </c>
      <c r="AM25" t="e" vm="1">
        <v>#VALUE!</v>
      </c>
      <c r="AN25" t="e" vm="1">
        <v>#VALUE!</v>
      </c>
      <c r="AO25" t="e" vm="1">
        <v>#VALUE!</v>
      </c>
      <c r="AP25" t="e" vm="1">
        <v>#VALUE!</v>
      </c>
    </row>
    <row r="26" spans="2:42">
      <c r="B26">
        <v>179</v>
      </c>
      <c r="C26">
        <v>95</v>
      </c>
      <c r="D26">
        <v>0</v>
      </c>
      <c r="E26">
        <v>34.200000000000003</v>
      </c>
      <c r="F26">
        <v>0.16400000000000001</v>
      </c>
      <c r="G26">
        <v>60</v>
      </c>
      <c r="H26">
        <v>0</v>
      </c>
      <c r="M26">
        <v>31</v>
      </c>
      <c r="N26" s="1">
        <v>7</v>
      </c>
      <c r="Q26" t="e" vm="1">
        <v>#VALUE!</v>
      </c>
      <c r="R26" t="e" vm="1">
        <v>#VALUE!</v>
      </c>
      <c r="S26" t="e" vm="1">
        <v>#VALUE!</v>
      </c>
      <c r="T26" t="e" vm="1">
        <v>#VALUE!</v>
      </c>
      <c r="U26" t="e" vm="1">
        <v>#VALUE!</v>
      </c>
      <c r="V26" t="e" vm="1">
        <v>#VALUE!</v>
      </c>
      <c r="W26" t="e" vm="1">
        <v>#VALUE!</v>
      </c>
      <c r="X26" t="e" vm="1">
        <v>#VALUE!</v>
      </c>
      <c r="Z26" t="e" vm="1">
        <v>#VALUE!</v>
      </c>
      <c r="AA26" s="8" t="e" vm="1">
        <v>#VALUE!</v>
      </c>
      <c r="AC26" s="13" t="e" vm="1">
        <v>#VALUE!</v>
      </c>
      <c r="AD26" t="e" vm="1">
        <v>#VALUE!</v>
      </c>
      <c r="AE26" t="e" vm="1">
        <v>#VALUE!</v>
      </c>
      <c r="AF26" t="e" vm="1">
        <v>#VALUE!</v>
      </c>
      <c r="AG26" t="e" vm="1">
        <v>#VALUE!</v>
      </c>
      <c r="AH26" t="e" vm="1">
        <v>#VALUE!</v>
      </c>
      <c r="AI26" s="14" t="e" vm="1">
        <v>#VALUE!</v>
      </c>
      <c r="AK26" s="8" t="e" vm="1">
        <v>#VALUE!</v>
      </c>
      <c r="AM26" t="e" vm="1">
        <v>#VALUE!</v>
      </c>
      <c r="AN26" t="e" vm="1">
        <v>#VALUE!</v>
      </c>
      <c r="AO26" t="e" vm="1">
        <v>#VALUE!</v>
      </c>
      <c r="AP26" t="e" vm="1">
        <v>#VALUE!</v>
      </c>
    </row>
    <row r="27" spans="2:42">
      <c r="B27">
        <v>137</v>
      </c>
      <c r="C27">
        <v>84</v>
      </c>
      <c r="D27">
        <v>0</v>
      </c>
      <c r="E27">
        <v>27.3</v>
      </c>
      <c r="F27">
        <v>0.23100000000000001</v>
      </c>
      <c r="G27">
        <v>59</v>
      </c>
      <c r="H27">
        <v>0</v>
      </c>
      <c r="M27">
        <v>27</v>
      </c>
      <c r="N27" s="1">
        <v>0</v>
      </c>
      <c r="Q27" t="e" vm="1">
        <v>#VALUE!</v>
      </c>
      <c r="R27" t="e" vm="1">
        <v>#VALUE!</v>
      </c>
      <c r="S27" t="e" vm="1">
        <v>#VALUE!</v>
      </c>
      <c r="T27" t="e" vm="1">
        <v>#VALUE!</v>
      </c>
      <c r="U27" t="e" vm="1">
        <v>#VALUE!</v>
      </c>
      <c r="V27" t="e" vm="1">
        <v>#VALUE!</v>
      </c>
      <c r="W27" t="e" vm="1">
        <v>#VALUE!</v>
      </c>
      <c r="X27" t="e" vm="1">
        <v>#VALUE!</v>
      </c>
      <c r="Z27" t="e" vm="1">
        <v>#VALUE!</v>
      </c>
      <c r="AA27" s="8" t="e" vm="1">
        <v>#VALUE!</v>
      </c>
      <c r="AC27" s="13" t="e" vm="1">
        <v>#VALUE!</v>
      </c>
      <c r="AD27" t="e" vm="1">
        <v>#VALUE!</v>
      </c>
      <c r="AE27" t="e" vm="1">
        <v>#VALUE!</v>
      </c>
      <c r="AF27" t="e" vm="1">
        <v>#VALUE!</v>
      </c>
      <c r="AG27" t="e" vm="1">
        <v>#VALUE!</v>
      </c>
      <c r="AH27" t="e" vm="1">
        <v>#VALUE!</v>
      </c>
      <c r="AI27" s="14" t="e" vm="1">
        <v>#VALUE!</v>
      </c>
      <c r="AK27" s="8" t="e" vm="1">
        <v>#VALUE!</v>
      </c>
    </row>
    <row r="28" spans="2:42">
      <c r="B28">
        <v>194</v>
      </c>
      <c r="C28">
        <v>78</v>
      </c>
      <c r="D28">
        <v>0</v>
      </c>
      <c r="E28">
        <v>23.5</v>
      </c>
      <c r="F28">
        <v>0.129</v>
      </c>
      <c r="G28">
        <v>59</v>
      </c>
      <c r="H28">
        <v>1</v>
      </c>
      <c r="M28">
        <v>0</v>
      </c>
      <c r="N28" s="1">
        <v>6</v>
      </c>
      <c r="Q28" t="e" vm="1">
        <v>#VALUE!</v>
      </c>
      <c r="R28" t="e" vm="1">
        <v>#VALUE!</v>
      </c>
      <c r="S28" t="e" vm="1">
        <v>#VALUE!</v>
      </c>
      <c r="T28" t="e" vm="1">
        <v>#VALUE!</v>
      </c>
      <c r="U28" t="e" vm="1">
        <v>#VALUE!</v>
      </c>
      <c r="V28" t="e" vm="1">
        <v>#VALUE!</v>
      </c>
      <c r="W28" t="e" vm="1">
        <v>#VALUE!</v>
      </c>
      <c r="X28" t="e" vm="1">
        <v>#VALUE!</v>
      </c>
      <c r="Z28" t="e" vm="1">
        <v>#VALUE!</v>
      </c>
      <c r="AA28" s="8" t="e" vm="1">
        <v>#VALUE!</v>
      </c>
      <c r="AC28" s="15" t="e" vm="1">
        <v>#VALUE!</v>
      </c>
      <c r="AD28" s="16" t="e" vm="1">
        <v>#VALUE!</v>
      </c>
      <c r="AE28" s="16" t="e" vm="1">
        <v>#VALUE!</v>
      </c>
      <c r="AF28" s="16" t="e" vm="1">
        <v>#VALUE!</v>
      </c>
      <c r="AG28" s="16" t="e" vm="1">
        <v>#VALUE!</v>
      </c>
      <c r="AH28" s="16" t="e" vm="1">
        <v>#VALUE!</v>
      </c>
      <c r="AI28" s="17" t="e" vm="1">
        <v>#VALUE!</v>
      </c>
      <c r="AK28" s="9" t="e" vm="1">
        <v>#VALUE!</v>
      </c>
      <c r="AM28" t="s">
        <v>29</v>
      </c>
      <c r="AN28" s="18">
        <v>0.5</v>
      </c>
    </row>
    <row r="29" spans="2:42">
      <c r="B29">
        <v>173</v>
      </c>
      <c r="C29">
        <v>78</v>
      </c>
      <c r="D29">
        <v>265</v>
      </c>
      <c r="E29">
        <v>46.5</v>
      </c>
      <c r="F29">
        <v>1.159</v>
      </c>
      <c r="G29">
        <v>58</v>
      </c>
      <c r="H29">
        <v>0</v>
      </c>
      <c r="M29">
        <v>32</v>
      </c>
      <c r="N29" s="1">
        <v>0</v>
      </c>
      <c r="Q29" s="5" t="e" vm="1">
        <v>#VALUE!</v>
      </c>
      <c r="R29" s="5" t="e" vm="1">
        <v>#VALUE!</v>
      </c>
      <c r="S29" s="5" t="e" vm="1">
        <v>#VALUE!</v>
      </c>
      <c r="T29" s="5" t="e" vm="1">
        <v>#VALUE!</v>
      </c>
      <c r="U29" s="5" t="e" vm="1">
        <v>#VALUE!</v>
      </c>
      <c r="V29" s="5" t="e" vm="1">
        <v>#VALUE!</v>
      </c>
      <c r="W29" s="5" t="e" vm="1">
        <v>#VALUE!</v>
      </c>
      <c r="X29" s="5" t="e" vm="1">
        <v>#VALUE!</v>
      </c>
      <c r="Z29" t="e" vm="1">
        <v>#VALUE!</v>
      </c>
      <c r="AA29" s="8" t="e" vm="1">
        <v>#VALUE!</v>
      </c>
    </row>
    <row r="30" spans="2:42">
      <c r="B30">
        <v>112</v>
      </c>
      <c r="C30">
        <v>72</v>
      </c>
      <c r="D30">
        <v>0</v>
      </c>
      <c r="E30">
        <v>23.6</v>
      </c>
      <c r="F30">
        <v>0.84</v>
      </c>
      <c r="G30">
        <v>58</v>
      </c>
      <c r="H30">
        <v>0</v>
      </c>
      <c r="M30">
        <v>0</v>
      </c>
      <c r="N30" s="1">
        <v>8</v>
      </c>
      <c r="Z30" t="e" vm="1">
        <v>#VALUE!</v>
      </c>
      <c r="AA30" s="8" t="e" vm="1">
        <v>#VALUE!</v>
      </c>
      <c r="AM30" t="s">
        <v>30</v>
      </c>
      <c r="AN30" s="18" t="e" vm="1">
        <f>[1]!LogitAUC(B2:H712,R23:R29)</f>
        <v>#VALUE!</v>
      </c>
    </row>
    <row r="31" spans="2:42">
      <c r="B31">
        <v>140</v>
      </c>
      <c r="C31">
        <v>82</v>
      </c>
      <c r="D31">
        <v>325</v>
      </c>
      <c r="E31">
        <v>39.200000000000003</v>
      </c>
      <c r="F31">
        <v>0.52800000000000002</v>
      </c>
      <c r="G31">
        <v>58</v>
      </c>
      <c r="H31">
        <v>1</v>
      </c>
      <c r="M31">
        <v>43</v>
      </c>
      <c r="N31" s="1">
        <v>12</v>
      </c>
      <c r="Z31" t="e" vm="1">
        <v>#VALUE!</v>
      </c>
      <c r="AA31" s="9" t="e" vm="1">
        <v>#VALUE!</v>
      </c>
    </row>
    <row r="32" spans="2:42">
      <c r="B32">
        <v>176</v>
      </c>
      <c r="C32">
        <v>90</v>
      </c>
      <c r="D32">
        <v>300</v>
      </c>
      <c r="E32">
        <v>33.700000000000003</v>
      </c>
      <c r="F32">
        <v>0.46700000000000003</v>
      </c>
      <c r="G32">
        <v>58</v>
      </c>
      <c r="H32">
        <v>1</v>
      </c>
      <c r="M32">
        <v>34</v>
      </c>
      <c r="N32" s="1">
        <v>8</v>
      </c>
    </row>
    <row r="33" spans="2:14">
      <c r="B33">
        <v>144</v>
      </c>
      <c r="C33">
        <v>82</v>
      </c>
      <c r="D33">
        <v>285</v>
      </c>
      <c r="E33">
        <v>32</v>
      </c>
      <c r="F33">
        <v>0.45200000000000001</v>
      </c>
      <c r="G33">
        <v>58</v>
      </c>
      <c r="H33">
        <v>1</v>
      </c>
      <c r="M33">
        <v>26</v>
      </c>
      <c r="N33" s="1">
        <v>5</v>
      </c>
    </row>
    <row r="34" spans="2:14">
      <c r="B34">
        <v>110</v>
      </c>
      <c r="C34">
        <v>76</v>
      </c>
      <c r="D34">
        <v>0</v>
      </c>
      <c r="E34">
        <v>27.8</v>
      </c>
      <c r="F34">
        <v>0.23699999999999999</v>
      </c>
      <c r="G34">
        <v>58</v>
      </c>
      <c r="H34">
        <v>0</v>
      </c>
      <c r="M34">
        <v>0</v>
      </c>
      <c r="N34" s="1">
        <v>8</v>
      </c>
    </row>
    <row r="35" spans="2:14">
      <c r="B35">
        <v>91</v>
      </c>
      <c r="C35">
        <v>68</v>
      </c>
      <c r="D35">
        <v>0</v>
      </c>
      <c r="E35">
        <v>24.2</v>
      </c>
      <c r="F35">
        <v>0.2</v>
      </c>
      <c r="G35">
        <v>58</v>
      </c>
      <c r="H35">
        <v>0</v>
      </c>
      <c r="M35">
        <v>0</v>
      </c>
      <c r="N35" s="1">
        <v>9</v>
      </c>
    </row>
    <row r="36" spans="2:14">
      <c r="B36">
        <v>139</v>
      </c>
      <c r="C36">
        <v>80</v>
      </c>
      <c r="D36">
        <v>0</v>
      </c>
      <c r="E36">
        <v>27.1</v>
      </c>
      <c r="F36">
        <v>0.46567787114845849</v>
      </c>
      <c r="G36">
        <v>57</v>
      </c>
      <c r="H36">
        <v>0</v>
      </c>
      <c r="M36">
        <v>0</v>
      </c>
      <c r="N36" s="1">
        <v>10</v>
      </c>
    </row>
    <row r="37" spans="2:14">
      <c r="B37">
        <v>114</v>
      </c>
      <c r="C37">
        <v>74</v>
      </c>
      <c r="D37">
        <v>0</v>
      </c>
      <c r="E37">
        <v>24.9</v>
      </c>
      <c r="F37">
        <v>0.74399999999999999</v>
      </c>
      <c r="G37">
        <v>57</v>
      </c>
      <c r="H37">
        <v>0</v>
      </c>
      <c r="M37">
        <v>0</v>
      </c>
      <c r="N37" s="1">
        <v>5</v>
      </c>
    </row>
    <row r="38" spans="2:14">
      <c r="B38">
        <v>196</v>
      </c>
      <c r="C38">
        <v>76</v>
      </c>
      <c r="D38">
        <v>280</v>
      </c>
      <c r="E38">
        <v>37.5</v>
      </c>
      <c r="F38">
        <v>0.60499999999999998</v>
      </c>
      <c r="G38">
        <v>57</v>
      </c>
      <c r="H38">
        <v>1</v>
      </c>
      <c r="M38">
        <v>29</v>
      </c>
      <c r="N38" s="1">
        <v>8</v>
      </c>
    </row>
    <row r="39" spans="2:14">
      <c r="B39">
        <v>95</v>
      </c>
      <c r="C39">
        <v>72</v>
      </c>
      <c r="D39">
        <v>0</v>
      </c>
      <c r="E39">
        <v>36.799999999999997</v>
      </c>
      <c r="F39">
        <v>0.48499999999999999</v>
      </c>
      <c r="G39">
        <v>57</v>
      </c>
      <c r="H39">
        <v>0</v>
      </c>
      <c r="M39">
        <v>0</v>
      </c>
      <c r="N39" s="1">
        <v>8</v>
      </c>
    </row>
    <row r="40" spans="2:14">
      <c r="B40">
        <v>145</v>
      </c>
      <c r="C40">
        <v>82</v>
      </c>
      <c r="D40">
        <v>110</v>
      </c>
      <c r="E40">
        <v>22.2</v>
      </c>
      <c r="F40">
        <v>0.245</v>
      </c>
      <c r="G40">
        <v>57</v>
      </c>
      <c r="H40">
        <v>0</v>
      </c>
      <c r="M40">
        <v>19</v>
      </c>
      <c r="N40" s="1">
        <v>13</v>
      </c>
    </row>
    <row r="41" spans="2:14">
      <c r="B41">
        <v>111</v>
      </c>
      <c r="C41">
        <v>72</v>
      </c>
      <c r="D41">
        <v>207</v>
      </c>
      <c r="E41">
        <v>37.1</v>
      </c>
      <c r="F41">
        <v>0.46567787114845849</v>
      </c>
      <c r="G41">
        <v>56</v>
      </c>
      <c r="H41">
        <v>1</v>
      </c>
      <c r="M41">
        <v>47</v>
      </c>
      <c r="N41" s="1">
        <v>4</v>
      </c>
    </row>
    <row r="42" spans="2:14">
      <c r="B42">
        <v>90</v>
      </c>
      <c r="C42">
        <v>85</v>
      </c>
      <c r="D42">
        <v>0</v>
      </c>
      <c r="E42">
        <v>34.9</v>
      </c>
      <c r="F42">
        <v>0.82499999999999996</v>
      </c>
      <c r="G42">
        <v>56</v>
      </c>
      <c r="H42">
        <v>1</v>
      </c>
      <c r="M42">
        <v>32</v>
      </c>
      <c r="N42" s="1">
        <v>10</v>
      </c>
    </row>
    <row r="43" spans="2:14">
      <c r="B43">
        <v>94</v>
      </c>
      <c r="C43">
        <v>72</v>
      </c>
      <c r="D43">
        <v>0</v>
      </c>
      <c r="E43">
        <v>23.1</v>
      </c>
      <c r="F43">
        <v>0.59499999999999997</v>
      </c>
      <c r="G43">
        <v>56</v>
      </c>
      <c r="H43">
        <v>0</v>
      </c>
      <c r="M43">
        <v>18</v>
      </c>
      <c r="N43" s="1">
        <v>10</v>
      </c>
    </row>
    <row r="44" spans="2:14">
      <c r="B44">
        <v>103</v>
      </c>
      <c r="C44">
        <v>72</v>
      </c>
      <c r="D44">
        <v>190</v>
      </c>
      <c r="E44">
        <v>37.700000000000003</v>
      </c>
      <c r="F44">
        <v>0.32400000000000001</v>
      </c>
      <c r="G44">
        <v>55</v>
      </c>
      <c r="H44">
        <v>0</v>
      </c>
      <c r="M44">
        <v>32</v>
      </c>
      <c r="N44" s="1">
        <v>6</v>
      </c>
    </row>
    <row r="45" spans="2:14">
      <c r="B45">
        <v>128</v>
      </c>
      <c r="C45">
        <v>78</v>
      </c>
      <c r="D45">
        <v>0</v>
      </c>
      <c r="E45">
        <v>21.1</v>
      </c>
      <c r="F45">
        <v>0.26800000000000002</v>
      </c>
      <c r="G45">
        <v>55</v>
      </c>
      <c r="H45">
        <v>0</v>
      </c>
      <c r="M45">
        <v>0</v>
      </c>
      <c r="N45" s="1">
        <v>3</v>
      </c>
    </row>
    <row r="46" spans="2:14">
      <c r="B46">
        <v>195</v>
      </c>
      <c r="C46">
        <v>70</v>
      </c>
      <c r="D46">
        <v>145</v>
      </c>
      <c r="E46">
        <v>25.1</v>
      </c>
      <c r="F46">
        <v>0.16300000000000001</v>
      </c>
      <c r="G46">
        <v>55</v>
      </c>
      <c r="H46">
        <v>1</v>
      </c>
      <c r="M46">
        <v>33</v>
      </c>
      <c r="N46" s="1">
        <v>7</v>
      </c>
    </row>
    <row r="47" spans="2:14">
      <c r="B47">
        <v>137</v>
      </c>
      <c r="C47">
        <v>61</v>
      </c>
      <c r="D47">
        <v>0</v>
      </c>
      <c r="E47">
        <v>24.2</v>
      </c>
      <c r="F47">
        <v>0.151</v>
      </c>
      <c r="G47">
        <v>55</v>
      </c>
      <c r="H47">
        <v>0</v>
      </c>
      <c r="M47">
        <v>0</v>
      </c>
      <c r="N47" s="1">
        <v>6</v>
      </c>
    </row>
    <row r="48" spans="2:14">
      <c r="B48">
        <v>109</v>
      </c>
      <c r="C48">
        <v>92</v>
      </c>
      <c r="D48">
        <v>0</v>
      </c>
      <c r="E48">
        <v>42.7</v>
      </c>
      <c r="F48">
        <v>0.84499999999999997</v>
      </c>
      <c r="G48">
        <v>54</v>
      </c>
      <c r="H48">
        <v>0</v>
      </c>
      <c r="M48">
        <v>0</v>
      </c>
      <c r="N48" s="1">
        <v>2</v>
      </c>
    </row>
    <row r="49" spans="2:14">
      <c r="B49">
        <v>150</v>
      </c>
      <c r="C49">
        <v>78</v>
      </c>
      <c r="D49">
        <v>126</v>
      </c>
      <c r="E49">
        <v>35.200000000000003</v>
      </c>
      <c r="F49">
        <v>0.69199999999999995</v>
      </c>
      <c r="G49">
        <v>54</v>
      </c>
      <c r="H49">
        <v>1</v>
      </c>
      <c r="M49">
        <v>29</v>
      </c>
      <c r="N49" s="1">
        <v>7</v>
      </c>
    </row>
    <row r="50" spans="2:14">
      <c r="B50">
        <v>162</v>
      </c>
      <c r="C50">
        <v>84</v>
      </c>
      <c r="D50">
        <v>0</v>
      </c>
      <c r="E50">
        <v>27.7</v>
      </c>
      <c r="F50">
        <v>0.182</v>
      </c>
      <c r="G50">
        <v>54</v>
      </c>
      <c r="H50">
        <v>0</v>
      </c>
      <c r="M50">
        <v>0</v>
      </c>
      <c r="N50" s="1">
        <v>10</v>
      </c>
    </row>
    <row r="51" spans="2:14">
      <c r="B51">
        <v>125</v>
      </c>
      <c r="C51">
        <v>76</v>
      </c>
      <c r="D51">
        <v>0</v>
      </c>
      <c r="E51">
        <v>33.799999999999997</v>
      </c>
      <c r="F51">
        <v>0.121</v>
      </c>
      <c r="G51">
        <v>54</v>
      </c>
      <c r="H51">
        <v>1</v>
      </c>
      <c r="M51">
        <v>0</v>
      </c>
      <c r="N51" s="1">
        <v>6</v>
      </c>
    </row>
    <row r="52" spans="2:14">
      <c r="B52">
        <v>187</v>
      </c>
      <c r="C52">
        <v>76</v>
      </c>
      <c r="D52">
        <v>207</v>
      </c>
      <c r="E52">
        <v>43.6</v>
      </c>
      <c r="F52">
        <v>1.034</v>
      </c>
      <c r="G52">
        <v>53</v>
      </c>
      <c r="H52">
        <v>1</v>
      </c>
      <c r="M52">
        <v>27</v>
      </c>
      <c r="N52" s="1">
        <v>5</v>
      </c>
    </row>
    <row r="53" spans="2:14">
      <c r="B53">
        <v>145</v>
      </c>
      <c r="C53">
        <v>88</v>
      </c>
      <c r="D53">
        <v>165</v>
      </c>
      <c r="E53">
        <v>30.3</v>
      </c>
      <c r="F53">
        <v>0.77100000000000002</v>
      </c>
      <c r="G53">
        <v>53</v>
      </c>
      <c r="H53">
        <v>1</v>
      </c>
      <c r="M53">
        <v>34</v>
      </c>
      <c r="N53" s="1">
        <v>9</v>
      </c>
    </row>
    <row r="54" spans="2:14">
      <c r="B54">
        <v>105</v>
      </c>
      <c r="C54">
        <v>75</v>
      </c>
      <c r="D54">
        <v>0</v>
      </c>
      <c r="E54">
        <v>23.3</v>
      </c>
      <c r="F54">
        <v>0.56000000000000005</v>
      </c>
      <c r="G54">
        <v>53</v>
      </c>
      <c r="H54">
        <v>0</v>
      </c>
      <c r="M54">
        <v>0</v>
      </c>
      <c r="N54" s="1">
        <v>2</v>
      </c>
    </row>
    <row r="55" spans="2:14">
      <c r="B55">
        <v>156</v>
      </c>
      <c r="C55">
        <v>86</v>
      </c>
      <c r="D55">
        <v>0</v>
      </c>
      <c r="E55">
        <v>24.8</v>
      </c>
      <c r="F55">
        <v>0.23</v>
      </c>
      <c r="G55">
        <v>53</v>
      </c>
      <c r="H55">
        <v>1</v>
      </c>
      <c r="M55">
        <v>0</v>
      </c>
      <c r="N55" s="1">
        <v>9</v>
      </c>
    </row>
    <row r="56" spans="2:14">
      <c r="B56">
        <v>176</v>
      </c>
      <c r="C56">
        <v>86</v>
      </c>
      <c r="D56">
        <v>156</v>
      </c>
      <c r="E56">
        <v>33.299999999999997</v>
      </c>
      <c r="F56">
        <v>1.1539999999999999</v>
      </c>
      <c r="G56">
        <v>52</v>
      </c>
      <c r="H56">
        <v>1</v>
      </c>
      <c r="M56">
        <v>27</v>
      </c>
      <c r="N56" s="1">
        <v>3</v>
      </c>
    </row>
    <row r="57" spans="2:14">
      <c r="B57">
        <v>168</v>
      </c>
      <c r="C57">
        <v>88</v>
      </c>
      <c r="D57">
        <v>0</v>
      </c>
      <c r="E57">
        <v>35</v>
      </c>
      <c r="F57">
        <v>0.90500000000000003</v>
      </c>
      <c r="G57">
        <v>52</v>
      </c>
      <c r="H57">
        <v>1</v>
      </c>
      <c r="M57">
        <v>29</v>
      </c>
      <c r="N57" s="1">
        <v>1</v>
      </c>
    </row>
    <row r="58" spans="2:14">
      <c r="B58">
        <v>97</v>
      </c>
      <c r="C58">
        <v>76</v>
      </c>
      <c r="D58">
        <v>0</v>
      </c>
      <c r="E58">
        <v>35.6</v>
      </c>
      <c r="F58">
        <v>0.378</v>
      </c>
      <c r="G58">
        <v>52</v>
      </c>
      <c r="H58">
        <v>1</v>
      </c>
      <c r="M58">
        <v>27</v>
      </c>
      <c r="N58" s="1">
        <v>5</v>
      </c>
    </row>
    <row r="59" spans="2:14">
      <c r="B59">
        <v>108</v>
      </c>
      <c r="C59">
        <v>80</v>
      </c>
      <c r="D59">
        <v>0</v>
      </c>
      <c r="E59">
        <v>27</v>
      </c>
      <c r="F59">
        <v>0.25900000000000001</v>
      </c>
      <c r="G59">
        <v>52</v>
      </c>
      <c r="H59">
        <v>1</v>
      </c>
      <c r="M59">
        <v>0</v>
      </c>
      <c r="N59" s="1">
        <v>2</v>
      </c>
    </row>
    <row r="60" spans="2:14">
      <c r="B60">
        <v>123</v>
      </c>
      <c r="C60">
        <v>72</v>
      </c>
      <c r="D60">
        <v>0</v>
      </c>
      <c r="E60">
        <v>36.299999999999997</v>
      </c>
      <c r="F60">
        <v>0.25800000000000001</v>
      </c>
      <c r="G60">
        <v>52</v>
      </c>
      <c r="H60">
        <v>1</v>
      </c>
      <c r="M60">
        <v>0</v>
      </c>
      <c r="N60" s="1">
        <v>0</v>
      </c>
    </row>
    <row r="61" spans="2:14">
      <c r="B61">
        <v>106</v>
      </c>
      <c r="C61">
        <v>70</v>
      </c>
      <c r="D61">
        <v>0</v>
      </c>
      <c r="E61">
        <v>34.200000000000003</v>
      </c>
      <c r="F61">
        <v>0.251</v>
      </c>
      <c r="G61">
        <v>52</v>
      </c>
      <c r="H61">
        <v>0</v>
      </c>
      <c r="M61">
        <v>0</v>
      </c>
      <c r="N61" s="1">
        <v>13</v>
      </c>
    </row>
    <row r="62" spans="2:14">
      <c r="B62">
        <v>162</v>
      </c>
      <c r="C62">
        <v>104</v>
      </c>
      <c r="D62">
        <v>0</v>
      </c>
      <c r="E62">
        <v>37.700000000000003</v>
      </c>
      <c r="F62">
        <v>0.151</v>
      </c>
      <c r="G62">
        <v>52</v>
      </c>
      <c r="H62">
        <v>1</v>
      </c>
      <c r="M62">
        <v>0</v>
      </c>
      <c r="N62" s="1">
        <v>5</v>
      </c>
    </row>
    <row r="63" spans="2:14">
      <c r="B63">
        <v>155</v>
      </c>
      <c r="C63">
        <v>76</v>
      </c>
      <c r="D63">
        <v>150</v>
      </c>
      <c r="E63">
        <v>33.299999999999997</v>
      </c>
      <c r="F63">
        <v>0.46567787114845849</v>
      </c>
      <c r="G63">
        <v>51</v>
      </c>
      <c r="H63">
        <v>1</v>
      </c>
      <c r="M63">
        <v>28</v>
      </c>
      <c r="N63" s="1">
        <v>11</v>
      </c>
    </row>
    <row r="64" spans="2:14">
      <c r="B64">
        <v>148</v>
      </c>
      <c r="C64">
        <v>84</v>
      </c>
      <c r="D64">
        <v>237</v>
      </c>
      <c r="E64">
        <v>37.6</v>
      </c>
      <c r="F64">
        <v>1.0009999999999999</v>
      </c>
      <c r="G64">
        <v>51</v>
      </c>
      <c r="H64">
        <v>1</v>
      </c>
      <c r="M64">
        <v>48</v>
      </c>
      <c r="N64" s="1">
        <v>10</v>
      </c>
    </row>
    <row r="65" spans="2:14">
      <c r="B65">
        <v>136</v>
      </c>
      <c r="C65">
        <v>74</v>
      </c>
      <c r="D65">
        <v>135</v>
      </c>
      <c r="E65">
        <v>26</v>
      </c>
      <c r="F65">
        <v>0.64700000000000002</v>
      </c>
      <c r="G65">
        <v>51</v>
      </c>
      <c r="H65">
        <v>0</v>
      </c>
      <c r="M65">
        <v>26</v>
      </c>
      <c r="N65" s="1">
        <v>7</v>
      </c>
    </row>
    <row r="66" spans="2:14">
      <c r="B66">
        <v>166</v>
      </c>
      <c r="C66">
        <v>72</v>
      </c>
      <c r="D66">
        <v>175</v>
      </c>
      <c r="E66">
        <v>25.8</v>
      </c>
      <c r="F66">
        <v>0.58699999999999997</v>
      </c>
      <c r="G66">
        <v>51</v>
      </c>
      <c r="H66">
        <v>1</v>
      </c>
      <c r="M66">
        <v>19</v>
      </c>
      <c r="N66" s="1">
        <v>5</v>
      </c>
    </row>
    <row r="67" spans="2:14">
      <c r="B67">
        <v>181</v>
      </c>
      <c r="C67">
        <v>84</v>
      </c>
      <c r="D67">
        <v>192</v>
      </c>
      <c r="E67">
        <v>35.9</v>
      </c>
      <c r="F67">
        <v>0.58599999999999997</v>
      </c>
      <c r="G67">
        <v>51</v>
      </c>
      <c r="H67">
        <v>1</v>
      </c>
      <c r="M67">
        <v>21</v>
      </c>
      <c r="N67" s="1">
        <v>7</v>
      </c>
    </row>
    <row r="68" spans="2:14">
      <c r="B68">
        <v>125</v>
      </c>
      <c r="C68">
        <v>86</v>
      </c>
      <c r="D68">
        <v>0</v>
      </c>
      <c r="E68">
        <v>37.6</v>
      </c>
      <c r="F68">
        <v>0.30399999999999999</v>
      </c>
      <c r="G68">
        <v>51</v>
      </c>
      <c r="H68">
        <v>0</v>
      </c>
      <c r="M68">
        <v>0</v>
      </c>
      <c r="N68" s="1">
        <v>7</v>
      </c>
    </row>
    <row r="69" spans="2:14">
      <c r="B69">
        <v>143</v>
      </c>
      <c r="C69">
        <v>94</v>
      </c>
      <c r="D69">
        <v>146</v>
      </c>
      <c r="E69">
        <v>36.6</v>
      </c>
      <c r="F69">
        <v>0.254</v>
      </c>
      <c r="G69">
        <v>51</v>
      </c>
      <c r="H69">
        <v>1</v>
      </c>
      <c r="M69">
        <v>33</v>
      </c>
      <c r="N69" s="1">
        <v>11</v>
      </c>
    </row>
    <row r="70" spans="2:14">
      <c r="B70">
        <v>127</v>
      </c>
      <c r="C70">
        <v>68</v>
      </c>
      <c r="D70">
        <v>0</v>
      </c>
      <c r="E70">
        <v>39</v>
      </c>
      <c r="F70">
        <v>0.19</v>
      </c>
      <c r="G70">
        <v>51</v>
      </c>
      <c r="H70">
        <v>0</v>
      </c>
      <c r="M70">
        <v>0</v>
      </c>
      <c r="N70" s="1">
        <v>11</v>
      </c>
    </row>
    <row r="71" spans="2:14">
      <c r="B71">
        <v>112</v>
      </c>
      <c r="C71">
        <v>82</v>
      </c>
      <c r="D71">
        <v>0</v>
      </c>
      <c r="E71">
        <v>28.2</v>
      </c>
      <c r="F71">
        <v>0.46567787114845849</v>
      </c>
      <c r="G71">
        <v>50</v>
      </c>
      <c r="H71">
        <v>1</v>
      </c>
      <c r="M71">
        <v>24</v>
      </c>
      <c r="N71" s="1">
        <v>9</v>
      </c>
    </row>
    <row r="72" spans="2:14">
      <c r="B72">
        <v>148</v>
      </c>
      <c r="C72">
        <v>72</v>
      </c>
      <c r="D72">
        <v>0</v>
      </c>
      <c r="E72">
        <v>33.6</v>
      </c>
      <c r="F72">
        <v>0.627</v>
      </c>
      <c r="G72">
        <v>50</v>
      </c>
      <c r="H72">
        <v>1</v>
      </c>
      <c r="M72">
        <v>35</v>
      </c>
      <c r="N72" s="1">
        <v>6</v>
      </c>
    </row>
    <row r="73" spans="2:14">
      <c r="B73">
        <v>138</v>
      </c>
      <c r="C73">
        <v>74</v>
      </c>
      <c r="D73">
        <v>144</v>
      </c>
      <c r="E73">
        <v>36.1</v>
      </c>
      <c r="F73">
        <v>0.55700000000000005</v>
      </c>
      <c r="G73">
        <v>50</v>
      </c>
      <c r="H73">
        <v>1</v>
      </c>
      <c r="M73">
        <v>26</v>
      </c>
      <c r="N73" s="1">
        <v>11</v>
      </c>
    </row>
    <row r="74" spans="2:14">
      <c r="B74">
        <v>99</v>
      </c>
      <c r="C74">
        <v>84</v>
      </c>
      <c r="D74">
        <v>0</v>
      </c>
      <c r="E74">
        <v>35.4</v>
      </c>
      <c r="F74">
        <v>0.38800000000000001</v>
      </c>
      <c r="G74">
        <v>50</v>
      </c>
      <c r="H74">
        <v>0</v>
      </c>
      <c r="M74">
        <v>0</v>
      </c>
      <c r="N74" s="1">
        <v>8</v>
      </c>
    </row>
    <row r="75" spans="2:14">
      <c r="B75">
        <v>164</v>
      </c>
      <c r="C75">
        <v>82</v>
      </c>
      <c r="D75">
        <v>67</v>
      </c>
      <c r="E75">
        <v>32.799999999999997</v>
      </c>
      <c r="F75">
        <v>0.34100000000000003</v>
      </c>
      <c r="G75">
        <v>50</v>
      </c>
      <c r="H75">
        <v>0</v>
      </c>
      <c r="M75">
        <v>43</v>
      </c>
      <c r="N75" s="1">
        <v>1</v>
      </c>
    </row>
    <row r="76" spans="2:14">
      <c r="B76">
        <v>136</v>
      </c>
      <c r="C76">
        <v>90</v>
      </c>
      <c r="D76">
        <v>0</v>
      </c>
      <c r="E76">
        <v>29.9</v>
      </c>
      <c r="F76">
        <v>0.21</v>
      </c>
      <c r="G76">
        <v>50</v>
      </c>
      <c r="H76">
        <v>0</v>
      </c>
      <c r="M76">
        <v>0</v>
      </c>
      <c r="N76" s="1">
        <v>7</v>
      </c>
    </row>
    <row r="77" spans="2:14">
      <c r="B77">
        <v>162</v>
      </c>
      <c r="C77">
        <v>62</v>
      </c>
      <c r="D77">
        <v>0</v>
      </c>
      <c r="E77">
        <v>24.3</v>
      </c>
      <c r="F77">
        <v>0.17799999999999999</v>
      </c>
      <c r="G77">
        <v>50</v>
      </c>
      <c r="H77">
        <v>1</v>
      </c>
      <c r="M77">
        <v>0</v>
      </c>
      <c r="N77" s="1">
        <v>6</v>
      </c>
    </row>
    <row r="78" spans="2:14">
      <c r="B78">
        <v>147</v>
      </c>
      <c r="C78">
        <v>80</v>
      </c>
      <c r="D78">
        <v>0</v>
      </c>
      <c r="E78">
        <v>29.5</v>
      </c>
      <c r="F78">
        <v>0.17799999999999999</v>
      </c>
      <c r="G78">
        <v>50</v>
      </c>
      <c r="H78">
        <v>1</v>
      </c>
      <c r="M78">
        <v>0</v>
      </c>
      <c r="N78" s="1">
        <v>6</v>
      </c>
    </row>
    <row r="79" spans="2:14">
      <c r="B79">
        <v>184</v>
      </c>
      <c r="C79">
        <v>85</v>
      </c>
      <c r="D79">
        <v>0</v>
      </c>
      <c r="E79">
        <v>30</v>
      </c>
      <c r="F79">
        <v>0.46567787114845849</v>
      </c>
      <c r="G79">
        <v>49</v>
      </c>
      <c r="H79">
        <v>1</v>
      </c>
      <c r="M79">
        <v>15</v>
      </c>
      <c r="N79" s="1">
        <v>9</v>
      </c>
    </row>
    <row r="80" spans="2:14">
      <c r="B80">
        <v>165</v>
      </c>
      <c r="C80">
        <v>68</v>
      </c>
      <c r="D80">
        <v>168</v>
      </c>
      <c r="E80">
        <v>33.6</v>
      </c>
      <c r="F80">
        <v>0.63100000000000001</v>
      </c>
      <c r="G80">
        <v>49</v>
      </c>
      <c r="H80">
        <v>0</v>
      </c>
      <c r="M80">
        <v>26</v>
      </c>
      <c r="N80" s="1">
        <v>6</v>
      </c>
    </row>
    <row r="81" spans="2:14">
      <c r="B81">
        <v>125</v>
      </c>
      <c r="C81">
        <v>78</v>
      </c>
      <c r="D81">
        <v>0</v>
      </c>
      <c r="E81">
        <v>27.6</v>
      </c>
      <c r="F81">
        <v>0.56499999999999995</v>
      </c>
      <c r="G81">
        <v>49</v>
      </c>
      <c r="H81">
        <v>1</v>
      </c>
      <c r="M81">
        <v>31</v>
      </c>
      <c r="N81" s="1">
        <v>6</v>
      </c>
    </row>
    <row r="82" spans="2:14">
      <c r="B82">
        <v>126</v>
      </c>
      <c r="C82">
        <v>88</v>
      </c>
      <c r="D82">
        <v>108</v>
      </c>
      <c r="E82">
        <v>38.5</v>
      </c>
      <c r="F82">
        <v>0.34899999999999998</v>
      </c>
      <c r="G82">
        <v>49</v>
      </c>
      <c r="H82">
        <v>0</v>
      </c>
      <c r="M82">
        <v>36</v>
      </c>
      <c r="N82" s="1">
        <v>8</v>
      </c>
    </row>
    <row r="83" spans="2:14">
      <c r="B83">
        <v>165</v>
      </c>
      <c r="C83">
        <v>88</v>
      </c>
      <c r="D83">
        <v>0</v>
      </c>
      <c r="E83">
        <v>30.4</v>
      </c>
      <c r="F83">
        <v>0.30199999999999999</v>
      </c>
      <c r="G83">
        <v>49</v>
      </c>
      <c r="H83">
        <v>1</v>
      </c>
      <c r="M83">
        <v>0</v>
      </c>
      <c r="N83" s="1">
        <v>9</v>
      </c>
    </row>
    <row r="84" spans="2:14">
      <c r="B84">
        <v>120</v>
      </c>
      <c r="C84">
        <v>80</v>
      </c>
      <c r="D84">
        <v>150</v>
      </c>
      <c r="E84">
        <v>42.3</v>
      </c>
      <c r="F84">
        <v>0.78500000000000003</v>
      </c>
      <c r="G84">
        <v>48</v>
      </c>
      <c r="H84">
        <v>1</v>
      </c>
      <c r="M84">
        <v>37</v>
      </c>
      <c r="N84" s="1">
        <v>11</v>
      </c>
    </row>
    <row r="85" spans="2:14">
      <c r="B85">
        <v>120</v>
      </c>
      <c r="C85">
        <v>72</v>
      </c>
      <c r="D85">
        <v>56</v>
      </c>
      <c r="E85">
        <v>20.8</v>
      </c>
      <c r="F85">
        <v>0.73299999999999998</v>
      </c>
      <c r="G85">
        <v>48</v>
      </c>
      <c r="H85">
        <v>0</v>
      </c>
      <c r="M85">
        <v>22</v>
      </c>
      <c r="N85" s="1">
        <v>9</v>
      </c>
    </row>
    <row r="86" spans="2:14">
      <c r="B86">
        <v>88</v>
      </c>
      <c r="C86">
        <v>74</v>
      </c>
      <c r="D86">
        <v>54</v>
      </c>
      <c r="E86">
        <v>35.299999999999997</v>
      </c>
      <c r="F86">
        <v>0.378</v>
      </c>
      <c r="G86">
        <v>48</v>
      </c>
      <c r="H86">
        <v>0</v>
      </c>
      <c r="M86">
        <v>40</v>
      </c>
      <c r="N86" s="1">
        <v>12</v>
      </c>
    </row>
    <row r="87" spans="2:14">
      <c r="B87">
        <v>106</v>
      </c>
      <c r="C87">
        <v>92</v>
      </c>
      <c r="D87">
        <v>0</v>
      </c>
      <c r="E87">
        <v>22.7</v>
      </c>
      <c r="F87">
        <v>0.23499999999999999</v>
      </c>
      <c r="G87">
        <v>48</v>
      </c>
      <c r="H87">
        <v>0</v>
      </c>
      <c r="M87">
        <v>18</v>
      </c>
      <c r="N87" s="1">
        <v>7</v>
      </c>
    </row>
    <row r="88" spans="2:14">
      <c r="B88">
        <v>104</v>
      </c>
      <c r="C88">
        <v>74</v>
      </c>
      <c r="D88">
        <v>0</v>
      </c>
      <c r="E88">
        <v>28.8</v>
      </c>
      <c r="F88">
        <v>0.153</v>
      </c>
      <c r="G88">
        <v>48</v>
      </c>
      <c r="H88">
        <v>0</v>
      </c>
      <c r="M88">
        <v>0</v>
      </c>
      <c r="N88" s="1">
        <v>5</v>
      </c>
    </row>
    <row r="89" spans="2:14">
      <c r="B89">
        <v>126</v>
      </c>
      <c r="C89">
        <v>60</v>
      </c>
      <c r="D89">
        <v>0</v>
      </c>
      <c r="E89">
        <v>30.1</v>
      </c>
      <c r="F89">
        <v>0.34899999999999998</v>
      </c>
      <c r="G89">
        <v>47</v>
      </c>
      <c r="H89">
        <v>1</v>
      </c>
      <c r="M89">
        <v>0</v>
      </c>
      <c r="N89" s="1">
        <v>1</v>
      </c>
    </row>
    <row r="90" spans="2:14">
      <c r="B90">
        <v>161</v>
      </c>
      <c r="C90">
        <v>68</v>
      </c>
      <c r="D90">
        <v>132</v>
      </c>
      <c r="E90">
        <v>25.5</v>
      </c>
      <c r="F90">
        <v>0.32600000000000001</v>
      </c>
      <c r="G90">
        <v>47</v>
      </c>
      <c r="H90">
        <v>1</v>
      </c>
      <c r="M90">
        <v>23</v>
      </c>
      <c r="N90" s="1">
        <v>10</v>
      </c>
    </row>
    <row r="91" spans="2:14">
      <c r="B91">
        <v>68</v>
      </c>
      <c r="C91">
        <v>68</v>
      </c>
      <c r="D91">
        <v>49</v>
      </c>
      <c r="E91">
        <v>35.5</v>
      </c>
      <c r="F91">
        <v>0.28499999999999998</v>
      </c>
      <c r="G91">
        <v>47</v>
      </c>
      <c r="H91">
        <v>0</v>
      </c>
      <c r="M91">
        <v>23</v>
      </c>
      <c r="N91" s="1">
        <v>10</v>
      </c>
    </row>
    <row r="92" spans="2:14">
      <c r="B92">
        <v>143</v>
      </c>
      <c r="C92">
        <v>78</v>
      </c>
      <c r="D92">
        <v>0</v>
      </c>
      <c r="E92">
        <v>45</v>
      </c>
      <c r="F92">
        <v>0.19</v>
      </c>
      <c r="G92">
        <v>47</v>
      </c>
      <c r="H92">
        <v>0</v>
      </c>
      <c r="M92">
        <v>0</v>
      </c>
      <c r="N92" s="1">
        <v>5</v>
      </c>
    </row>
    <row r="93" spans="2:14">
      <c r="B93">
        <v>161</v>
      </c>
      <c r="C93">
        <v>86</v>
      </c>
      <c r="D93">
        <v>0</v>
      </c>
      <c r="E93">
        <v>30.4</v>
      </c>
      <c r="F93">
        <v>0.16500000000000001</v>
      </c>
      <c r="G93">
        <v>47</v>
      </c>
      <c r="H93">
        <v>1</v>
      </c>
      <c r="M93">
        <v>0</v>
      </c>
      <c r="N93" s="1">
        <v>7</v>
      </c>
    </row>
    <row r="94" spans="2:14">
      <c r="B94">
        <v>118</v>
      </c>
      <c r="C94">
        <v>72</v>
      </c>
      <c r="D94">
        <v>0</v>
      </c>
      <c r="E94">
        <v>23.1</v>
      </c>
      <c r="F94">
        <v>0.46567787114845849</v>
      </c>
      <c r="G94">
        <v>46</v>
      </c>
      <c r="H94">
        <v>0</v>
      </c>
      <c r="M94">
        <v>19</v>
      </c>
      <c r="N94" s="1">
        <v>8</v>
      </c>
    </row>
    <row r="95" spans="2:14">
      <c r="B95">
        <v>102</v>
      </c>
      <c r="C95">
        <v>76</v>
      </c>
      <c r="D95">
        <v>0</v>
      </c>
      <c r="E95">
        <v>32.9</v>
      </c>
      <c r="F95">
        <v>0.66500000000000004</v>
      </c>
      <c r="G95">
        <v>46</v>
      </c>
      <c r="H95">
        <v>1</v>
      </c>
      <c r="M95">
        <v>37</v>
      </c>
      <c r="N95" s="1">
        <v>9</v>
      </c>
    </row>
    <row r="96" spans="2:14">
      <c r="B96">
        <v>100</v>
      </c>
      <c r="C96">
        <v>84</v>
      </c>
      <c r="D96">
        <v>105</v>
      </c>
      <c r="E96">
        <v>30</v>
      </c>
      <c r="F96">
        <v>0.48799999999999999</v>
      </c>
      <c r="G96">
        <v>46</v>
      </c>
      <c r="H96">
        <v>0</v>
      </c>
      <c r="M96">
        <v>33</v>
      </c>
      <c r="N96" s="1">
        <v>12</v>
      </c>
    </row>
    <row r="97" spans="2:14">
      <c r="B97">
        <v>115</v>
      </c>
      <c r="C97">
        <v>72</v>
      </c>
      <c r="D97">
        <v>0</v>
      </c>
      <c r="E97">
        <v>28.9</v>
      </c>
      <c r="F97">
        <v>0.376</v>
      </c>
      <c r="G97">
        <v>46</v>
      </c>
      <c r="H97">
        <v>1</v>
      </c>
      <c r="M97">
        <v>0</v>
      </c>
      <c r="N97" s="1">
        <v>4</v>
      </c>
    </row>
    <row r="98" spans="2:14">
      <c r="B98">
        <v>144</v>
      </c>
      <c r="C98">
        <v>82</v>
      </c>
      <c r="D98">
        <v>180</v>
      </c>
      <c r="E98">
        <v>46.1</v>
      </c>
      <c r="F98">
        <v>0.33500000000000002</v>
      </c>
      <c r="G98">
        <v>46</v>
      </c>
      <c r="H98">
        <v>1</v>
      </c>
      <c r="M98">
        <v>46</v>
      </c>
      <c r="N98" s="1">
        <v>1</v>
      </c>
    </row>
    <row r="99" spans="2:14">
      <c r="B99">
        <v>84</v>
      </c>
      <c r="C99">
        <v>72</v>
      </c>
      <c r="D99">
        <v>0</v>
      </c>
      <c r="E99">
        <v>29.7</v>
      </c>
      <c r="F99">
        <v>0.29699999999999999</v>
      </c>
      <c r="G99">
        <v>46</v>
      </c>
      <c r="H99">
        <v>1</v>
      </c>
      <c r="M99">
        <v>31</v>
      </c>
      <c r="N99" s="1">
        <v>12</v>
      </c>
    </row>
    <row r="100" spans="2:14">
      <c r="B100">
        <v>61</v>
      </c>
      <c r="C100">
        <v>82</v>
      </c>
      <c r="D100">
        <v>0</v>
      </c>
      <c r="E100">
        <v>34.4</v>
      </c>
      <c r="F100">
        <v>0.24299999999999999</v>
      </c>
      <c r="G100">
        <v>46</v>
      </c>
      <c r="H100">
        <v>0</v>
      </c>
      <c r="M100">
        <v>28</v>
      </c>
      <c r="N100" s="1">
        <v>3</v>
      </c>
    </row>
    <row r="101" spans="2:14">
      <c r="B101">
        <v>105</v>
      </c>
      <c r="C101">
        <v>90</v>
      </c>
      <c r="D101">
        <v>0</v>
      </c>
      <c r="E101">
        <v>29.6</v>
      </c>
      <c r="F101">
        <v>0.19700000000000001</v>
      </c>
      <c r="G101">
        <v>46</v>
      </c>
      <c r="H101">
        <v>0</v>
      </c>
      <c r="M101">
        <v>0</v>
      </c>
      <c r="N101" s="1">
        <v>0</v>
      </c>
    </row>
    <row r="102" spans="2:14">
      <c r="B102">
        <v>67</v>
      </c>
      <c r="C102">
        <v>76</v>
      </c>
      <c r="D102">
        <v>0</v>
      </c>
      <c r="E102">
        <v>45.3</v>
      </c>
      <c r="F102">
        <v>0.19400000000000001</v>
      </c>
      <c r="G102">
        <v>46</v>
      </c>
      <c r="H102">
        <v>0</v>
      </c>
      <c r="M102">
        <v>0</v>
      </c>
      <c r="N102" s="1">
        <v>0</v>
      </c>
    </row>
    <row r="103" spans="2:14">
      <c r="B103">
        <v>92</v>
      </c>
      <c r="C103">
        <v>62</v>
      </c>
      <c r="D103">
        <v>126</v>
      </c>
      <c r="E103">
        <v>32</v>
      </c>
      <c r="F103">
        <v>8.5000000000000006E-2</v>
      </c>
      <c r="G103">
        <v>46</v>
      </c>
      <c r="H103">
        <v>0</v>
      </c>
      <c r="M103">
        <v>32</v>
      </c>
      <c r="N103" s="1">
        <v>6</v>
      </c>
    </row>
    <row r="104" spans="2:14">
      <c r="B104">
        <v>183</v>
      </c>
      <c r="C104">
        <v>94</v>
      </c>
      <c r="D104">
        <v>0</v>
      </c>
      <c r="E104">
        <v>40.799999999999997</v>
      </c>
      <c r="F104">
        <v>0.46567787114845849</v>
      </c>
      <c r="G104">
        <v>45</v>
      </c>
      <c r="H104">
        <v>0</v>
      </c>
      <c r="M104">
        <v>0</v>
      </c>
      <c r="N104" s="1">
        <v>6</v>
      </c>
    </row>
    <row r="105" spans="2:14">
      <c r="B105">
        <v>125</v>
      </c>
      <c r="C105">
        <v>70</v>
      </c>
      <c r="D105">
        <v>122</v>
      </c>
      <c r="E105">
        <v>28.9</v>
      </c>
      <c r="F105">
        <v>1.1439999999999999</v>
      </c>
      <c r="G105">
        <v>45</v>
      </c>
      <c r="H105">
        <v>1</v>
      </c>
      <c r="M105">
        <v>18</v>
      </c>
      <c r="N105" s="1">
        <v>4</v>
      </c>
    </row>
    <row r="106" spans="2:14">
      <c r="B106">
        <v>111</v>
      </c>
      <c r="C106">
        <v>84</v>
      </c>
      <c r="D106">
        <v>0</v>
      </c>
      <c r="E106">
        <v>46.8</v>
      </c>
      <c r="F106">
        <v>0.92500000000000004</v>
      </c>
      <c r="G106">
        <v>45</v>
      </c>
      <c r="H106">
        <v>1</v>
      </c>
      <c r="M106">
        <v>40</v>
      </c>
      <c r="N106" s="1">
        <v>11</v>
      </c>
    </row>
    <row r="107" spans="2:14">
      <c r="B107">
        <v>140</v>
      </c>
      <c r="C107">
        <v>94</v>
      </c>
      <c r="D107">
        <v>0</v>
      </c>
      <c r="E107">
        <v>32.700000000000003</v>
      </c>
      <c r="F107">
        <v>0.73399999999999999</v>
      </c>
      <c r="G107">
        <v>45</v>
      </c>
      <c r="H107">
        <v>1</v>
      </c>
      <c r="M107">
        <v>0</v>
      </c>
      <c r="N107" s="1">
        <v>9</v>
      </c>
    </row>
    <row r="108" spans="2:14">
      <c r="B108">
        <v>130</v>
      </c>
      <c r="C108">
        <v>70</v>
      </c>
      <c r="D108">
        <v>0</v>
      </c>
      <c r="E108">
        <v>34.200000000000003</v>
      </c>
      <c r="F108">
        <v>0.65200000000000002</v>
      </c>
      <c r="G108">
        <v>45</v>
      </c>
      <c r="H108">
        <v>1</v>
      </c>
      <c r="M108">
        <v>0</v>
      </c>
      <c r="N108" s="1">
        <v>9</v>
      </c>
    </row>
    <row r="109" spans="2:14">
      <c r="B109">
        <v>122</v>
      </c>
      <c r="C109">
        <v>78</v>
      </c>
      <c r="D109">
        <v>0</v>
      </c>
      <c r="E109">
        <v>27.6</v>
      </c>
      <c r="F109">
        <v>0.51200000000000001</v>
      </c>
      <c r="G109">
        <v>45</v>
      </c>
      <c r="H109">
        <v>0</v>
      </c>
      <c r="M109">
        <v>31</v>
      </c>
      <c r="N109" s="1">
        <v>10</v>
      </c>
    </row>
    <row r="110" spans="2:14">
      <c r="B110">
        <v>154</v>
      </c>
      <c r="C110">
        <v>78</v>
      </c>
      <c r="D110">
        <v>0</v>
      </c>
      <c r="E110">
        <v>32.4</v>
      </c>
      <c r="F110">
        <v>0.443</v>
      </c>
      <c r="G110">
        <v>45</v>
      </c>
      <c r="H110">
        <v>1</v>
      </c>
      <c r="M110">
        <v>32</v>
      </c>
      <c r="N110" s="1">
        <v>8</v>
      </c>
    </row>
    <row r="111" spans="2:14">
      <c r="B111">
        <v>111</v>
      </c>
      <c r="C111">
        <v>94</v>
      </c>
      <c r="D111">
        <v>0</v>
      </c>
      <c r="E111">
        <v>32.799999999999997</v>
      </c>
      <c r="F111">
        <v>0.26500000000000001</v>
      </c>
      <c r="G111">
        <v>45</v>
      </c>
      <c r="H111">
        <v>0</v>
      </c>
      <c r="M111">
        <v>0</v>
      </c>
      <c r="N111" s="1">
        <v>1</v>
      </c>
    </row>
    <row r="112" spans="2:14">
      <c r="B112">
        <v>105</v>
      </c>
      <c r="C112">
        <v>100</v>
      </c>
      <c r="D112">
        <v>0</v>
      </c>
      <c r="E112">
        <v>43.3</v>
      </c>
      <c r="F112">
        <v>0.23899999999999999</v>
      </c>
      <c r="G112">
        <v>45</v>
      </c>
      <c r="H112">
        <v>1</v>
      </c>
      <c r="M112">
        <v>36</v>
      </c>
      <c r="N112" s="1">
        <v>8</v>
      </c>
    </row>
    <row r="113" spans="2:14">
      <c r="B113">
        <v>133</v>
      </c>
      <c r="C113">
        <v>102</v>
      </c>
      <c r="D113">
        <v>140</v>
      </c>
      <c r="E113">
        <v>32.799999999999997</v>
      </c>
      <c r="F113">
        <v>0.23400000000000001</v>
      </c>
      <c r="G113">
        <v>45</v>
      </c>
      <c r="H113">
        <v>1</v>
      </c>
      <c r="M113">
        <v>28</v>
      </c>
      <c r="N113" s="1">
        <v>1</v>
      </c>
    </row>
    <row r="114" spans="2:14">
      <c r="B114">
        <v>102</v>
      </c>
      <c r="C114">
        <v>74</v>
      </c>
      <c r="D114">
        <v>105</v>
      </c>
      <c r="E114">
        <v>37.200000000000003</v>
      </c>
      <c r="F114">
        <v>0.20399999999999999</v>
      </c>
      <c r="G114">
        <v>45</v>
      </c>
      <c r="H114">
        <v>0</v>
      </c>
      <c r="M114">
        <v>40</v>
      </c>
      <c r="N114" s="1">
        <v>7</v>
      </c>
    </row>
    <row r="115" spans="2:14">
      <c r="B115">
        <v>106</v>
      </c>
      <c r="C115">
        <v>72</v>
      </c>
      <c r="D115">
        <v>0</v>
      </c>
      <c r="E115">
        <v>36.6</v>
      </c>
      <c r="F115">
        <v>0.17799999999999999</v>
      </c>
      <c r="G115">
        <v>45</v>
      </c>
      <c r="H115">
        <v>0</v>
      </c>
      <c r="M115">
        <v>54</v>
      </c>
      <c r="N115" s="1">
        <v>13</v>
      </c>
    </row>
    <row r="116" spans="2:14">
      <c r="B116">
        <v>154</v>
      </c>
      <c r="C116">
        <v>78</v>
      </c>
      <c r="D116">
        <v>100</v>
      </c>
      <c r="E116">
        <v>30.9</v>
      </c>
      <c r="F116">
        <v>0.16400000000000001</v>
      </c>
      <c r="G116">
        <v>45</v>
      </c>
      <c r="H116">
        <v>0</v>
      </c>
      <c r="M116">
        <v>30</v>
      </c>
      <c r="N116" s="1">
        <v>9</v>
      </c>
    </row>
    <row r="117" spans="2:14">
      <c r="B117">
        <v>164</v>
      </c>
      <c r="C117">
        <v>78</v>
      </c>
      <c r="D117">
        <v>0</v>
      </c>
      <c r="E117">
        <v>32.799999999999997</v>
      </c>
      <c r="F117">
        <v>0.14799999999999999</v>
      </c>
      <c r="G117">
        <v>45</v>
      </c>
      <c r="H117">
        <v>1</v>
      </c>
      <c r="M117">
        <v>0</v>
      </c>
      <c r="N117" s="1">
        <v>9</v>
      </c>
    </row>
    <row r="118" spans="2:14">
      <c r="B118">
        <v>128</v>
      </c>
      <c r="C118">
        <v>80</v>
      </c>
      <c r="D118">
        <v>0</v>
      </c>
      <c r="E118">
        <v>34.6</v>
      </c>
      <c r="F118">
        <v>0.14399999999999999</v>
      </c>
      <c r="G118">
        <v>45</v>
      </c>
      <c r="H118">
        <v>0</v>
      </c>
      <c r="M118">
        <v>0</v>
      </c>
      <c r="N118" s="1">
        <v>5</v>
      </c>
    </row>
    <row r="119" spans="2:14">
      <c r="B119">
        <v>146</v>
      </c>
      <c r="C119">
        <v>82</v>
      </c>
      <c r="D119">
        <v>0</v>
      </c>
      <c r="E119">
        <v>40.5</v>
      </c>
      <c r="F119">
        <v>0.46567787114845849</v>
      </c>
      <c r="G119">
        <v>44</v>
      </c>
      <c r="H119">
        <v>0</v>
      </c>
      <c r="M119">
        <v>0</v>
      </c>
      <c r="N119" s="1">
        <v>0</v>
      </c>
    </row>
    <row r="120" spans="2:14">
      <c r="B120">
        <v>117</v>
      </c>
      <c r="C120">
        <v>68</v>
      </c>
      <c r="D120">
        <v>0</v>
      </c>
      <c r="E120">
        <v>33.799999999999997</v>
      </c>
      <c r="F120">
        <v>0.93200000000000005</v>
      </c>
      <c r="G120">
        <v>44</v>
      </c>
      <c r="H120">
        <v>0</v>
      </c>
      <c r="M120">
        <v>0</v>
      </c>
      <c r="N120" s="1">
        <v>0</v>
      </c>
    </row>
    <row r="121" spans="2:14">
      <c r="B121">
        <v>92</v>
      </c>
      <c r="C121">
        <v>62</v>
      </c>
      <c r="D121">
        <v>258</v>
      </c>
      <c r="E121">
        <v>27.6</v>
      </c>
      <c r="F121">
        <v>0.92600000000000005</v>
      </c>
      <c r="G121">
        <v>44</v>
      </c>
      <c r="H121">
        <v>1</v>
      </c>
      <c r="M121">
        <v>7</v>
      </c>
      <c r="N121" s="1">
        <v>12</v>
      </c>
    </row>
    <row r="122" spans="2:14">
      <c r="B122">
        <v>129</v>
      </c>
      <c r="C122">
        <v>68</v>
      </c>
      <c r="D122">
        <v>0</v>
      </c>
      <c r="E122">
        <v>39.9</v>
      </c>
      <c r="F122">
        <v>0.56899999999999995</v>
      </c>
      <c r="G122">
        <v>44</v>
      </c>
      <c r="H122">
        <v>1</v>
      </c>
      <c r="M122">
        <v>30</v>
      </c>
      <c r="N122" s="1">
        <v>13</v>
      </c>
    </row>
    <row r="123" spans="2:14">
      <c r="B123">
        <v>132</v>
      </c>
      <c r="C123">
        <v>80</v>
      </c>
      <c r="D123">
        <v>0</v>
      </c>
      <c r="E123">
        <v>34.4</v>
      </c>
      <c r="F123">
        <v>0.40200000000000002</v>
      </c>
      <c r="G123">
        <v>44</v>
      </c>
      <c r="H123">
        <v>1</v>
      </c>
      <c r="M123">
        <v>0</v>
      </c>
      <c r="N123" s="1">
        <v>3</v>
      </c>
    </row>
    <row r="124" spans="2:14">
      <c r="B124">
        <v>115</v>
      </c>
      <c r="C124">
        <v>76</v>
      </c>
      <c r="D124">
        <v>0</v>
      </c>
      <c r="E124">
        <v>31.2</v>
      </c>
      <c r="F124">
        <v>0.34300000000000003</v>
      </c>
      <c r="G124">
        <v>44</v>
      </c>
      <c r="H124">
        <v>1</v>
      </c>
      <c r="M124">
        <v>0</v>
      </c>
      <c r="N124" s="1">
        <v>5</v>
      </c>
    </row>
    <row r="125" spans="2:14">
      <c r="B125">
        <v>106</v>
      </c>
      <c r="C125">
        <v>80</v>
      </c>
      <c r="D125">
        <v>0</v>
      </c>
      <c r="E125">
        <v>23.6</v>
      </c>
      <c r="F125">
        <v>0.13700000000000001</v>
      </c>
      <c r="G125">
        <v>44</v>
      </c>
      <c r="H125">
        <v>0</v>
      </c>
      <c r="M125">
        <v>0</v>
      </c>
      <c r="N125" s="1">
        <v>12</v>
      </c>
    </row>
    <row r="126" spans="2:14">
      <c r="B126">
        <v>109</v>
      </c>
      <c r="C126">
        <v>80</v>
      </c>
      <c r="D126">
        <v>0</v>
      </c>
      <c r="E126">
        <v>35.9</v>
      </c>
      <c r="F126">
        <v>1.127</v>
      </c>
      <c r="G126">
        <v>43</v>
      </c>
      <c r="H126">
        <v>1</v>
      </c>
      <c r="M126">
        <v>31</v>
      </c>
      <c r="N126" s="1">
        <v>7</v>
      </c>
    </row>
    <row r="127" spans="2:14">
      <c r="B127">
        <v>96</v>
      </c>
      <c r="C127">
        <v>74</v>
      </c>
      <c r="D127">
        <v>67</v>
      </c>
      <c r="E127">
        <v>33.6</v>
      </c>
      <c r="F127">
        <v>0.997</v>
      </c>
      <c r="G127">
        <v>43</v>
      </c>
      <c r="H127">
        <v>0</v>
      </c>
      <c r="M127">
        <v>18</v>
      </c>
      <c r="N127" s="1">
        <v>5</v>
      </c>
    </row>
    <row r="128" spans="2:14">
      <c r="B128">
        <v>152</v>
      </c>
      <c r="C128">
        <v>90</v>
      </c>
      <c r="D128">
        <v>29</v>
      </c>
      <c r="E128">
        <v>26.8</v>
      </c>
      <c r="F128">
        <v>0.73099999999999998</v>
      </c>
      <c r="G128">
        <v>43</v>
      </c>
      <c r="H128">
        <v>1</v>
      </c>
      <c r="M128">
        <v>33</v>
      </c>
      <c r="N128" s="1">
        <v>13</v>
      </c>
    </row>
    <row r="129" spans="2:14">
      <c r="B129">
        <v>100</v>
      </c>
      <c r="C129">
        <v>74</v>
      </c>
      <c r="D129">
        <v>215</v>
      </c>
      <c r="E129">
        <v>39.4</v>
      </c>
      <c r="F129">
        <v>0.66100000000000003</v>
      </c>
      <c r="G129">
        <v>43</v>
      </c>
      <c r="H129">
        <v>1</v>
      </c>
      <c r="M129">
        <v>40</v>
      </c>
      <c r="N129" s="1">
        <v>8</v>
      </c>
    </row>
    <row r="130" spans="2:14">
      <c r="B130">
        <v>129</v>
      </c>
      <c r="C130">
        <v>68</v>
      </c>
      <c r="D130">
        <v>125</v>
      </c>
      <c r="E130">
        <v>38.5</v>
      </c>
      <c r="F130">
        <v>0.439</v>
      </c>
      <c r="G130">
        <v>43</v>
      </c>
      <c r="H130">
        <v>1</v>
      </c>
      <c r="M130">
        <v>49</v>
      </c>
      <c r="N130" s="1">
        <v>7</v>
      </c>
    </row>
    <row r="131" spans="2:14">
      <c r="B131">
        <v>98</v>
      </c>
      <c r="C131">
        <v>58</v>
      </c>
      <c r="D131">
        <v>190</v>
      </c>
      <c r="E131">
        <v>34</v>
      </c>
      <c r="F131">
        <v>0.43</v>
      </c>
      <c r="G131">
        <v>43</v>
      </c>
      <c r="H131">
        <v>0</v>
      </c>
      <c r="M131">
        <v>33</v>
      </c>
      <c r="N131" s="1">
        <v>6</v>
      </c>
    </row>
    <row r="132" spans="2:14">
      <c r="B132">
        <v>170</v>
      </c>
      <c r="C132">
        <v>74</v>
      </c>
      <c r="D132">
        <v>0</v>
      </c>
      <c r="E132">
        <v>44</v>
      </c>
      <c r="F132">
        <v>0.40300000000000002</v>
      </c>
      <c r="G132">
        <v>43</v>
      </c>
      <c r="H132">
        <v>1</v>
      </c>
      <c r="M132">
        <v>31</v>
      </c>
      <c r="N132" s="1">
        <v>9</v>
      </c>
    </row>
    <row r="133" spans="2:14">
      <c r="B133">
        <v>147</v>
      </c>
      <c r="C133">
        <v>76</v>
      </c>
      <c r="D133">
        <v>0</v>
      </c>
      <c r="E133">
        <v>39.4</v>
      </c>
      <c r="F133">
        <v>0.25700000000000001</v>
      </c>
      <c r="G133">
        <v>43</v>
      </c>
      <c r="H133">
        <v>1</v>
      </c>
      <c r="M133">
        <v>0</v>
      </c>
      <c r="N133" s="1">
        <v>7</v>
      </c>
    </row>
    <row r="134" spans="2:14">
      <c r="B134">
        <v>95</v>
      </c>
      <c r="C134">
        <v>82</v>
      </c>
      <c r="D134">
        <v>180</v>
      </c>
      <c r="E134">
        <v>35</v>
      </c>
      <c r="F134">
        <v>0.23300000000000001</v>
      </c>
      <c r="G134">
        <v>43</v>
      </c>
      <c r="H134">
        <v>1</v>
      </c>
      <c r="M134">
        <v>25</v>
      </c>
      <c r="N134" s="1">
        <v>1</v>
      </c>
    </row>
    <row r="135" spans="2:14">
      <c r="B135">
        <v>167</v>
      </c>
      <c r="C135">
        <v>68</v>
      </c>
      <c r="D135">
        <v>231</v>
      </c>
      <c r="E135">
        <v>37.6</v>
      </c>
      <c r="F135">
        <v>0.16500000000000001</v>
      </c>
      <c r="G135">
        <v>43</v>
      </c>
      <c r="H135">
        <v>1</v>
      </c>
      <c r="M135">
        <v>46</v>
      </c>
      <c r="N135" s="1">
        <v>8</v>
      </c>
    </row>
    <row r="136" spans="2:14">
      <c r="B136">
        <v>188</v>
      </c>
      <c r="C136">
        <v>78</v>
      </c>
      <c r="D136">
        <v>0</v>
      </c>
      <c r="E136">
        <v>47.9</v>
      </c>
      <c r="F136">
        <v>0.13700000000000001</v>
      </c>
      <c r="G136">
        <v>43</v>
      </c>
      <c r="H136">
        <v>1</v>
      </c>
      <c r="M136">
        <v>0</v>
      </c>
      <c r="N136" s="1">
        <v>8</v>
      </c>
    </row>
    <row r="137" spans="2:14">
      <c r="B137">
        <v>156</v>
      </c>
      <c r="C137">
        <v>86</v>
      </c>
      <c r="D137">
        <v>155</v>
      </c>
      <c r="E137">
        <v>34.299999999999997</v>
      </c>
      <c r="F137">
        <v>0.46567787114845849</v>
      </c>
      <c r="G137">
        <v>42</v>
      </c>
      <c r="H137">
        <v>1</v>
      </c>
      <c r="M137">
        <v>28</v>
      </c>
      <c r="N137" s="1">
        <v>9</v>
      </c>
    </row>
    <row r="138" spans="2:14">
      <c r="B138">
        <v>150</v>
      </c>
      <c r="C138">
        <v>66</v>
      </c>
      <c r="D138">
        <v>342</v>
      </c>
      <c r="E138">
        <v>34.700000000000003</v>
      </c>
      <c r="F138">
        <v>0.71799999999999997</v>
      </c>
      <c r="G138">
        <v>42</v>
      </c>
      <c r="H138">
        <v>0</v>
      </c>
      <c r="M138">
        <v>42</v>
      </c>
      <c r="N138" s="1">
        <v>7</v>
      </c>
    </row>
    <row r="139" spans="2:14">
      <c r="B139">
        <v>65</v>
      </c>
      <c r="C139">
        <v>72</v>
      </c>
      <c r="D139">
        <v>0</v>
      </c>
      <c r="E139">
        <v>32</v>
      </c>
      <c r="F139">
        <v>0.6</v>
      </c>
      <c r="G139">
        <v>42</v>
      </c>
      <c r="H139">
        <v>0</v>
      </c>
      <c r="M139">
        <v>23</v>
      </c>
      <c r="N139" s="1">
        <v>8</v>
      </c>
    </row>
    <row r="140" spans="2:14">
      <c r="B140">
        <v>126</v>
      </c>
      <c r="C140">
        <v>90</v>
      </c>
      <c r="D140">
        <v>0</v>
      </c>
      <c r="E140">
        <v>43.4</v>
      </c>
      <c r="F140">
        <v>0.58299999999999996</v>
      </c>
      <c r="G140">
        <v>42</v>
      </c>
      <c r="H140">
        <v>1</v>
      </c>
      <c r="M140">
        <v>0</v>
      </c>
      <c r="N140" s="1">
        <v>13</v>
      </c>
    </row>
    <row r="141" spans="2:14">
      <c r="B141">
        <v>100</v>
      </c>
      <c r="C141">
        <v>66</v>
      </c>
      <c r="D141">
        <v>196</v>
      </c>
      <c r="E141">
        <v>32</v>
      </c>
      <c r="F141">
        <v>0.44400000000000001</v>
      </c>
      <c r="G141">
        <v>42</v>
      </c>
      <c r="H141">
        <v>0</v>
      </c>
      <c r="M141">
        <v>29</v>
      </c>
      <c r="N141" s="1">
        <v>1</v>
      </c>
    </row>
    <row r="142" spans="2:14">
      <c r="B142">
        <v>85</v>
      </c>
      <c r="C142">
        <v>78</v>
      </c>
      <c r="D142">
        <v>0</v>
      </c>
      <c r="E142">
        <v>31.2</v>
      </c>
      <c r="F142">
        <v>0.38200000000000001</v>
      </c>
      <c r="G142">
        <v>42</v>
      </c>
      <c r="H142">
        <v>0</v>
      </c>
      <c r="M142">
        <v>0</v>
      </c>
      <c r="N142" s="1">
        <v>6</v>
      </c>
    </row>
    <row r="143" spans="2:14">
      <c r="B143">
        <v>106</v>
      </c>
      <c r="C143">
        <v>52</v>
      </c>
      <c r="D143">
        <v>0</v>
      </c>
      <c r="E143">
        <v>31.2</v>
      </c>
      <c r="F143">
        <v>0.38</v>
      </c>
      <c r="G143">
        <v>42</v>
      </c>
      <c r="H143">
        <v>0</v>
      </c>
      <c r="M143">
        <v>0</v>
      </c>
      <c r="N143" s="1">
        <v>9</v>
      </c>
    </row>
    <row r="144" spans="2:14">
      <c r="B144">
        <v>149</v>
      </c>
      <c r="C144">
        <v>68</v>
      </c>
      <c r="D144">
        <v>127</v>
      </c>
      <c r="E144">
        <v>29.3</v>
      </c>
      <c r="F144">
        <v>0.34899999999999998</v>
      </c>
      <c r="G144">
        <v>42</v>
      </c>
      <c r="H144">
        <v>1</v>
      </c>
      <c r="M144">
        <v>29</v>
      </c>
      <c r="N144" s="1">
        <v>1</v>
      </c>
    </row>
    <row r="145" spans="2:14">
      <c r="B145">
        <v>102</v>
      </c>
      <c r="C145">
        <v>74</v>
      </c>
      <c r="D145">
        <v>0</v>
      </c>
      <c r="E145">
        <v>39.5</v>
      </c>
      <c r="F145">
        <v>0.29299999999999998</v>
      </c>
      <c r="G145">
        <v>42</v>
      </c>
      <c r="H145">
        <v>1</v>
      </c>
      <c r="M145">
        <v>0</v>
      </c>
      <c r="N145" s="1">
        <v>1</v>
      </c>
    </row>
    <row r="146" spans="2:14">
      <c r="B146">
        <v>89</v>
      </c>
      <c r="C146">
        <v>90</v>
      </c>
      <c r="D146">
        <v>0</v>
      </c>
      <c r="E146">
        <v>33.5</v>
      </c>
      <c r="F146">
        <v>0.29199999999999998</v>
      </c>
      <c r="G146">
        <v>42</v>
      </c>
      <c r="H146">
        <v>0</v>
      </c>
      <c r="M146">
        <v>30</v>
      </c>
      <c r="N146" s="1">
        <v>2</v>
      </c>
    </row>
    <row r="147" spans="2:14">
      <c r="B147">
        <v>108</v>
      </c>
      <c r="C147">
        <v>66</v>
      </c>
      <c r="D147">
        <v>0</v>
      </c>
      <c r="E147">
        <v>32.4</v>
      </c>
      <c r="F147">
        <v>0.27200000000000002</v>
      </c>
      <c r="G147">
        <v>42</v>
      </c>
      <c r="H147">
        <v>1</v>
      </c>
      <c r="M147">
        <v>0</v>
      </c>
      <c r="N147" s="1">
        <v>10</v>
      </c>
    </row>
    <row r="148" spans="2:14">
      <c r="B148">
        <v>81</v>
      </c>
      <c r="C148">
        <v>78</v>
      </c>
      <c r="D148">
        <v>48</v>
      </c>
      <c r="E148">
        <v>46.7</v>
      </c>
      <c r="F148">
        <v>0.26100000000000001</v>
      </c>
      <c r="G148">
        <v>42</v>
      </c>
      <c r="H148">
        <v>0</v>
      </c>
      <c r="M148">
        <v>40</v>
      </c>
      <c r="N148" s="1">
        <v>7</v>
      </c>
    </row>
    <row r="149" spans="2:14">
      <c r="B149">
        <v>136</v>
      </c>
      <c r="C149">
        <v>84</v>
      </c>
      <c r="D149">
        <v>130</v>
      </c>
      <c r="E149">
        <v>28.3</v>
      </c>
      <c r="F149">
        <v>0.26</v>
      </c>
      <c r="G149">
        <v>42</v>
      </c>
      <c r="H149">
        <v>1</v>
      </c>
      <c r="M149">
        <v>35</v>
      </c>
      <c r="N149" s="1">
        <v>11</v>
      </c>
    </row>
    <row r="150" spans="2:14">
      <c r="B150">
        <v>114</v>
      </c>
      <c r="C150">
        <v>66</v>
      </c>
      <c r="D150">
        <v>0</v>
      </c>
      <c r="E150">
        <v>32.799999999999997</v>
      </c>
      <c r="F150">
        <v>0.25800000000000001</v>
      </c>
      <c r="G150">
        <v>42</v>
      </c>
      <c r="H150">
        <v>1</v>
      </c>
      <c r="M150">
        <v>0</v>
      </c>
      <c r="N150" s="1">
        <v>7</v>
      </c>
    </row>
    <row r="151" spans="2:14">
      <c r="B151">
        <v>117</v>
      </c>
      <c r="C151">
        <v>86</v>
      </c>
      <c r="D151">
        <v>105</v>
      </c>
      <c r="E151">
        <v>39.1</v>
      </c>
      <c r="F151">
        <v>0.251</v>
      </c>
      <c r="G151">
        <v>42</v>
      </c>
      <c r="H151">
        <v>0</v>
      </c>
      <c r="M151">
        <v>30</v>
      </c>
      <c r="N151" s="1">
        <v>5</v>
      </c>
    </row>
    <row r="152" spans="2:14">
      <c r="B152">
        <v>100</v>
      </c>
      <c r="C152">
        <v>76</v>
      </c>
      <c r="D152">
        <v>0</v>
      </c>
      <c r="E152">
        <v>38.700000000000003</v>
      </c>
      <c r="F152">
        <v>0.19</v>
      </c>
      <c r="G152">
        <v>42</v>
      </c>
      <c r="H152">
        <v>0</v>
      </c>
      <c r="M152">
        <v>0</v>
      </c>
      <c r="N152" s="1">
        <v>8</v>
      </c>
    </row>
    <row r="153" spans="2:14">
      <c r="B153">
        <v>85</v>
      </c>
      <c r="C153">
        <v>55</v>
      </c>
      <c r="D153">
        <v>0</v>
      </c>
      <c r="E153">
        <v>24.4</v>
      </c>
      <c r="F153">
        <v>0.13600000000000001</v>
      </c>
      <c r="G153">
        <v>42</v>
      </c>
      <c r="H153">
        <v>0</v>
      </c>
      <c r="M153">
        <v>20</v>
      </c>
      <c r="N153" s="1">
        <v>8</v>
      </c>
    </row>
    <row r="154" spans="2:14">
      <c r="B154">
        <v>103</v>
      </c>
      <c r="C154">
        <v>68</v>
      </c>
      <c r="D154">
        <v>0</v>
      </c>
      <c r="E154">
        <v>46.2</v>
      </c>
      <c r="F154">
        <v>0.126</v>
      </c>
      <c r="G154">
        <v>42</v>
      </c>
      <c r="H154">
        <v>0</v>
      </c>
      <c r="M154">
        <v>40</v>
      </c>
      <c r="N154" s="1">
        <v>11</v>
      </c>
    </row>
    <row r="155" spans="2:14">
      <c r="B155">
        <v>120</v>
      </c>
      <c r="C155">
        <v>80</v>
      </c>
      <c r="D155">
        <v>200</v>
      </c>
      <c r="E155">
        <v>38.9</v>
      </c>
      <c r="F155">
        <v>1.1619999999999999</v>
      </c>
      <c r="G155">
        <v>41</v>
      </c>
      <c r="H155">
        <v>0</v>
      </c>
      <c r="M155">
        <v>48</v>
      </c>
      <c r="N155" s="1">
        <v>1</v>
      </c>
    </row>
    <row r="156" spans="2:14">
      <c r="B156">
        <v>194</v>
      </c>
      <c r="C156">
        <v>68</v>
      </c>
      <c r="D156">
        <v>0</v>
      </c>
      <c r="E156">
        <v>35.9</v>
      </c>
      <c r="F156">
        <v>0.745</v>
      </c>
      <c r="G156">
        <v>41</v>
      </c>
      <c r="H156">
        <v>1</v>
      </c>
      <c r="M156">
        <v>28</v>
      </c>
      <c r="N156" s="1">
        <v>7</v>
      </c>
    </row>
    <row r="157" spans="2:14">
      <c r="B157">
        <v>94</v>
      </c>
      <c r="C157">
        <v>64</v>
      </c>
      <c r="D157">
        <v>79</v>
      </c>
      <c r="E157">
        <v>33.299999999999997</v>
      </c>
      <c r="F157">
        <v>0.73799999999999999</v>
      </c>
      <c r="G157">
        <v>41</v>
      </c>
      <c r="H157">
        <v>0</v>
      </c>
      <c r="M157">
        <v>25</v>
      </c>
      <c r="N157" s="1">
        <v>7</v>
      </c>
    </row>
    <row r="158" spans="2:14">
      <c r="B158">
        <v>0</v>
      </c>
      <c r="C158">
        <v>68</v>
      </c>
      <c r="D158">
        <v>0</v>
      </c>
      <c r="E158">
        <v>39</v>
      </c>
      <c r="F158">
        <v>0.72699999999999998</v>
      </c>
      <c r="G158">
        <v>41</v>
      </c>
      <c r="H158">
        <v>1</v>
      </c>
      <c r="M158">
        <v>41</v>
      </c>
      <c r="N158" s="1">
        <v>6</v>
      </c>
    </row>
    <row r="159" spans="2:14">
      <c r="B159">
        <v>104</v>
      </c>
      <c r="C159">
        <v>74</v>
      </c>
      <c r="D159">
        <v>156</v>
      </c>
      <c r="E159">
        <v>29.9</v>
      </c>
      <c r="F159">
        <v>0.72199999999999998</v>
      </c>
      <c r="G159">
        <v>41</v>
      </c>
      <c r="H159">
        <v>1</v>
      </c>
      <c r="M159">
        <v>18</v>
      </c>
      <c r="N159" s="1">
        <v>6</v>
      </c>
    </row>
    <row r="160" spans="2:14">
      <c r="B160">
        <v>196</v>
      </c>
      <c r="C160">
        <v>90</v>
      </c>
      <c r="D160">
        <v>0</v>
      </c>
      <c r="E160">
        <v>39.799999999999997</v>
      </c>
      <c r="F160">
        <v>0.45100000000000001</v>
      </c>
      <c r="G160">
        <v>41</v>
      </c>
      <c r="H160">
        <v>1</v>
      </c>
      <c r="M160">
        <v>0</v>
      </c>
      <c r="N160" s="1">
        <v>7</v>
      </c>
    </row>
    <row r="161" spans="2:14">
      <c r="B161">
        <v>189</v>
      </c>
      <c r="C161">
        <v>104</v>
      </c>
      <c r="D161">
        <v>0</v>
      </c>
      <c r="E161">
        <v>34.299999999999997</v>
      </c>
      <c r="F161">
        <v>0.435</v>
      </c>
      <c r="G161">
        <v>41</v>
      </c>
      <c r="H161">
        <v>1</v>
      </c>
      <c r="M161">
        <v>25</v>
      </c>
      <c r="N161" s="1">
        <v>0</v>
      </c>
    </row>
    <row r="162" spans="2:14">
      <c r="B162">
        <v>62</v>
      </c>
      <c r="C162">
        <v>78</v>
      </c>
      <c r="D162">
        <v>0</v>
      </c>
      <c r="E162">
        <v>32.6</v>
      </c>
      <c r="F162">
        <v>0.39100000000000001</v>
      </c>
      <c r="G162">
        <v>41</v>
      </c>
      <c r="H162">
        <v>0</v>
      </c>
      <c r="M162">
        <v>0</v>
      </c>
      <c r="N162" s="1">
        <v>7</v>
      </c>
    </row>
    <row r="163" spans="2:14">
      <c r="B163">
        <v>184</v>
      </c>
      <c r="C163">
        <v>84</v>
      </c>
      <c r="D163">
        <v>0</v>
      </c>
      <c r="E163">
        <v>35.5</v>
      </c>
      <c r="F163">
        <v>0.35499999999999998</v>
      </c>
      <c r="G163">
        <v>41</v>
      </c>
      <c r="H163">
        <v>1</v>
      </c>
      <c r="M163">
        <v>33</v>
      </c>
      <c r="N163" s="1">
        <v>7</v>
      </c>
    </row>
    <row r="164" spans="2:14">
      <c r="B164">
        <v>178</v>
      </c>
      <c r="C164">
        <v>84</v>
      </c>
      <c r="D164">
        <v>0</v>
      </c>
      <c r="E164">
        <v>39.9</v>
      </c>
      <c r="F164">
        <v>0.33100000000000002</v>
      </c>
      <c r="G164">
        <v>41</v>
      </c>
      <c r="H164">
        <v>1</v>
      </c>
      <c r="M164">
        <v>0</v>
      </c>
      <c r="N164" s="1">
        <v>7</v>
      </c>
    </row>
    <row r="165" spans="2:14">
      <c r="B165">
        <v>80</v>
      </c>
      <c r="C165">
        <v>66</v>
      </c>
      <c r="D165">
        <v>0</v>
      </c>
      <c r="E165">
        <v>26.2</v>
      </c>
      <c r="F165">
        <v>0.313</v>
      </c>
      <c r="G165">
        <v>41</v>
      </c>
      <c r="H165">
        <v>0</v>
      </c>
      <c r="M165">
        <v>30</v>
      </c>
      <c r="N165" s="1">
        <v>6</v>
      </c>
    </row>
    <row r="166" spans="2:14">
      <c r="B166">
        <v>129</v>
      </c>
      <c r="C166">
        <v>68</v>
      </c>
      <c r="D166">
        <v>0</v>
      </c>
      <c r="E166">
        <v>38.5</v>
      </c>
      <c r="F166">
        <v>0.30399999999999999</v>
      </c>
      <c r="G166">
        <v>41</v>
      </c>
      <c r="H166">
        <v>0</v>
      </c>
      <c r="M166">
        <v>0</v>
      </c>
      <c r="N166" s="1">
        <v>2</v>
      </c>
    </row>
    <row r="167" spans="2:14">
      <c r="B167">
        <v>180</v>
      </c>
      <c r="C167">
        <v>68</v>
      </c>
      <c r="D167">
        <v>0</v>
      </c>
      <c r="E167">
        <v>43.3</v>
      </c>
      <c r="F167">
        <v>0.28199999999999997</v>
      </c>
      <c r="G167">
        <v>41</v>
      </c>
      <c r="H167">
        <v>1</v>
      </c>
      <c r="M167">
        <v>0</v>
      </c>
      <c r="N167" s="1">
        <v>1</v>
      </c>
    </row>
    <row r="168" spans="2:14">
      <c r="B168">
        <v>112</v>
      </c>
      <c r="C168">
        <v>66</v>
      </c>
      <c r="D168">
        <v>0</v>
      </c>
      <c r="E168">
        <v>37.799999999999997</v>
      </c>
      <c r="F168">
        <v>0.26100000000000001</v>
      </c>
      <c r="G168">
        <v>41</v>
      </c>
      <c r="H168">
        <v>1</v>
      </c>
      <c r="M168">
        <v>0</v>
      </c>
      <c r="N168" s="1">
        <v>5</v>
      </c>
    </row>
    <row r="169" spans="2:14">
      <c r="B169">
        <v>122</v>
      </c>
      <c r="C169">
        <v>68</v>
      </c>
      <c r="D169">
        <v>0</v>
      </c>
      <c r="E169">
        <v>31.2</v>
      </c>
      <c r="F169">
        <v>0.25800000000000001</v>
      </c>
      <c r="G169">
        <v>41</v>
      </c>
      <c r="H169">
        <v>0</v>
      </c>
      <c r="M169">
        <v>0</v>
      </c>
      <c r="N169" s="1">
        <v>10</v>
      </c>
    </row>
    <row r="170" spans="2:14">
      <c r="B170">
        <v>187</v>
      </c>
      <c r="C170">
        <v>68</v>
      </c>
      <c r="D170">
        <v>304</v>
      </c>
      <c r="E170">
        <v>37.700000000000003</v>
      </c>
      <c r="F170">
        <v>0.254</v>
      </c>
      <c r="G170">
        <v>41</v>
      </c>
      <c r="H170">
        <v>1</v>
      </c>
      <c r="M170">
        <v>39</v>
      </c>
      <c r="N170" s="1">
        <v>7</v>
      </c>
    </row>
    <row r="171" spans="2:14">
      <c r="B171">
        <v>140</v>
      </c>
      <c r="C171">
        <v>85</v>
      </c>
      <c r="D171">
        <v>0</v>
      </c>
      <c r="E171">
        <v>37.4</v>
      </c>
      <c r="F171">
        <v>0.24399999999999999</v>
      </c>
      <c r="G171">
        <v>41</v>
      </c>
      <c r="H171">
        <v>0</v>
      </c>
      <c r="M171">
        <v>33</v>
      </c>
      <c r="N171" s="1">
        <v>12</v>
      </c>
    </row>
    <row r="172" spans="2:14">
      <c r="B172">
        <v>125</v>
      </c>
      <c r="C172">
        <v>70</v>
      </c>
      <c r="D172">
        <v>115</v>
      </c>
      <c r="E172">
        <v>31.1</v>
      </c>
      <c r="F172">
        <v>0.20499999999999999</v>
      </c>
      <c r="G172">
        <v>41</v>
      </c>
      <c r="H172">
        <v>1</v>
      </c>
      <c r="M172">
        <v>26</v>
      </c>
      <c r="N172" s="1">
        <v>10</v>
      </c>
    </row>
    <row r="173" spans="2:14">
      <c r="B173">
        <v>76</v>
      </c>
      <c r="C173">
        <v>60</v>
      </c>
      <c r="D173">
        <v>0</v>
      </c>
      <c r="E173">
        <v>32.799999999999997</v>
      </c>
      <c r="F173">
        <v>0.18</v>
      </c>
      <c r="G173">
        <v>41</v>
      </c>
      <c r="H173">
        <v>0</v>
      </c>
      <c r="M173">
        <v>0</v>
      </c>
      <c r="N173" s="1">
        <v>13</v>
      </c>
    </row>
    <row r="174" spans="2:14">
      <c r="B174">
        <v>168</v>
      </c>
      <c r="C174">
        <v>64</v>
      </c>
      <c r="D174">
        <v>0</v>
      </c>
      <c r="E174">
        <v>32.9</v>
      </c>
      <c r="F174">
        <v>0.13500000000000001</v>
      </c>
      <c r="G174">
        <v>41</v>
      </c>
      <c r="H174">
        <v>1</v>
      </c>
      <c r="M174">
        <v>0</v>
      </c>
      <c r="N174" s="1">
        <v>5</v>
      </c>
    </row>
    <row r="175" spans="2:14">
      <c r="B175">
        <v>143</v>
      </c>
      <c r="C175">
        <v>66</v>
      </c>
      <c r="D175">
        <v>0</v>
      </c>
      <c r="E175">
        <v>34.9</v>
      </c>
      <c r="F175">
        <v>0.129</v>
      </c>
      <c r="G175">
        <v>41</v>
      </c>
      <c r="H175">
        <v>1</v>
      </c>
      <c r="M175">
        <v>0</v>
      </c>
      <c r="N175" s="1">
        <v>8</v>
      </c>
    </row>
    <row r="176" spans="2:14">
      <c r="B176">
        <v>57</v>
      </c>
      <c r="C176">
        <v>80</v>
      </c>
      <c r="D176">
        <v>0</v>
      </c>
      <c r="E176">
        <v>32.799999999999997</v>
      </c>
      <c r="F176">
        <v>9.6000000000000002E-2</v>
      </c>
      <c r="G176">
        <v>41</v>
      </c>
      <c r="H176">
        <v>0</v>
      </c>
      <c r="M176">
        <v>37</v>
      </c>
      <c r="N176" s="1">
        <v>9</v>
      </c>
    </row>
    <row r="177" spans="2:14">
      <c r="B177">
        <v>168</v>
      </c>
      <c r="C177">
        <v>88</v>
      </c>
      <c r="D177">
        <v>321</v>
      </c>
      <c r="E177">
        <v>38.200000000000003</v>
      </c>
      <c r="F177">
        <v>0.78700000000000003</v>
      </c>
      <c r="G177">
        <v>40</v>
      </c>
      <c r="H177">
        <v>1</v>
      </c>
      <c r="M177">
        <v>42</v>
      </c>
      <c r="N177" s="1">
        <v>7</v>
      </c>
    </row>
    <row r="178" spans="2:14">
      <c r="B178">
        <v>145</v>
      </c>
      <c r="C178">
        <v>80</v>
      </c>
      <c r="D178">
        <v>130</v>
      </c>
      <c r="E178">
        <v>37.9</v>
      </c>
      <c r="F178">
        <v>0.63700000000000001</v>
      </c>
      <c r="G178">
        <v>40</v>
      </c>
      <c r="H178">
        <v>1</v>
      </c>
      <c r="M178">
        <v>46</v>
      </c>
      <c r="N178" s="1">
        <v>9</v>
      </c>
    </row>
    <row r="179" spans="2:14">
      <c r="B179">
        <v>126</v>
      </c>
      <c r="C179">
        <v>78</v>
      </c>
      <c r="D179">
        <v>22</v>
      </c>
      <c r="E179">
        <v>29.6</v>
      </c>
      <c r="F179">
        <v>0.439</v>
      </c>
      <c r="G179">
        <v>40</v>
      </c>
      <c r="H179">
        <v>0</v>
      </c>
      <c r="M179">
        <v>27</v>
      </c>
      <c r="N179" s="1">
        <v>5</v>
      </c>
    </row>
    <row r="180" spans="2:14">
      <c r="B180">
        <v>117</v>
      </c>
      <c r="C180">
        <v>88</v>
      </c>
      <c r="D180">
        <v>145</v>
      </c>
      <c r="E180">
        <v>34.5</v>
      </c>
      <c r="F180">
        <v>0.40300000000000002</v>
      </c>
      <c r="G180">
        <v>40</v>
      </c>
      <c r="H180">
        <v>1</v>
      </c>
      <c r="M180">
        <v>24</v>
      </c>
      <c r="N180" s="1">
        <v>1</v>
      </c>
    </row>
    <row r="181" spans="2:14">
      <c r="B181">
        <v>123</v>
      </c>
      <c r="C181">
        <v>70</v>
      </c>
      <c r="D181">
        <v>94</v>
      </c>
      <c r="E181">
        <v>33.1</v>
      </c>
      <c r="F181">
        <v>0.374</v>
      </c>
      <c r="G181">
        <v>40</v>
      </c>
      <c r="H181">
        <v>0</v>
      </c>
      <c r="M181">
        <v>44</v>
      </c>
      <c r="N181" s="1">
        <v>9</v>
      </c>
    </row>
    <row r="182" spans="2:14">
      <c r="B182">
        <v>159</v>
      </c>
      <c r="C182">
        <v>64</v>
      </c>
      <c r="D182">
        <v>0</v>
      </c>
      <c r="E182">
        <v>27.4</v>
      </c>
      <c r="F182">
        <v>0.29399999999999998</v>
      </c>
      <c r="G182">
        <v>40</v>
      </c>
      <c r="H182">
        <v>0</v>
      </c>
      <c r="M182">
        <v>0</v>
      </c>
      <c r="N182" s="1">
        <v>7</v>
      </c>
    </row>
    <row r="183" spans="2:14">
      <c r="B183">
        <v>144</v>
      </c>
      <c r="C183">
        <v>72</v>
      </c>
      <c r="D183">
        <v>228</v>
      </c>
      <c r="E183">
        <v>33.9</v>
      </c>
      <c r="F183">
        <v>0.255</v>
      </c>
      <c r="G183">
        <v>40</v>
      </c>
      <c r="H183">
        <v>0</v>
      </c>
      <c r="M183">
        <v>27</v>
      </c>
      <c r="N183" s="1">
        <v>6</v>
      </c>
    </row>
    <row r="184" spans="2:14">
      <c r="B184">
        <v>122</v>
      </c>
      <c r="C184">
        <v>78</v>
      </c>
      <c r="D184">
        <v>0</v>
      </c>
      <c r="E184">
        <v>23</v>
      </c>
      <c r="F184">
        <v>0.254</v>
      </c>
      <c r="G184">
        <v>40</v>
      </c>
      <c r="H184">
        <v>0</v>
      </c>
      <c r="M184">
        <v>0</v>
      </c>
      <c r="N184" s="1">
        <v>3</v>
      </c>
    </row>
    <row r="185" spans="2:14">
      <c r="B185">
        <v>115</v>
      </c>
      <c r="C185">
        <v>60</v>
      </c>
      <c r="D185">
        <v>0</v>
      </c>
      <c r="E185">
        <v>33.700000000000003</v>
      </c>
      <c r="F185">
        <v>0.245</v>
      </c>
      <c r="G185">
        <v>40</v>
      </c>
      <c r="H185">
        <v>1</v>
      </c>
      <c r="M185">
        <v>39</v>
      </c>
      <c r="N185" s="1">
        <v>6</v>
      </c>
    </row>
    <row r="186" spans="2:14">
      <c r="B186">
        <v>141</v>
      </c>
      <c r="C186">
        <v>74</v>
      </c>
      <c r="D186">
        <v>0</v>
      </c>
      <c r="E186">
        <v>27.6</v>
      </c>
      <c r="F186">
        <v>0.24399999999999999</v>
      </c>
      <c r="G186">
        <v>40</v>
      </c>
      <c r="H186">
        <v>0</v>
      </c>
      <c r="M186">
        <v>0</v>
      </c>
      <c r="N186" s="1">
        <v>4</v>
      </c>
    </row>
    <row r="187" spans="2:14">
      <c r="B187">
        <v>96</v>
      </c>
      <c r="C187">
        <v>78</v>
      </c>
      <c r="D187">
        <v>0</v>
      </c>
      <c r="E187">
        <v>37.299999999999997</v>
      </c>
      <c r="F187">
        <v>0.23799999999999999</v>
      </c>
      <c r="G187">
        <v>40</v>
      </c>
      <c r="H187">
        <v>0</v>
      </c>
      <c r="M187">
        <v>39</v>
      </c>
      <c r="N187" s="1">
        <v>3</v>
      </c>
    </row>
    <row r="188" spans="2:14">
      <c r="B188">
        <v>111</v>
      </c>
      <c r="C188">
        <v>70</v>
      </c>
      <c r="D188">
        <v>0</v>
      </c>
      <c r="E188">
        <v>27.5</v>
      </c>
      <c r="F188">
        <v>0.14099999999999999</v>
      </c>
      <c r="G188">
        <v>40</v>
      </c>
      <c r="H188">
        <v>1</v>
      </c>
      <c r="M188">
        <v>27</v>
      </c>
      <c r="N188" s="1">
        <v>10</v>
      </c>
    </row>
    <row r="189" spans="2:14">
      <c r="B189">
        <v>197</v>
      </c>
      <c r="C189">
        <v>74</v>
      </c>
      <c r="D189">
        <v>0</v>
      </c>
      <c r="E189">
        <v>25.9</v>
      </c>
      <c r="F189">
        <v>0.46567787114845849</v>
      </c>
      <c r="G189">
        <v>39</v>
      </c>
      <c r="H189">
        <v>1</v>
      </c>
      <c r="M189">
        <v>0</v>
      </c>
      <c r="N189" s="1">
        <v>8</v>
      </c>
    </row>
    <row r="190" spans="2:14">
      <c r="B190">
        <v>153</v>
      </c>
      <c r="C190">
        <v>88</v>
      </c>
      <c r="D190">
        <v>140</v>
      </c>
      <c r="E190">
        <v>40.6</v>
      </c>
      <c r="F190">
        <v>1.1739999999999999</v>
      </c>
      <c r="G190">
        <v>39</v>
      </c>
      <c r="H190">
        <v>0</v>
      </c>
      <c r="M190">
        <v>37</v>
      </c>
      <c r="N190" s="1">
        <v>13</v>
      </c>
    </row>
    <row r="191" spans="2:14">
      <c r="B191">
        <v>96</v>
      </c>
      <c r="C191">
        <v>56</v>
      </c>
      <c r="D191">
        <v>115</v>
      </c>
      <c r="E191">
        <v>24.7</v>
      </c>
      <c r="F191">
        <v>0.94399999999999995</v>
      </c>
      <c r="G191">
        <v>39</v>
      </c>
      <c r="H191">
        <v>0</v>
      </c>
      <c r="M191">
        <v>34</v>
      </c>
      <c r="N191" s="1">
        <v>3</v>
      </c>
    </row>
    <row r="192" spans="2:14">
      <c r="B192">
        <v>154</v>
      </c>
      <c r="C192">
        <v>74</v>
      </c>
      <c r="D192">
        <v>193</v>
      </c>
      <c r="E192">
        <v>29.3</v>
      </c>
      <c r="F192">
        <v>0.83899999999999997</v>
      </c>
      <c r="G192">
        <v>39</v>
      </c>
      <c r="H192">
        <v>0</v>
      </c>
      <c r="M192">
        <v>32</v>
      </c>
      <c r="N192" s="1">
        <v>6</v>
      </c>
    </row>
    <row r="193" spans="2:14">
      <c r="B193">
        <v>74</v>
      </c>
      <c r="C193">
        <v>70</v>
      </c>
      <c r="D193">
        <v>49</v>
      </c>
      <c r="E193">
        <v>35.299999999999997</v>
      </c>
      <c r="F193">
        <v>0.70499999999999996</v>
      </c>
      <c r="G193">
        <v>39</v>
      </c>
      <c r="H193">
        <v>0</v>
      </c>
      <c r="M193">
        <v>40</v>
      </c>
      <c r="N193" s="1">
        <v>8</v>
      </c>
    </row>
    <row r="194" spans="2:14">
      <c r="B194">
        <v>160</v>
      </c>
      <c r="C194">
        <v>54</v>
      </c>
      <c r="D194">
        <v>175</v>
      </c>
      <c r="E194">
        <v>30.5</v>
      </c>
      <c r="F194">
        <v>0.58799999999999997</v>
      </c>
      <c r="G194">
        <v>39</v>
      </c>
      <c r="H194">
        <v>1</v>
      </c>
      <c r="M194">
        <v>32</v>
      </c>
      <c r="N194" s="1">
        <v>7</v>
      </c>
    </row>
    <row r="195" spans="2:14">
      <c r="B195">
        <v>84</v>
      </c>
      <c r="C195">
        <v>74</v>
      </c>
      <c r="D195">
        <v>0</v>
      </c>
      <c r="E195">
        <v>38.299999999999997</v>
      </c>
      <c r="F195">
        <v>0.45700000000000002</v>
      </c>
      <c r="G195">
        <v>39</v>
      </c>
      <c r="H195">
        <v>0</v>
      </c>
      <c r="M195">
        <v>31</v>
      </c>
      <c r="N195" s="1">
        <v>8</v>
      </c>
    </row>
    <row r="196" spans="2:14">
      <c r="B196">
        <v>137</v>
      </c>
      <c r="C196">
        <v>90</v>
      </c>
      <c r="D196">
        <v>0</v>
      </c>
      <c r="E196">
        <v>32</v>
      </c>
      <c r="F196">
        <v>0.39100000000000001</v>
      </c>
      <c r="G196">
        <v>39</v>
      </c>
      <c r="H196">
        <v>0</v>
      </c>
      <c r="M196">
        <v>41</v>
      </c>
      <c r="N196" s="1">
        <v>7</v>
      </c>
    </row>
    <row r="197" spans="2:14">
      <c r="B197">
        <v>129</v>
      </c>
      <c r="C197">
        <v>76</v>
      </c>
      <c r="D197">
        <v>122</v>
      </c>
      <c r="E197">
        <v>35.9</v>
      </c>
      <c r="F197">
        <v>0.28000000000000003</v>
      </c>
      <c r="G197">
        <v>39</v>
      </c>
      <c r="H197">
        <v>0</v>
      </c>
      <c r="M197">
        <v>28</v>
      </c>
      <c r="N197" s="1">
        <v>10</v>
      </c>
    </row>
    <row r="198" spans="2:14">
      <c r="B198">
        <v>78</v>
      </c>
      <c r="C198">
        <v>70</v>
      </c>
      <c r="D198">
        <v>0</v>
      </c>
      <c r="E198">
        <v>32.5</v>
      </c>
      <c r="F198">
        <v>0.27</v>
      </c>
      <c r="G198">
        <v>39</v>
      </c>
      <c r="H198">
        <v>0</v>
      </c>
      <c r="M198">
        <v>0</v>
      </c>
      <c r="N198" s="1">
        <v>3</v>
      </c>
    </row>
    <row r="199" spans="2:14">
      <c r="B199">
        <v>133</v>
      </c>
      <c r="C199">
        <v>72</v>
      </c>
      <c r="D199">
        <v>0</v>
      </c>
      <c r="E199">
        <v>32.9</v>
      </c>
      <c r="F199">
        <v>0.27</v>
      </c>
      <c r="G199">
        <v>39</v>
      </c>
      <c r="H199">
        <v>1</v>
      </c>
      <c r="M199">
        <v>0</v>
      </c>
      <c r="N199" s="1">
        <v>8</v>
      </c>
    </row>
    <row r="200" spans="2:14">
      <c r="B200">
        <v>126</v>
      </c>
      <c r="C200">
        <v>74</v>
      </c>
      <c r="D200">
        <v>75</v>
      </c>
      <c r="E200">
        <v>25.9</v>
      </c>
      <c r="F200">
        <v>0.16200000000000001</v>
      </c>
      <c r="G200">
        <v>39</v>
      </c>
      <c r="H200">
        <v>0</v>
      </c>
      <c r="M200">
        <v>38</v>
      </c>
      <c r="N200" s="1">
        <v>8</v>
      </c>
    </row>
    <row r="201" spans="2:14">
      <c r="B201">
        <v>101</v>
      </c>
      <c r="C201">
        <v>86</v>
      </c>
      <c r="D201">
        <v>0</v>
      </c>
      <c r="E201">
        <v>45.6</v>
      </c>
      <c r="F201">
        <v>1.1359999999999999</v>
      </c>
      <c r="G201">
        <v>38</v>
      </c>
      <c r="H201">
        <v>1</v>
      </c>
      <c r="M201">
        <v>37</v>
      </c>
      <c r="N201" s="1">
        <v>10</v>
      </c>
    </row>
    <row r="202" spans="2:14">
      <c r="B202">
        <v>109</v>
      </c>
      <c r="C202">
        <v>88</v>
      </c>
      <c r="D202">
        <v>0</v>
      </c>
      <c r="E202">
        <v>32.5</v>
      </c>
      <c r="F202">
        <v>0.85499999999999998</v>
      </c>
      <c r="G202">
        <v>38</v>
      </c>
      <c r="H202">
        <v>1</v>
      </c>
      <c r="M202">
        <v>30</v>
      </c>
      <c r="N202" s="1">
        <v>0</v>
      </c>
    </row>
    <row r="203" spans="2:14">
      <c r="B203">
        <v>151</v>
      </c>
      <c r="C203">
        <v>70</v>
      </c>
      <c r="D203">
        <v>271</v>
      </c>
      <c r="E203">
        <v>41.8</v>
      </c>
      <c r="F203">
        <v>0.74199999999999999</v>
      </c>
      <c r="G203">
        <v>38</v>
      </c>
      <c r="H203">
        <v>1</v>
      </c>
      <c r="M203">
        <v>40</v>
      </c>
      <c r="N203" s="1">
        <v>12</v>
      </c>
    </row>
    <row r="204" spans="2:14">
      <c r="B204">
        <v>89</v>
      </c>
      <c r="C204">
        <v>74</v>
      </c>
      <c r="D204">
        <v>85</v>
      </c>
      <c r="E204">
        <v>30.4</v>
      </c>
      <c r="F204">
        <v>0.55100000000000005</v>
      </c>
      <c r="G204">
        <v>38</v>
      </c>
      <c r="H204">
        <v>0</v>
      </c>
      <c r="M204">
        <v>16</v>
      </c>
      <c r="N204" s="1">
        <v>3</v>
      </c>
    </row>
    <row r="205" spans="2:14">
      <c r="B205">
        <v>104</v>
      </c>
      <c r="C205">
        <v>72</v>
      </c>
      <c r="D205">
        <v>0</v>
      </c>
      <c r="E205">
        <v>31.2</v>
      </c>
      <c r="F205">
        <v>0.46500000000000002</v>
      </c>
      <c r="G205">
        <v>38</v>
      </c>
      <c r="H205">
        <v>1</v>
      </c>
      <c r="M205">
        <v>0</v>
      </c>
      <c r="N205" s="1">
        <v>13</v>
      </c>
    </row>
    <row r="206" spans="2:14">
      <c r="B206">
        <v>129</v>
      </c>
      <c r="C206">
        <v>62</v>
      </c>
      <c r="D206">
        <v>0</v>
      </c>
      <c r="E206">
        <v>41.2</v>
      </c>
      <c r="F206">
        <v>0.441</v>
      </c>
      <c r="G206">
        <v>38</v>
      </c>
      <c r="H206">
        <v>1</v>
      </c>
      <c r="M206">
        <v>36</v>
      </c>
      <c r="N206" s="1">
        <v>10</v>
      </c>
    </row>
    <row r="207" spans="2:14">
      <c r="B207">
        <v>117</v>
      </c>
      <c r="C207">
        <v>92</v>
      </c>
      <c r="D207">
        <v>0</v>
      </c>
      <c r="E207">
        <v>34.1</v>
      </c>
      <c r="F207">
        <v>0.33700000000000002</v>
      </c>
      <c r="G207">
        <v>38</v>
      </c>
      <c r="H207">
        <v>0</v>
      </c>
      <c r="M207">
        <v>0</v>
      </c>
      <c r="N207" s="1">
        <v>5</v>
      </c>
    </row>
    <row r="208" spans="2:14">
      <c r="B208">
        <v>181</v>
      </c>
      <c r="C208">
        <v>64</v>
      </c>
      <c r="D208">
        <v>180</v>
      </c>
      <c r="E208">
        <v>34.1</v>
      </c>
      <c r="F208">
        <v>0.32800000000000001</v>
      </c>
      <c r="G208">
        <v>38</v>
      </c>
      <c r="H208">
        <v>1</v>
      </c>
      <c r="M208">
        <v>30</v>
      </c>
      <c r="N208" s="1">
        <v>1</v>
      </c>
    </row>
    <row r="209" spans="2:14">
      <c r="B209">
        <v>106</v>
      </c>
      <c r="C209">
        <v>82</v>
      </c>
      <c r="D209">
        <v>0</v>
      </c>
      <c r="E209">
        <v>39.5</v>
      </c>
      <c r="F209">
        <v>0.28599999999999998</v>
      </c>
      <c r="G209">
        <v>38</v>
      </c>
      <c r="H209">
        <v>0</v>
      </c>
      <c r="M209">
        <v>30</v>
      </c>
      <c r="N209" s="1">
        <v>5</v>
      </c>
    </row>
    <row r="210" spans="2:14">
      <c r="B210">
        <v>72</v>
      </c>
      <c r="C210">
        <v>78</v>
      </c>
      <c r="D210">
        <v>0</v>
      </c>
      <c r="E210">
        <v>31.6</v>
      </c>
      <c r="F210">
        <v>0.28000000000000003</v>
      </c>
      <c r="G210">
        <v>38</v>
      </c>
      <c r="H210">
        <v>0</v>
      </c>
      <c r="M210">
        <v>25</v>
      </c>
      <c r="N210" s="1">
        <v>9</v>
      </c>
    </row>
    <row r="211" spans="2:14">
      <c r="B211">
        <v>75</v>
      </c>
      <c r="C211">
        <v>82</v>
      </c>
      <c r="D211">
        <v>0</v>
      </c>
      <c r="E211">
        <v>33.299999999999997</v>
      </c>
      <c r="F211">
        <v>0.26300000000000001</v>
      </c>
      <c r="G211">
        <v>38</v>
      </c>
      <c r="H211">
        <v>0</v>
      </c>
      <c r="M211">
        <v>0</v>
      </c>
      <c r="N211" s="1">
        <v>10</v>
      </c>
    </row>
    <row r="212" spans="2:14">
      <c r="B212">
        <v>112</v>
      </c>
      <c r="C212">
        <v>78</v>
      </c>
      <c r="D212">
        <v>0</v>
      </c>
      <c r="E212">
        <v>39.4</v>
      </c>
      <c r="F212">
        <v>0.23599999999999999</v>
      </c>
      <c r="G212">
        <v>38</v>
      </c>
      <c r="H212">
        <v>0</v>
      </c>
      <c r="M212">
        <v>40</v>
      </c>
      <c r="N212" s="1">
        <v>4</v>
      </c>
    </row>
    <row r="213" spans="2:14">
      <c r="B213">
        <v>124</v>
      </c>
      <c r="C213">
        <v>74</v>
      </c>
      <c r="D213">
        <v>0</v>
      </c>
      <c r="E213">
        <v>34</v>
      </c>
      <c r="F213">
        <v>0.22</v>
      </c>
      <c r="G213">
        <v>38</v>
      </c>
      <c r="H213">
        <v>1</v>
      </c>
      <c r="M213">
        <v>0</v>
      </c>
      <c r="N213" s="1">
        <v>5</v>
      </c>
    </row>
    <row r="214" spans="2:14">
      <c r="B214">
        <v>120</v>
      </c>
      <c r="C214">
        <v>68</v>
      </c>
      <c r="D214">
        <v>0</v>
      </c>
      <c r="E214">
        <v>30</v>
      </c>
      <c r="F214">
        <v>0.183</v>
      </c>
      <c r="G214">
        <v>38</v>
      </c>
      <c r="H214">
        <v>1</v>
      </c>
      <c r="M214">
        <v>0</v>
      </c>
      <c r="N214" s="1">
        <v>8</v>
      </c>
    </row>
    <row r="215" spans="2:14">
      <c r="B215">
        <v>173</v>
      </c>
      <c r="C215">
        <v>74</v>
      </c>
      <c r="D215">
        <v>0</v>
      </c>
      <c r="E215">
        <v>36.799999999999997</v>
      </c>
      <c r="F215">
        <v>8.7999999999999995E-2</v>
      </c>
      <c r="G215">
        <v>38</v>
      </c>
      <c r="H215">
        <v>1</v>
      </c>
      <c r="M215">
        <v>0</v>
      </c>
      <c r="N215" s="1">
        <v>1</v>
      </c>
    </row>
    <row r="216" spans="2:14">
      <c r="B216">
        <v>128</v>
      </c>
      <c r="C216">
        <v>88</v>
      </c>
      <c r="D216">
        <v>110</v>
      </c>
      <c r="E216">
        <v>36.5</v>
      </c>
      <c r="F216">
        <v>1.0569999999999999</v>
      </c>
      <c r="G216">
        <v>37</v>
      </c>
      <c r="H216">
        <v>1</v>
      </c>
      <c r="M216">
        <v>39</v>
      </c>
      <c r="N216" s="1">
        <v>1</v>
      </c>
    </row>
    <row r="217" spans="2:14">
      <c r="B217">
        <v>130</v>
      </c>
      <c r="C217">
        <v>82</v>
      </c>
      <c r="D217">
        <v>0</v>
      </c>
      <c r="E217">
        <v>39.1</v>
      </c>
      <c r="F217">
        <v>0.95599999999999996</v>
      </c>
      <c r="G217">
        <v>37</v>
      </c>
      <c r="H217">
        <v>1</v>
      </c>
      <c r="M217">
        <v>0</v>
      </c>
      <c r="N217" s="1">
        <v>5</v>
      </c>
    </row>
    <row r="218" spans="2:14">
      <c r="B218">
        <v>133</v>
      </c>
      <c r="C218">
        <v>84</v>
      </c>
      <c r="D218">
        <v>0</v>
      </c>
      <c r="E218">
        <v>40.200000000000003</v>
      </c>
      <c r="F218">
        <v>0.69599999999999995</v>
      </c>
      <c r="G218">
        <v>37</v>
      </c>
      <c r="H218">
        <v>0</v>
      </c>
      <c r="M218">
        <v>0</v>
      </c>
      <c r="N218" s="1">
        <v>7</v>
      </c>
    </row>
    <row r="219" spans="2:14">
      <c r="B219">
        <v>144</v>
      </c>
      <c r="C219">
        <v>82</v>
      </c>
      <c r="D219">
        <v>0</v>
      </c>
      <c r="E219">
        <v>38.5</v>
      </c>
      <c r="F219">
        <v>0.55400000000000005</v>
      </c>
      <c r="G219">
        <v>37</v>
      </c>
      <c r="H219">
        <v>1</v>
      </c>
      <c r="M219">
        <v>32</v>
      </c>
      <c r="N219" s="1">
        <v>4</v>
      </c>
    </row>
    <row r="220" spans="2:14">
      <c r="B220">
        <v>116</v>
      </c>
      <c r="C220">
        <v>72</v>
      </c>
      <c r="D220">
        <v>87</v>
      </c>
      <c r="E220">
        <v>22.1</v>
      </c>
      <c r="F220">
        <v>0.46300000000000002</v>
      </c>
      <c r="G220">
        <v>37</v>
      </c>
      <c r="H220">
        <v>0</v>
      </c>
      <c r="M220">
        <v>12</v>
      </c>
      <c r="N220" s="1">
        <v>4</v>
      </c>
    </row>
    <row r="221" spans="2:14">
      <c r="B221">
        <v>114</v>
      </c>
      <c r="C221">
        <v>65</v>
      </c>
      <c r="D221">
        <v>0</v>
      </c>
      <c r="E221">
        <v>21.9</v>
      </c>
      <c r="F221">
        <v>0.432</v>
      </c>
      <c r="G221">
        <v>37</v>
      </c>
      <c r="H221">
        <v>0</v>
      </c>
      <c r="M221">
        <v>0</v>
      </c>
      <c r="N221" s="1">
        <v>4</v>
      </c>
    </row>
    <row r="222" spans="2:14">
      <c r="B222">
        <v>186</v>
      </c>
      <c r="C222">
        <v>90</v>
      </c>
      <c r="D222">
        <v>225</v>
      </c>
      <c r="E222">
        <v>34.5</v>
      </c>
      <c r="F222">
        <v>0.42299999999999999</v>
      </c>
      <c r="G222">
        <v>37</v>
      </c>
      <c r="H222">
        <v>1</v>
      </c>
      <c r="M222">
        <v>35</v>
      </c>
      <c r="N222" s="1">
        <v>8</v>
      </c>
    </row>
    <row r="223" spans="2:14">
      <c r="B223">
        <v>0</v>
      </c>
      <c r="C223">
        <v>80</v>
      </c>
      <c r="D223">
        <v>0</v>
      </c>
      <c r="E223">
        <v>41</v>
      </c>
      <c r="F223">
        <v>0.34599999999999997</v>
      </c>
      <c r="G223">
        <v>37</v>
      </c>
      <c r="H223">
        <v>1</v>
      </c>
      <c r="M223">
        <v>32</v>
      </c>
      <c r="N223" s="1">
        <v>5</v>
      </c>
    </row>
    <row r="224" spans="2:14">
      <c r="B224">
        <v>154</v>
      </c>
      <c r="C224">
        <v>72</v>
      </c>
      <c r="D224">
        <v>126</v>
      </c>
      <c r="E224">
        <v>31.3</v>
      </c>
      <c r="F224">
        <v>0.33800000000000002</v>
      </c>
      <c r="G224">
        <v>37</v>
      </c>
      <c r="H224">
        <v>0</v>
      </c>
      <c r="M224">
        <v>29</v>
      </c>
      <c r="N224" s="1">
        <v>4</v>
      </c>
    </row>
    <row r="225" spans="2:14">
      <c r="B225">
        <v>144</v>
      </c>
      <c r="C225">
        <v>58</v>
      </c>
      <c r="D225">
        <v>140</v>
      </c>
      <c r="E225">
        <v>29.5</v>
      </c>
      <c r="F225">
        <v>0.28699999999999998</v>
      </c>
      <c r="G225">
        <v>37</v>
      </c>
      <c r="H225">
        <v>0</v>
      </c>
      <c r="M225">
        <v>28</v>
      </c>
      <c r="N225" s="1">
        <v>4</v>
      </c>
    </row>
    <row r="226" spans="2:14">
      <c r="B226">
        <v>133</v>
      </c>
      <c r="C226">
        <v>88</v>
      </c>
      <c r="D226">
        <v>155</v>
      </c>
      <c r="E226">
        <v>32.4</v>
      </c>
      <c r="F226">
        <v>0.26200000000000001</v>
      </c>
      <c r="G226">
        <v>37</v>
      </c>
      <c r="H226">
        <v>0</v>
      </c>
      <c r="M226">
        <v>15</v>
      </c>
      <c r="N226" s="1">
        <v>7</v>
      </c>
    </row>
    <row r="227" spans="2:14">
      <c r="B227">
        <v>88</v>
      </c>
      <c r="C227">
        <v>78</v>
      </c>
      <c r="D227">
        <v>0</v>
      </c>
      <c r="E227">
        <v>27.6</v>
      </c>
      <c r="F227">
        <v>0.25800000000000001</v>
      </c>
      <c r="G227">
        <v>37</v>
      </c>
      <c r="H227">
        <v>0</v>
      </c>
      <c r="M227">
        <v>30</v>
      </c>
      <c r="N227" s="1">
        <v>5</v>
      </c>
    </row>
    <row r="228" spans="2:14">
      <c r="B228">
        <v>119</v>
      </c>
      <c r="C228">
        <v>68</v>
      </c>
      <c r="D228">
        <v>0</v>
      </c>
      <c r="E228">
        <v>25.2</v>
      </c>
      <c r="F228">
        <v>0.20899999999999999</v>
      </c>
      <c r="G228">
        <v>37</v>
      </c>
      <c r="H228">
        <v>0</v>
      </c>
      <c r="M228">
        <v>0</v>
      </c>
      <c r="N228" s="1">
        <v>7</v>
      </c>
    </row>
    <row r="229" spans="2:14">
      <c r="B229">
        <v>150</v>
      </c>
      <c r="C229">
        <v>76</v>
      </c>
      <c r="D229">
        <v>0</v>
      </c>
      <c r="E229">
        <v>21</v>
      </c>
      <c r="F229">
        <v>0.20699999999999999</v>
      </c>
      <c r="G229">
        <v>37</v>
      </c>
      <c r="H229">
        <v>0</v>
      </c>
      <c r="M229">
        <v>0</v>
      </c>
      <c r="N229" s="1">
        <v>3</v>
      </c>
    </row>
    <row r="230" spans="2:14">
      <c r="B230">
        <v>179</v>
      </c>
      <c r="C230">
        <v>70</v>
      </c>
      <c r="D230">
        <v>0</v>
      </c>
      <c r="E230">
        <v>35.1</v>
      </c>
      <c r="F230">
        <v>0.2</v>
      </c>
      <c r="G230">
        <v>37</v>
      </c>
      <c r="H230">
        <v>0</v>
      </c>
      <c r="M230">
        <v>0</v>
      </c>
      <c r="N230" s="1">
        <v>10</v>
      </c>
    </row>
    <row r="231" spans="2:14">
      <c r="B231">
        <v>124</v>
      </c>
      <c r="C231">
        <v>70</v>
      </c>
      <c r="D231">
        <v>215</v>
      </c>
      <c r="E231">
        <v>25.5</v>
      </c>
      <c r="F231">
        <v>0.161</v>
      </c>
      <c r="G231">
        <v>37</v>
      </c>
      <c r="H231">
        <v>0</v>
      </c>
      <c r="M231">
        <v>33</v>
      </c>
      <c r="N231" s="1">
        <v>7</v>
      </c>
    </row>
    <row r="232" spans="2:14">
      <c r="B232">
        <v>105</v>
      </c>
      <c r="C232">
        <v>70</v>
      </c>
      <c r="D232">
        <v>68</v>
      </c>
      <c r="E232">
        <v>30.8</v>
      </c>
      <c r="F232">
        <v>0.122</v>
      </c>
      <c r="G232">
        <v>37</v>
      </c>
      <c r="H232">
        <v>0</v>
      </c>
      <c r="M232">
        <v>32</v>
      </c>
      <c r="N232" s="1">
        <v>6</v>
      </c>
    </row>
    <row r="233" spans="2:14">
      <c r="B233">
        <v>90</v>
      </c>
      <c r="C233">
        <v>68</v>
      </c>
      <c r="D233">
        <v>0</v>
      </c>
      <c r="E233">
        <v>24.5</v>
      </c>
      <c r="F233">
        <v>1.1379999999999999</v>
      </c>
      <c r="G233">
        <v>36</v>
      </c>
      <c r="H233">
        <v>0</v>
      </c>
      <c r="M233">
        <v>8</v>
      </c>
      <c r="N233" s="1">
        <v>1</v>
      </c>
    </row>
    <row r="234" spans="2:14">
      <c r="B234">
        <v>83</v>
      </c>
      <c r="C234">
        <v>78</v>
      </c>
      <c r="D234">
        <v>71</v>
      </c>
      <c r="E234">
        <v>29.3</v>
      </c>
      <c r="F234">
        <v>0.76700000000000002</v>
      </c>
      <c r="G234">
        <v>36</v>
      </c>
      <c r="H234">
        <v>0</v>
      </c>
      <c r="M234">
        <v>26</v>
      </c>
      <c r="N234" s="1">
        <v>7</v>
      </c>
    </row>
    <row r="235" spans="2:14">
      <c r="B235">
        <v>179</v>
      </c>
      <c r="C235">
        <v>72</v>
      </c>
      <c r="D235">
        <v>130</v>
      </c>
      <c r="E235">
        <v>32.700000000000003</v>
      </c>
      <c r="F235">
        <v>0.71899999999999997</v>
      </c>
      <c r="G235">
        <v>36</v>
      </c>
      <c r="H235">
        <v>1</v>
      </c>
      <c r="M235">
        <v>42</v>
      </c>
      <c r="N235" s="1">
        <v>8</v>
      </c>
    </row>
    <row r="236" spans="2:14">
      <c r="B236">
        <v>95</v>
      </c>
      <c r="C236">
        <v>74</v>
      </c>
      <c r="D236">
        <v>73</v>
      </c>
      <c r="E236">
        <v>25.9</v>
      </c>
      <c r="F236">
        <v>0.67300000000000004</v>
      </c>
      <c r="G236">
        <v>36</v>
      </c>
      <c r="H236">
        <v>0</v>
      </c>
      <c r="M236">
        <v>21</v>
      </c>
      <c r="N236" s="1">
        <v>1</v>
      </c>
    </row>
    <row r="237" spans="2:14">
      <c r="B237">
        <v>174</v>
      </c>
      <c r="C237">
        <v>58</v>
      </c>
      <c r="D237">
        <v>194</v>
      </c>
      <c r="E237">
        <v>32.9</v>
      </c>
      <c r="F237">
        <v>0.59299999999999997</v>
      </c>
      <c r="G237">
        <v>36</v>
      </c>
      <c r="H237">
        <v>1</v>
      </c>
      <c r="M237">
        <v>22</v>
      </c>
      <c r="N237" s="1">
        <v>3</v>
      </c>
    </row>
    <row r="238" spans="2:14">
      <c r="B238">
        <v>44</v>
      </c>
      <c r="C238">
        <v>62</v>
      </c>
      <c r="D238">
        <v>0</v>
      </c>
      <c r="E238">
        <v>25</v>
      </c>
      <c r="F238">
        <v>0.58699999999999997</v>
      </c>
      <c r="G238">
        <v>36</v>
      </c>
      <c r="H238">
        <v>0</v>
      </c>
      <c r="M238">
        <v>0</v>
      </c>
      <c r="N238" s="1">
        <v>5</v>
      </c>
    </row>
    <row r="239" spans="2:14">
      <c r="B239">
        <v>151</v>
      </c>
      <c r="C239">
        <v>78</v>
      </c>
      <c r="D239">
        <v>210</v>
      </c>
      <c r="E239">
        <v>42.9</v>
      </c>
      <c r="F239">
        <v>0.51600000000000001</v>
      </c>
      <c r="G239">
        <v>36</v>
      </c>
      <c r="H239">
        <v>1</v>
      </c>
      <c r="M239">
        <v>32</v>
      </c>
      <c r="N239" s="1">
        <v>8</v>
      </c>
    </row>
    <row r="240" spans="2:14">
      <c r="B240">
        <v>187</v>
      </c>
      <c r="C240">
        <v>70</v>
      </c>
      <c r="D240">
        <v>200</v>
      </c>
      <c r="E240">
        <v>36.4</v>
      </c>
      <c r="F240">
        <v>0.40799999999999997</v>
      </c>
      <c r="G240">
        <v>36</v>
      </c>
      <c r="H240">
        <v>1</v>
      </c>
      <c r="M240">
        <v>22</v>
      </c>
      <c r="N240" s="1">
        <v>3</v>
      </c>
    </row>
    <row r="241" spans="2:14">
      <c r="B241">
        <v>159</v>
      </c>
      <c r="C241">
        <v>66</v>
      </c>
      <c r="D241">
        <v>0</v>
      </c>
      <c r="E241">
        <v>30.4</v>
      </c>
      <c r="F241">
        <v>0.38300000000000001</v>
      </c>
      <c r="G241">
        <v>36</v>
      </c>
      <c r="H241">
        <v>1</v>
      </c>
      <c r="M241">
        <v>0</v>
      </c>
      <c r="N241" s="1">
        <v>7</v>
      </c>
    </row>
    <row r="242" spans="2:14">
      <c r="B242">
        <v>152</v>
      </c>
      <c r="C242">
        <v>88</v>
      </c>
      <c r="D242">
        <v>0</v>
      </c>
      <c r="E242">
        <v>50</v>
      </c>
      <c r="F242">
        <v>0.33700000000000002</v>
      </c>
      <c r="G242">
        <v>36</v>
      </c>
      <c r="H242">
        <v>1</v>
      </c>
      <c r="M242">
        <v>44</v>
      </c>
      <c r="N242" s="1">
        <v>7</v>
      </c>
    </row>
    <row r="243" spans="2:14">
      <c r="B243">
        <v>151</v>
      </c>
      <c r="C243">
        <v>90</v>
      </c>
      <c r="D243">
        <v>0</v>
      </c>
      <c r="E243">
        <v>29.7</v>
      </c>
      <c r="F243">
        <v>0.29399999999999998</v>
      </c>
      <c r="G243">
        <v>36</v>
      </c>
      <c r="H243">
        <v>0</v>
      </c>
      <c r="M243">
        <v>38</v>
      </c>
      <c r="N243" s="1">
        <v>4</v>
      </c>
    </row>
    <row r="244" spans="2:14">
      <c r="B244">
        <v>112</v>
      </c>
      <c r="C244">
        <v>82</v>
      </c>
      <c r="D244">
        <v>175</v>
      </c>
      <c r="E244">
        <v>34.200000000000003</v>
      </c>
      <c r="F244">
        <v>0.26</v>
      </c>
      <c r="G244">
        <v>36</v>
      </c>
      <c r="H244">
        <v>1</v>
      </c>
      <c r="M244">
        <v>32</v>
      </c>
      <c r="N244" s="1">
        <v>9</v>
      </c>
    </row>
    <row r="245" spans="2:14">
      <c r="B245">
        <v>124</v>
      </c>
      <c r="C245">
        <v>70</v>
      </c>
      <c r="D245">
        <v>0</v>
      </c>
      <c r="E245">
        <v>27.4</v>
      </c>
      <c r="F245">
        <v>0.254</v>
      </c>
      <c r="G245">
        <v>36</v>
      </c>
      <c r="H245">
        <v>1</v>
      </c>
      <c r="M245">
        <v>20</v>
      </c>
      <c r="N245" s="1">
        <v>0</v>
      </c>
    </row>
    <row r="246" spans="2:14">
      <c r="B246">
        <v>133</v>
      </c>
      <c r="C246">
        <v>68</v>
      </c>
      <c r="D246">
        <v>0</v>
      </c>
      <c r="E246">
        <v>27</v>
      </c>
      <c r="F246">
        <v>0.245</v>
      </c>
      <c r="G246">
        <v>36</v>
      </c>
      <c r="H246">
        <v>0</v>
      </c>
      <c r="M246">
        <v>0</v>
      </c>
      <c r="N246" s="1">
        <v>10</v>
      </c>
    </row>
    <row r="247" spans="2:14">
      <c r="B247">
        <v>183</v>
      </c>
      <c r="C247">
        <v>68</v>
      </c>
      <c r="D247">
        <v>0</v>
      </c>
      <c r="E247">
        <v>28.4</v>
      </c>
      <c r="F247">
        <v>0.21199999999999999</v>
      </c>
      <c r="G247">
        <v>36</v>
      </c>
      <c r="H247">
        <v>1</v>
      </c>
      <c r="M247">
        <v>0</v>
      </c>
      <c r="N247" s="1">
        <v>4</v>
      </c>
    </row>
    <row r="248" spans="2:14">
      <c r="B248">
        <v>102</v>
      </c>
      <c r="C248">
        <v>82</v>
      </c>
      <c r="D248">
        <v>0</v>
      </c>
      <c r="E248">
        <v>30.8</v>
      </c>
      <c r="F248">
        <v>0.18</v>
      </c>
      <c r="G248">
        <v>36</v>
      </c>
      <c r="H248">
        <v>1</v>
      </c>
      <c r="M248">
        <v>0</v>
      </c>
      <c r="N248" s="1">
        <v>6</v>
      </c>
    </row>
    <row r="249" spans="2:14">
      <c r="B249">
        <v>93</v>
      </c>
      <c r="C249">
        <v>100</v>
      </c>
      <c r="D249">
        <v>72</v>
      </c>
      <c r="E249">
        <v>43.4</v>
      </c>
      <c r="F249">
        <v>1.0209999999999999</v>
      </c>
      <c r="G249">
        <v>35</v>
      </c>
      <c r="H249">
        <v>0</v>
      </c>
      <c r="M249">
        <v>39</v>
      </c>
      <c r="N249" s="1">
        <v>0</v>
      </c>
    </row>
    <row r="250" spans="2:14">
      <c r="B250">
        <v>108</v>
      </c>
      <c r="C250">
        <v>44</v>
      </c>
      <c r="D250">
        <v>130</v>
      </c>
      <c r="E250">
        <v>24</v>
      </c>
      <c r="F250">
        <v>0.81299999999999994</v>
      </c>
      <c r="G250">
        <v>35</v>
      </c>
      <c r="H250">
        <v>0</v>
      </c>
      <c r="M250">
        <v>20</v>
      </c>
      <c r="N250" s="1">
        <v>6</v>
      </c>
    </row>
    <row r="251" spans="2:14">
      <c r="B251">
        <v>116</v>
      </c>
      <c r="C251">
        <v>74</v>
      </c>
      <c r="D251">
        <v>0</v>
      </c>
      <c r="E251">
        <v>32.299999999999997</v>
      </c>
      <c r="F251">
        <v>0.66</v>
      </c>
      <c r="G251">
        <v>35</v>
      </c>
      <c r="H251">
        <v>1</v>
      </c>
      <c r="M251">
        <v>29</v>
      </c>
      <c r="N251" s="1">
        <v>5</v>
      </c>
    </row>
    <row r="252" spans="2:14">
      <c r="B252">
        <v>138</v>
      </c>
      <c r="C252">
        <v>76</v>
      </c>
      <c r="D252">
        <v>0</v>
      </c>
      <c r="E252">
        <v>33.200000000000003</v>
      </c>
      <c r="F252">
        <v>0.42</v>
      </c>
      <c r="G252">
        <v>35</v>
      </c>
      <c r="H252">
        <v>0</v>
      </c>
      <c r="M252">
        <v>0</v>
      </c>
      <c r="N252" s="1">
        <v>11</v>
      </c>
    </row>
    <row r="253" spans="2:14">
      <c r="B253">
        <v>158</v>
      </c>
      <c r="C253">
        <v>70</v>
      </c>
      <c r="D253">
        <v>328</v>
      </c>
      <c r="E253">
        <v>35.5</v>
      </c>
      <c r="F253">
        <v>0.34399999999999997</v>
      </c>
      <c r="G253">
        <v>35</v>
      </c>
      <c r="H253">
        <v>1</v>
      </c>
      <c r="M253">
        <v>30</v>
      </c>
      <c r="N253" s="1">
        <v>3</v>
      </c>
    </row>
    <row r="254" spans="2:14">
      <c r="B254">
        <v>180</v>
      </c>
      <c r="C254">
        <v>90</v>
      </c>
      <c r="D254">
        <v>90</v>
      </c>
      <c r="E254">
        <v>36.5</v>
      </c>
      <c r="F254">
        <v>0.314</v>
      </c>
      <c r="G254">
        <v>35</v>
      </c>
      <c r="H254">
        <v>1</v>
      </c>
      <c r="M254">
        <v>26</v>
      </c>
      <c r="N254" s="1">
        <v>0</v>
      </c>
    </row>
    <row r="255" spans="2:14">
      <c r="B255">
        <v>85</v>
      </c>
      <c r="C255">
        <v>74</v>
      </c>
      <c r="D255">
        <v>0</v>
      </c>
      <c r="E255">
        <v>30.1</v>
      </c>
      <c r="F255">
        <v>0.3</v>
      </c>
      <c r="G255">
        <v>35</v>
      </c>
      <c r="H255">
        <v>0</v>
      </c>
      <c r="M255">
        <v>0</v>
      </c>
      <c r="N255" s="1">
        <v>11</v>
      </c>
    </row>
    <row r="256" spans="2:14">
      <c r="B256">
        <v>136</v>
      </c>
      <c r="C256">
        <v>84</v>
      </c>
      <c r="D256">
        <v>88</v>
      </c>
      <c r="E256">
        <v>35</v>
      </c>
      <c r="F256">
        <v>0.28599999999999998</v>
      </c>
      <c r="G256">
        <v>35</v>
      </c>
      <c r="H256">
        <v>1</v>
      </c>
      <c r="M256">
        <v>41</v>
      </c>
      <c r="N256" s="1">
        <v>5</v>
      </c>
    </row>
    <row r="257" spans="2:14">
      <c r="B257">
        <v>123</v>
      </c>
      <c r="C257">
        <v>62</v>
      </c>
      <c r="D257">
        <v>0</v>
      </c>
      <c r="E257">
        <v>32</v>
      </c>
      <c r="F257">
        <v>0.22600000000000001</v>
      </c>
      <c r="G257">
        <v>35</v>
      </c>
      <c r="H257">
        <v>1</v>
      </c>
      <c r="M257">
        <v>0</v>
      </c>
      <c r="N257" s="1">
        <v>4</v>
      </c>
    </row>
    <row r="258" spans="2:14">
      <c r="B258">
        <v>77</v>
      </c>
      <c r="C258">
        <v>82</v>
      </c>
      <c r="D258">
        <v>42</v>
      </c>
      <c r="E258">
        <v>35.799999999999997</v>
      </c>
      <c r="F258">
        <v>0.156</v>
      </c>
      <c r="G258">
        <v>35</v>
      </c>
      <c r="H258">
        <v>0</v>
      </c>
      <c r="M258">
        <v>41</v>
      </c>
      <c r="N258" s="1">
        <v>5</v>
      </c>
    </row>
    <row r="259" spans="2:14">
      <c r="B259">
        <v>106</v>
      </c>
      <c r="C259">
        <v>64</v>
      </c>
      <c r="D259">
        <v>119</v>
      </c>
      <c r="E259">
        <v>30.5</v>
      </c>
      <c r="F259">
        <v>0.46567787114845849</v>
      </c>
      <c r="G259">
        <v>34</v>
      </c>
      <c r="H259">
        <v>0</v>
      </c>
      <c r="M259">
        <v>35</v>
      </c>
      <c r="N259" s="1">
        <v>2</v>
      </c>
    </row>
    <row r="260" spans="2:14">
      <c r="B260">
        <v>115</v>
      </c>
      <c r="C260">
        <v>98</v>
      </c>
      <c r="D260">
        <v>0</v>
      </c>
      <c r="E260">
        <v>24</v>
      </c>
      <c r="F260">
        <v>1.022</v>
      </c>
      <c r="G260">
        <v>34</v>
      </c>
      <c r="H260">
        <v>0</v>
      </c>
      <c r="M260">
        <v>0</v>
      </c>
      <c r="N260" s="1">
        <v>10</v>
      </c>
    </row>
    <row r="261" spans="2:14">
      <c r="B261">
        <v>107</v>
      </c>
      <c r="C261">
        <v>80</v>
      </c>
      <c r="D261">
        <v>0</v>
      </c>
      <c r="E261">
        <v>24.6</v>
      </c>
      <c r="F261">
        <v>0.85599999999999998</v>
      </c>
      <c r="G261">
        <v>34</v>
      </c>
      <c r="H261">
        <v>0</v>
      </c>
      <c r="M261">
        <v>0</v>
      </c>
      <c r="N261" s="1">
        <v>8</v>
      </c>
    </row>
    <row r="262" spans="2:14">
      <c r="B262">
        <v>123</v>
      </c>
      <c r="C262">
        <v>72</v>
      </c>
      <c r="D262">
        <v>230</v>
      </c>
      <c r="E262">
        <v>33.6</v>
      </c>
      <c r="F262">
        <v>0.73299999999999998</v>
      </c>
      <c r="G262">
        <v>34</v>
      </c>
      <c r="H262">
        <v>0</v>
      </c>
      <c r="M262">
        <v>45</v>
      </c>
      <c r="N262" s="1">
        <v>6</v>
      </c>
    </row>
    <row r="263" spans="2:14">
      <c r="B263">
        <v>114</v>
      </c>
      <c r="C263">
        <v>64</v>
      </c>
      <c r="D263">
        <v>0</v>
      </c>
      <c r="E263">
        <v>27.4</v>
      </c>
      <c r="F263">
        <v>0.73199999999999998</v>
      </c>
      <c r="G263">
        <v>34</v>
      </c>
      <c r="H263">
        <v>1</v>
      </c>
      <c r="M263">
        <v>0</v>
      </c>
      <c r="N263" s="1">
        <v>7</v>
      </c>
    </row>
    <row r="264" spans="2:14">
      <c r="B264">
        <v>120</v>
      </c>
      <c r="C264">
        <v>68</v>
      </c>
      <c r="D264">
        <v>0</v>
      </c>
      <c r="E264">
        <v>29.6</v>
      </c>
      <c r="F264">
        <v>0.70899999999999996</v>
      </c>
      <c r="G264">
        <v>34</v>
      </c>
      <c r="H264">
        <v>0</v>
      </c>
      <c r="M264">
        <v>0</v>
      </c>
      <c r="N264" s="1">
        <v>4</v>
      </c>
    </row>
    <row r="265" spans="2:14">
      <c r="B265">
        <v>168</v>
      </c>
      <c r="C265">
        <v>74</v>
      </c>
      <c r="D265">
        <v>0</v>
      </c>
      <c r="E265">
        <v>38</v>
      </c>
      <c r="F265">
        <v>0.53700000000000003</v>
      </c>
      <c r="G265">
        <v>34</v>
      </c>
      <c r="H265">
        <v>1</v>
      </c>
      <c r="M265">
        <v>0</v>
      </c>
      <c r="N265" s="1">
        <v>10</v>
      </c>
    </row>
    <row r="266" spans="2:14">
      <c r="B266">
        <v>123</v>
      </c>
      <c r="C266">
        <v>80</v>
      </c>
      <c r="D266">
        <v>176</v>
      </c>
      <c r="E266">
        <v>32</v>
      </c>
      <c r="F266">
        <v>0.443</v>
      </c>
      <c r="G266">
        <v>34</v>
      </c>
      <c r="H266">
        <v>0</v>
      </c>
      <c r="M266">
        <v>15</v>
      </c>
      <c r="N266" s="1">
        <v>4</v>
      </c>
    </row>
    <row r="267" spans="2:14">
      <c r="B267">
        <v>130</v>
      </c>
      <c r="C267">
        <v>78</v>
      </c>
      <c r="D267">
        <v>79</v>
      </c>
      <c r="E267">
        <v>28.4</v>
      </c>
      <c r="F267">
        <v>0.32300000000000001</v>
      </c>
      <c r="G267">
        <v>34</v>
      </c>
      <c r="H267">
        <v>1</v>
      </c>
      <c r="M267">
        <v>23</v>
      </c>
      <c r="N267" s="1">
        <v>3</v>
      </c>
    </row>
    <row r="268" spans="2:14">
      <c r="B268">
        <v>83</v>
      </c>
      <c r="C268">
        <v>86</v>
      </c>
      <c r="D268">
        <v>0</v>
      </c>
      <c r="E268">
        <v>29.3</v>
      </c>
      <c r="F268">
        <v>0.317</v>
      </c>
      <c r="G268">
        <v>34</v>
      </c>
      <c r="H268">
        <v>0</v>
      </c>
      <c r="M268">
        <v>19</v>
      </c>
      <c r="N268" s="1">
        <v>4</v>
      </c>
    </row>
    <row r="269" spans="2:14">
      <c r="B269">
        <v>191</v>
      </c>
      <c r="C269">
        <v>68</v>
      </c>
      <c r="D269">
        <v>130</v>
      </c>
      <c r="E269">
        <v>30.9</v>
      </c>
      <c r="F269">
        <v>0.29899999999999999</v>
      </c>
      <c r="G269">
        <v>34</v>
      </c>
      <c r="H269">
        <v>0</v>
      </c>
      <c r="M269">
        <v>15</v>
      </c>
      <c r="N269" s="1">
        <v>3</v>
      </c>
    </row>
    <row r="270" spans="2:14">
      <c r="B270">
        <v>137</v>
      </c>
      <c r="C270">
        <v>40</v>
      </c>
      <c r="D270">
        <v>168</v>
      </c>
      <c r="E270">
        <v>43.1</v>
      </c>
      <c r="F270">
        <v>0.46567787114845849</v>
      </c>
      <c r="G270">
        <v>33</v>
      </c>
      <c r="H270">
        <v>1</v>
      </c>
      <c r="M270">
        <v>35</v>
      </c>
      <c r="N270" s="1">
        <v>0</v>
      </c>
    </row>
    <row r="271" spans="2:14">
      <c r="B271">
        <v>128</v>
      </c>
      <c r="C271">
        <v>98</v>
      </c>
      <c r="D271">
        <v>58</v>
      </c>
      <c r="E271">
        <v>32</v>
      </c>
      <c r="F271">
        <v>0.46567787114845849</v>
      </c>
      <c r="G271">
        <v>33</v>
      </c>
      <c r="H271">
        <v>1</v>
      </c>
      <c r="M271">
        <v>41</v>
      </c>
      <c r="N271" s="1">
        <v>1</v>
      </c>
    </row>
    <row r="272" spans="2:14">
      <c r="B272">
        <v>119</v>
      </c>
      <c r="C272">
        <v>50</v>
      </c>
      <c r="D272">
        <v>176</v>
      </c>
      <c r="E272">
        <v>27.1</v>
      </c>
      <c r="F272">
        <v>0.46567787114845849</v>
      </c>
      <c r="G272">
        <v>33</v>
      </c>
      <c r="H272">
        <v>1</v>
      </c>
      <c r="M272">
        <v>22</v>
      </c>
      <c r="N272" s="1">
        <v>6</v>
      </c>
    </row>
    <row r="273" spans="2:14">
      <c r="B273">
        <v>163</v>
      </c>
      <c r="C273">
        <v>72</v>
      </c>
      <c r="D273">
        <v>0</v>
      </c>
      <c r="E273">
        <v>39</v>
      </c>
      <c r="F273">
        <v>0.46567787114845849</v>
      </c>
      <c r="G273">
        <v>33</v>
      </c>
      <c r="H273">
        <v>1</v>
      </c>
      <c r="M273">
        <v>0</v>
      </c>
      <c r="N273" s="1">
        <v>1</v>
      </c>
    </row>
    <row r="274" spans="2:14">
      <c r="B274">
        <v>122</v>
      </c>
      <c r="C274">
        <v>56</v>
      </c>
      <c r="D274">
        <v>0</v>
      </c>
      <c r="E274">
        <v>33.299999999999997</v>
      </c>
      <c r="F274">
        <v>1.1140000000000001</v>
      </c>
      <c r="G274">
        <v>33</v>
      </c>
      <c r="H274">
        <v>1</v>
      </c>
      <c r="M274">
        <v>0</v>
      </c>
      <c r="N274" s="1">
        <v>9</v>
      </c>
    </row>
    <row r="275" spans="2:14">
      <c r="B275">
        <v>103</v>
      </c>
      <c r="C275">
        <v>60</v>
      </c>
      <c r="D275">
        <v>192</v>
      </c>
      <c r="E275">
        <v>24</v>
      </c>
      <c r="F275">
        <v>0.96599999999999997</v>
      </c>
      <c r="G275">
        <v>33</v>
      </c>
      <c r="H275">
        <v>0</v>
      </c>
      <c r="M275">
        <v>33</v>
      </c>
      <c r="N275" s="1">
        <v>4</v>
      </c>
    </row>
    <row r="276" spans="2:14">
      <c r="B276">
        <v>108</v>
      </c>
      <c r="C276">
        <v>70</v>
      </c>
      <c r="D276">
        <v>0</v>
      </c>
      <c r="E276">
        <v>30.5</v>
      </c>
      <c r="F276">
        <v>0.95499999999999996</v>
      </c>
      <c r="G276">
        <v>33</v>
      </c>
      <c r="H276">
        <v>1</v>
      </c>
      <c r="M276">
        <v>0</v>
      </c>
      <c r="N276" s="1">
        <v>8</v>
      </c>
    </row>
    <row r="277" spans="2:14">
      <c r="B277">
        <v>152</v>
      </c>
      <c r="C277">
        <v>78</v>
      </c>
      <c r="D277">
        <v>171</v>
      </c>
      <c r="E277">
        <v>34.200000000000003</v>
      </c>
      <c r="F277">
        <v>0.89300000000000002</v>
      </c>
      <c r="G277">
        <v>33</v>
      </c>
      <c r="H277">
        <v>1</v>
      </c>
      <c r="M277">
        <v>34</v>
      </c>
      <c r="N277" s="1">
        <v>9</v>
      </c>
    </row>
    <row r="278" spans="2:14">
      <c r="B278">
        <v>167</v>
      </c>
      <c r="C278">
        <v>74</v>
      </c>
      <c r="D278">
        <v>144</v>
      </c>
      <c r="E278">
        <v>23.4</v>
      </c>
      <c r="F278">
        <v>0.44700000000000001</v>
      </c>
      <c r="G278">
        <v>33</v>
      </c>
      <c r="H278">
        <v>1</v>
      </c>
      <c r="M278">
        <v>17</v>
      </c>
      <c r="N278" s="1">
        <v>1</v>
      </c>
    </row>
    <row r="279" spans="2:14">
      <c r="B279">
        <v>75</v>
      </c>
      <c r="C279">
        <v>64</v>
      </c>
      <c r="D279">
        <v>55</v>
      </c>
      <c r="E279">
        <v>29.7</v>
      </c>
      <c r="F279">
        <v>0.37</v>
      </c>
      <c r="G279">
        <v>33</v>
      </c>
      <c r="H279">
        <v>0</v>
      </c>
      <c r="M279">
        <v>24</v>
      </c>
      <c r="N279" s="1">
        <v>2</v>
      </c>
    </row>
    <row r="280" spans="2:14">
      <c r="B280">
        <v>173</v>
      </c>
      <c r="C280">
        <v>70</v>
      </c>
      <c r="D280">
        <v>168</v>
      </c>
      <c r="E280">
        <v>29.7</v>
      </c>
      <c r="F280">
        <v>0.36099999999999999</v>
      </c>
      <c r="G280">
        <v>33</v>
      </c>
      <c r="H280">
        <v>1</v>
      </c>
      <c r="M280">
        <v>14</v>
      </c>
      <c r="N280" s="1">
        <v>4</v>
      </c>
    </row>
    <row r="281" spans="2:14">
      <c r="B281">
        <v>122</v>
      </c>
      <c r="C281">
        <v>86</v>
      </c>
      <c r="D281">
        <v>0</v>
      </c>
      <c r="E281">
        <v>34.700000000000003</v>
      </c>
      <c r="F281">
        <v>0.28999999999999998</v>
      </c>
      <c r="G281">
        <v>33</v>
      </c>
      <c r="H281">
        <v>0</v>
      </c>
      <c r="M281">
        <v>0</v>
      </c>
      <c r="N281" s="1">
        <v>5</v>
      </c>
    </row>
    <row r="282" spans="2:14">
      <c r="B282">
        <v>108</v>
      </c>
      <c r="C282">
        <v>72</v>
      </c>
      <c r="D282">
        <v>75</v>
      </c>
      <c r="E282">
        <v>36.1</v>
      </c>
      <c r="F282">
        <v>0.26300000000000001</v>
      </c>
      <c r="G282">
        <v>33</v>
      </c>
      <c r="H282">
        <v>0</v>
      </c>
      <c r="M282">
        <v>43</v>
      </c>
      <c r="N282" s="1">
        <v>5</v>
      </c>
    </row>
    <row r="283" spans="2:14">
      <c r="B283">
        <v>121</v>
      </c>
      <c r="C283">
        <v>66</v>
      </c>
      <c r="D283">
        <v>165</v>
      </c>
      <c r="E283">
        <v>34.299999999999997</v>
      </c>
      <c r="F283">
        <v>0.20300000000000001</v>
      </c>
      <c r="G283">
        <v>33</v>
      </c>
      <c r="H283">
        <v>1</v>
      </c>
      <c r="M283">
        <v>30</v>
      </c>
      <c r="N283" s="1">
        <v>0</v>
      </c>
    </row>
    <row r="284" spans="2:14">
      <c r="B284">
        <v>103</v>
      </c>
      <c r="C284">
        <v>68</v>
      </c>
      <c r="D284">
        <v>83</v>
      </c>
      <c r="E284">
        <v>43.3</v>
      </c>
      <c r="F284">
        <v>0.183</v>
      </c>
      <c r="G284">
        <v>33</v>
      </c>
      <c r="H284">
        <v>0</v>
      </c>
      <c r="M284">
        <v>38</v>
      </c>
      <c r="N284" s="1">
        <v>1</v>
      </c>
    </row>
    <row r="285" spans="2:14">
      <c r="B285">
        <v>99</v>
      </c>
      <c r="C285">
        <v>68</v>
      </c>
      <c r="D285">
        <v>0</v>
      </c>
      <c r="E285">
        <v>32.799999999999997</v>
      </c>
      <c r="F285">
        <v>0.14499999999999999</v>
      </c>
      <c r="G285">
        <v>33</v>
      </c>
      <c r="H285">
        <v>0</v>
      </c>
      <c r="M285">
        <v>38</v>
      </c>
      <c r="N285" s="1">
        <v>4</v>
      </c>
    </row>
    <row r="286" spans="2:14">
      <c r="B286">
        <v>89</v>
      </c>
      <c r="C286">
        <v>62</v>
      </c>
      <c r="D286">
        <v>0</v>
      </c>
      <c r="E286">
        <v>22.5</v>
      </c>
      <c r="F286">
        <v>0.14199999999999999</v>
      </c>
      <c r="G286">
        <v>33</v>
      </c>
      <c r="H286">
        <v>0</v>
      </c>
      <c r="M286">
        <v>0</v>
      </c>
      <c r="N286" s="1">
        <v>9</v>
      </c>
    </row>
    <row r="287" spans="2:14">
      <c r="B287">
        <v>85</v>
      </c>
      <c r="C287">
        <v>74</v>
      </c>
      <c r="D287">
        <v>0</v>
      </c>
      <c r="E287">
        <v>29</v>
      </c>
      <c r="F287">
        <v>0.46567787114845849</v>
      </c>
      <c r="G287">
        <v>32</v>
      </c>
      <c r="H287">
        <v>1</v>
      </c>
      <c r="M287">
        <v>22</v>
      </c>
      <c r="N287" s="1">
        <v>5</v>
      </c>
    </row>
    <row r="288" spans="2:14">
      <c r="B288">
        <v>81</v>
      </c>
      <c r="C288">
        <v>74</v>
      </c>
      <c r="D288">
        <v>57</v>
      </c>
      <c r="E288">
        <v>46.3</v>
      </c>
      <c r="F288">
        <v>1.0960000000000001</v>
      </c>
      <c r="G288">
        <v>32</v>
      </c>
      <c r="H288">
        <v>0</v>
      </c>
      <c r="M288">
        <v>41</v>
      </c>
      <c r="N288" s="1">
        <v>1</v>
      </c>
    </row>
    <row r="289" spans="2:14">
      <c r="B289">
        <v>129</v>
      </c>
      <c r="C289">
        <v>92</v>
      </c>
      <c r="D289">
        <v>155</v>
      </c>
      <c r="E289">
        <v>36.4</v>
      </c>
      <c r="F289">
        <v>0.96799999999999997</v>
      </c>
      <c r="G289">
        <v>32</v>
      </c>
      <c r="H289">
        <v>1</v>
      </c>
      <c r="M289">
        <v>49</v>
      </c>
      <c r="N289" s="1">
        <v>3</v>
      </c>
    </row>
    <row r="290" spans="2:14">
      <c r="B290">
        <v>97</v>
      </c>
      <c r="C290">
        <v>76</v>
      </c>
      <c r="D290">
        <v>91</v>
      </c>
      <c r="E290">
        <v>40.9</v>
      </c>
      <c r="F290">
        <v>0.871</v>
      </c>
      <c r="G290">
        <v>32</v>
      </c>
      <c r="H290">
        <v>1</v>
      </c>
      <c r="M290">
        <v>32</v>
      </c>
      <c r="N290" s="1">
        <v>7</v>
      </c>
    </row>
    <row r="291" spans="2:14">
      <c r="B291">
        <v>164</v>
      </c>
      <c r="C291">
        <v>84</v>
      </c>
      <c r="D291">
        <v>0</v>
      </c>
      <c r="E291">
        <v>30.8</v>
      </c>
      <c r="F291">
        <v>0.83099999999999996</v>
      </c>
      <c r="G291">
        <v>32</v>
      </c>
      <c r="H291">
        <v>1</v>
      </c>
      <c r="M291">
        <v>21</v>
      </c>
      <c r="N291" s="1">
        <v>9</v>
      </c>
    </row>
    <row r="292" spans="2:14">
      <c r="B292">
        <v>108</v>
      </c>
      <c r="C292">
        <v>68</v>
      </c>
      <c r="D292">
        <v>0</v>
      </c>
      <c r="E292">
        <v>27.3</v>
      </c>
      <c r="F292">
        <v>0.78700000000000003</v>
      </c>
      <c r="G292">
        <v>32</v>
      </c>
      <c r="H292">
        <v>0</v>
      </c>
      <c r="M292">
        <v>20</v>
      </c>
      <c r="N292" s="1">
        <v>0</v>
      </c>
    </row>
    <row r="293" spans="2:14">
      <c r="B293">
        <v>131</v>
      </c>
      <c r="C293">
        <v>88</v>
      </c>
      <c r="D293">
        <v>0</v>
      </c>
      <c r="E293">
        <v>31.6</v>
      </c>
      <c r="F293">
        <v>0.74299999999999999</v>
      </c>
      <c r="G293">
        <v>32</v>
      </c>
      <c r="H293">
        <v>1</v>
      </c>
      <c r="M293">
        <v>0</v>
      </c>
      <c r="N293" s="1">
        <v>0</v>
      </c>
    </row>
    <row r="294" spans="2:14">
      <c r="B294">
        <v>183</v>
      </c>
      <c r="C294">
        <v>64</v>
      </c>
      <c r="D294">
        <v>0</v>
      </c>
      <c r="E294">
        <v>23.3</v>
      </c>
      <c r="F294">
        <v>0.67200000000000004</v>
      </c>
      <c r="G294">
        <v>32</v>
      </c>
      <c r="H294">
        <v>1</v>
      </c>
      <c r="M294">
        <v>0</v>
      </c>
      <c r="N294" s="1">
        <v>8</v>
      </c>
    </row>
    <row r="295" spans="2:14">
      <c r="B295">
        <v>115</v>
      </c>
      <c r="C295">
        <v>70</v>
      </c>
      <c r="D295">
        <v>96</v>
      </c>
      <c r="E295">
        <v>34.6</v>
      </c>
      <c r="F295">
        <v>0.52900000000000003</v>
      </c>
      <c r="G295">
        <v>32</v>
      </c>
      <c r="H295">
        <v>1</v>
      </c>
      <c r="M295">
        <v>30</v>
      </c>
      <c r="N295" s="1">
        <v>1</v>
      </c>
    </row>
    <row r="296" spans="2:14">
      <c r="B296">
        <v>99</v>
      </c>
      <c r="C296">
        <v>60</v>
      </c>
      <c r="D296">
        <v>54</v>
      </c>
      <c r="E296">
        <v>26.9</v>
      </c>
      <c r="F296">
        <v>0.497</v>
      </c>
      <c r="G296">
        <v>32</v>
      </c>
      <c r="H296">
        <v>0</v>
      </c>
      <c r="M296">
        <v>19</v>
      </c>
      <c r="N296" s="1">
        <v>6</v>
      </c>
    </row>
    <row r="297" spans="2:14">
      <c r="B297">
        <v>100</v>
      </c>
      <c r="C297">
        <v>68</v>
      </c>
      <c r="D297">
        <v>0</v>
      </c>
      <c r="E297">
        <v>30</v>
      </c>
      <c r="F297">
        <v>0.48399999999999999</v>
      </c>
      <c r="G297">
        <v>32</v>
      </c>
      <c r="H297">
        <v>1</v>
      </c>
      <c r="M297">
        <v>0</v>
      </c>
      <c r="N297" s="1">
        <v>7</v>
      </c>
    </row>
    <row r="298" spans="2:14">
      <c r="B298">
        <v>125</v>
      </c>
      <c r="C298">
        <v>68</v>
      </c>
      <c r="D298">
        <v>120</v>
      </c>
      <c r="E298">
        <v>30</v>
      </c>
      <c r="F298">
        <v>0.46400000000000002</v>
      </c>
      <c r="G298">
        <v>32</v>
      </c>
      <c r="H298">
        <v>0</v>
      </c>
      <c r="M298">
        <v>30</v>
      </c>
      <c r="N298" s="1">
        <v>6</v>
      </c>
    </row>
    <row r="299" spans="2:14">
      <c r="B299">
        <v>156</v>
      </c>
      <c r="C299">
        <v>75</v>
      </c>
      <c r="D299">
        <v>0</v>
      </c>
      <c r="E299">
        <v>48.3</v>
      </c>
      <c r="F299">
        <v>0.23799999999999999</v>
      </c>
      <c r="G299">
        <v>32</v>
      </c>
      <c r="H299">
        <v>1</v>
      </c>
      <c r="M299">
        <v>0</v>
      </c>
      <c r="N299" s="1">
        <v>4</v>
      </c>
    </row>
    <row r="300" spans="2:14">
      <c r="B300">
        <v>99</v>
      </c>
      <c r="C300">
        <v>74</v>
      </c>
      <c r="D300">
        <v>0</v>
      </c>
      <c r="E300">
        <v>29</v>
      </c>
      <c r="F300">
        <v>0.20300000000000001</v>
      </c>
      <c r="G300">
        <v>32</v>
      </c>
      <c r="H300">
        <v>0</v>
      </c>
      <c r="M300">
        <v>27</v>
      </c>
      <c r="N300" s="1">
        <v>5</v>
      </c>
    </row>
    <row r="301" spans="2:14">
      <c r="B301">
        <v>102</v>
      </c>
      <c r="C301">
        <v>74</v>
      </c>
      <c r="D301">
        <v>0</v>
      </c>
      <c r="E301">
        <v>29.5</v>
      </c>
      <c r="F301">
        <v>0.121</v>
      </c>
      <c r="G301">
        <v>32</v>
      </c>
      <c r="H301">
        <v>0</v>
      </c>
      <c r="M301">
        <v>0</v>
      </c>
      <c r="N301" s="1">
        <v>3</v>
      </c>
    </row>
    <row r="302" spans="2:14">
      <c r="B302">
        <v>87</v>
      </c>
      <c r="C302">
        <v>80</v>
      </c>
      <c r="D302">
        <v>0</v>
      </c>
      <c r="E302">
        <v>23.2</v>
      </c>
      <c r="F302">
        <v>8.4000000000000005E-2</v>
      </c>
      <c r="G302">
        <v>32</v>
      </c>
      <c r="H302">
        <v>0</v>
      </c>
      <c r="M302">
        <v>0</v>
      </c>
      <c r="N302" s="1">
        <v>6</v>
      </c>
    </row>
    <row r="303" spans="2:14">
      <c r="B303">
        <v>128</v>
      </c>
      <c r="C303">
        <v>78</v>
      </c>
      <c r="D303">
        <v>182</v>
      </c>
      <c r="E303">
        <v>43.3</v>
      </c>
      <c r="F303">
        <v>0.46567787114845849</v>
      </c>
      <c r="G303">
        <v>31</v>
      </c>
      <c r="H303">
        <v>1</v>
      </c>
      <c r="M303">
        <v>37</v>
      </c>
      <c r="N303" s="1">
        <v>2</v>
      </c>
    </row>
    <row r="304" spans="2:14">
      <c r="B304">
        <v>173</v>
      </c>
      <c r="C304">
        <v>78</v>
      </c>
      <c r="D304">
        <v>185</v>
      </c>
      <c r="E304">
        <v>33.799999999999997</v>
      </c>
      <c r="F304">
        <v>0.97</v>
      </c>
      <c r="G304">
        <v>31</v>
      </c>
      <c r="H304">
        <v>1</v>
      </c>
      <c r="M304">
        <v>39</v>
      </c>
      <c r="N304" s="1">
        <v>3</v>
      </c>
    </row>
    <row r="305" spans="2:14">
      <c r="B305">
        <v>100</v>
      </c>
      <c r="C305">
        <v>88</v>
      </c>
      <c r="D305">
        <v>110</v>
      </c>
      <c r="E305">
        <v>46.8</v>
      </c>
      <c r="F305">
        <v>0.96199999999999997</v>
      </c>
      <c r="G305">
        <v>31</v>
      </c>
      <c r="H305">
        <v>0</v>
      </c>
      <c r="M305">
        <v>60</v>
      </c>
      <c r="N305" s="1">
        <v>0</v>
      </c>
    </row>
    <row r="306" spans="2:14">
      <c r="B306">
        <v>158</v>
      </c>
      <c r="C306">
        <v>78</v>
      </c>
      <c r="D306">
        <v>0</v>
      </c>
      <c r="E306">
        <v>32.9</v>
      </c>
      <c r="F306">
        <v>0.80300000000000005</v>
      </c>
      <c r="G306">
        <v>31</v>
      </c>
      <c r="H306">
        <v>1</v>
      </c>
      <c r="M306">
        <v>0</v>
      </c>
      <c r="N306" s="1">
        <v>4</v>
      </c>
    </row>
    <row r="307" spans="2:14">
      <c r="B307">
        <v>107</v>
      </c>
      <c r="C307">
        <v>88</v>
      </c>
      <c r="D307">
        <v>0</v>
      </c>
      <c r="E307">
        <v>36.799999999999997</v>
      </c>
      <c r="F307">
        <v>0.72699999999999998</v>
      </c>
      <c r="G307">
        <v>31</v>
      </c>
      <c r="H307">
        <v>0</v>
      </c>
      <c r="M307">
        <v>0</v>
      </c>
      <c r="N307" s="1">
        <v>6</v>
      </c>
    </row>
    <row r="308" spans="2:14">
      <c r="B308">
        <v>111</v>
      </c>
      <c r="C308">
        <v>65</v>
      </c>
      <c r="D308">
        <v>0</v>
      </c>
      <c r="E308">
        <v>24.6</v>
      </c>
      <c r="F308">
        <v>0.66</v>
      </c>
      <c r="G308">
        <v>31</v>
      </c>
      <c r="H308">
        <v>0</v>
      </c>
      <c r="M308">
        <v>0</v>
      </c>
      <c r="N308" s="1">
        <v>0</v>
      </c>
    </row>
    <row r="309" spans="2:14">
      <c r="B309">
        <v>109</v>
      </c>
      <c r="C309">
        <v>76</v>
      </c>
      <c r="D309">
        <v>114</v>
      </c>
      <c r="E309">
        <v>27.9</v>
      </c>
      <c r="F309">
        <v>0.64</v>
      </c>
      <c r="G309">
        <v>31</v>
      </c>
      <c r="H309">
        <v>1</v>
      </c>
      <c r="M309">
        <v>39</v>
      </c>
      <c r="N309" s="1">
        <v>8</v>
      </c>
    </row>
    <row r="310" spans="2:14">
      <c r="B310">
        <v>145</v>
      </c>
      <c r="C310">
        <v>68</v>
      </c>
      <c r="D310">
        <v>0</v>
      </c>
      <c r="E310">
        <v>44.2</v>
      </c>
      <c r="F310">
        <v>0.63</v>
      </c>
      <c r="G310">
        <v>31</v>
      </c>
      <c r="H310">
        <v>1</v>
      </c>
      <c r="M310">
        <v>0</v>
      </c>
      <c r="N310" s="1">
        <v>0</v>
      </c>
    </row>
    <row r="311" spans="2:14">
      <c r="B311">
        <v>90</v>
      </c>
      <c r="C311">
        <v>68</v>
      </c>
      <c r="D311">
        <v>0</v>
      </c>
      <c r="E311">
        <v>28</v>
      </c>
      <c r="F311">
        <v>0.61</v>
      </c>
      <c r="G311">
        <v>31</v>
      </c>
      <c r="H311">
        <v>0</v>
      </c>
      <c r="M311">
        <v>0</v>
      </c>
      <c r="N311" s="1">
        <v>4</v>
      </c>
    </row>
    <row r="312" spans="2:14">
      <c r="B312">
        <v>118</v>
      </c>
      <c r="C312">
        <v>84</v>
      </c>
      <c r="D312">
        <v>230</v>
      </c>
      <c r="E312">
        <v>45.8</v>
      </c>
      <c r="F312">
        <v>0.55100000000000005</v>
      </c>
      <c r="G312">
        <v>31</v>
      </c>
      <c r="H312">
        <v>1</v>
      </c>
      <c r="M312">
        <v>47</v>
      </c>
      <c r="N312" s="1">
        <v>0</v>
      </c>
    </row>
    <row r="313" spans="2:14">
      <c r="B313">
        <v>129</v>
      </c>
      <c r="C313">
        <v>60</v>
      </c>
      <c r="D313">
        <v>231</v>
      </c>
      <c r="E313">
        <v>27.5</v>
      </c>
      <c r="F313">
        <v>0.52700000000000002</v>
      </c>
      <c r="G313">
        <v>31</v>
      </c>
      <c r="H313">
        <v>0</v>
      </c>
      <c r="M313">
        <v>12</v>
      </c>
      <c r="N313" s="1">
        <v>4</v>
      </c>
    </row>
    <row r="314" spans="2:14">
      <c r="B314">
        <v>91</v>
      </c>
      <c r="C314">
        <v>68</v>
      </c>
      <c r="D314">
        <v>0</v>
      </c>
      <c r="E314">
        <v>29.8</v>
      </c>
      <c r="F314">
        <v>0.501</v>
      </c>
      <c r="G314">
        <v>31</v>
      </c>
      <c r="H314">
        <v>0</v>
      </c>
      <c r="M314">
        <v>0</v>
      </c>
      <c r="N314" s="1">
        <v>6</v>
      </c>
    </row>
    <row r="315" spans="2:14">
      <c r="B315">
        <v>114</v>
      </c>
      <c r="C315">
        <v>76</v>
      </c>
      <c r="D315">
        <v>110</v>
      </c>
      <c r="E315">
        <v>23.8</v>
      </c>
      <c r="F315">
        <v>0.46600000000000003</v>
      </c>
      <c r="G315">
        <v>31</v>
      </c>
      <c r="H315">
        <v>0</v>
      </c>
      <c r="M315">
        <v>17</v>
      </c>
      <c r="N315" s="1">
        <v>7</v>
      </c>
    </row>
    <row r="316" spans="2:14">
      <c r="B316">
        <v>85</v>
      </c>
      <c r="C316">
        <v>66</v>
      </c>
      <c r="D316">
        <v>0</v>
      </c>
      <c r="E316">
        <v>26.6</v>
      </c>
      <c r="F316">
        <v>0.35099999999999998</v>
      </c>
      <c r="G316">
        <v>31</v>
      </c>
      <c r="H316">
        <v>0</v>
      </c>
      <c r="M316">
        <v>29</v>
      </c>
      <c r="N316" s="1">
        <v>1</v>
      </c>
    </row>
    <row r="317" spans="2:14">
      <c r="B317">
        <v>103</v>
      </c>
      <c r="C317">
        <v>66</v>
      </c>
      <c r="D317">
        <v>0</v>
      </c>
      <c r="E317">
        <v>39.1</v>
      </c>
      <c r="F317">
        <v>0.34399999999999997</v>
      </c>
      <c r="G317">
        <v>31</v>
      </c>
      <c r="H317">
        <v>1</v>
      </c>
      <c r="M317">
        <v>32</v>
      </c>
      <c r="N317" s="1">
        <v>7</v>
      </c>
    </row>
    <row r="318" spans="2:14">
      <c r="B318">
        <v>195</v>
      </c>
      <c r="C318">
        <v>70</v>
      </c>
      <c r="D318">
        <v>0</v>
      </c>
      <c r="E318">
        <v>30.9</v>
      </c>
      <c r="F318">
        <v>0.32800000000000001</v>
      </c>
      <c r="G318">
        <v>31</v>
      </c>
      <c r="H318">
        <v>1</v>
      </c>
      <c r="M318">
        <v>0</v>
      </c>
      <c r="N318" s="1">
        <v>6</v>
      </c>
    </row>
    <row r="319" spans="2:14">
      <c r="B319">
        <v>122</v>
      </c>
      <c r="C319">
        <v>90</v>
      </c>
      <c r="D319">
        <v>220</v>
      </c>
      <c r="E319">
        <v>49.7</v>
      </c>
      <c r="F319">
        <v>0.32500000000000001</v>
      </c>
      <c r="G319">
        <v>31</v>
      </c>
      <c r="H319">
        <v>1</v>
      </c>
      <c r="M319">
        <v>51</v>
      </c>
      <c r="N319" s="1">
        <v>1</v>
      </c>
    </row>
    <row r="320" spans="2:14">
      <c r="B320">
        <v>169</v>
      </c>
      <c r="C320">
        <v>74</v>
      </c>
      <c r="D320">
        <v>125</v>
      </c>
      <c r="E320">
        <v>29.9</v>
      </c>
      <c r="F320">
        <v>0.26800000000000002</v>
      </c>
      <c r="G320">
        <v>31</v>
      </c>
      <c r="H320">
        <v>1</v>
      </c>
      <c r="M320">
        <v>19</v>
      </c>
      <c r="N320" s="1">
        <v>3</v>
      </c>
    </row>
    <row r="321" spans="2:14">
      <c r="B321">
        <v>184</v>
      </c>
      <c r="C321">
        <v>78</v>
      </c>
      <c r="D321">
        <v>277</v>
      </c>
      <c r="E321">
        <v>37</v>
      </c>
      <c r="F321">
        <v>0.26400000000000001</v>
      </c>
      <c r="G321">
        <v>31</v>
      </c>
      <c r="H321">
        <v>1</v>
      </c>
      <c r="M321">
        <v>39</v>
      </c>
      <c r="N321" s="1">
        <v>4</v>
      </c>
    </row>
    <row r="322" spans="2:14">
      <c r="B322">
        <v>107</v>
      </c>
      <c r="C322">
        <v>74</v>
      </c>
      <c r="D322">
        <v>0</v>
      </c>
      <c r="E322">
        <v>29.6</v>
      </c>
      <c r="F322">
        <v>0.254</v>
      </c>
      <c r="G322">
        <v>31</v>
      </c>
      <c r="H322">
        <v>1</v>
      </c>
      <c r="M322">
        <v>0</v>
      </c>
      <c r="N322" s="1">
        <v>7</v>
      </c>
    </row>
    <row r="323" spans="2:14">
      <c r="B323">
        <v>92</v>
      </c>
      <c r="C323">
        <v>62</v>
      </c>
      <c r="D323">
        <v>0</v>
      </c>
      <c r="E323">
        <v>25.9</v>
      </c>
      <c r="F323">
        <v>0.16700000000000001</v>
      </c>
      <c r="G323">
        <v>31</v>
      </c>
      <c r="H323">
        <v>0</v>
      </c>
      <c r="M323">
        <v>0</v>
      </c>
      <c r="N323" s="1">
        <v>10</v>
      </c>
    </row>
    <row r="324" spans="2:14">
      <c r="B324">
        <v>95</v>
      </c>
      <c r="C324">
        <v>64</v>
      </c>
      <c r="D324">
        <v>0</v>
      </c>
      <c r="E324">
        <v>32</v>
      </c>
      <c r="F324">
        <v>0.161</v>
      </c>
      <c r="G324">
        <v>31</v>
      </c>
      <c r="H324">
        <v>1</v>
      </c>
      <c r="M324">
        <v>0</v>
      </c>
      <c r="N324" s="1">
        <v>4</v>
      </c>
    </row>
    <row r="325" spans="2:14">
      <c r="B325">
        <v>125</v>
      </c>
      <c r="C325">
        <v>60</v>
      </c>
      <c r="D325">
        <v>140</v>
      </c>
      <c r="E325">
        <v>33.799999999999997</v>
      </c>
      <c r="F325">
        <v>8.7999999999999995E-2</v>
      </c>
      <c r="G325">
        <v>31</v>
      </c>
      <c r="H325">
        <v>0</v>
      </c>
      <c r="M325">
        <v>20</v>
      </c>
      <c r="N325" s="1">
        <v>2</v>
      </c>
    </row>
    <row r="326" spans="2:14">
      <c r="B326">
        <v>124</v>
      </c>
      <c r="C326">
        <v>68</v>
      </c>
      <c r="D326">
        <v>205</v>
      </c>
      <c r="E326">
        <v>32.9</v>
      </c>
      <c r="F326">
        <v>0.875</v>
      </c>
      <c r="G326">
        <v>30</v>
      </c>
      <c r="H326">
        <v>1</v>
      </c>
      <c r="M326">
        <v>28</v>
      </c>
      <c r="N326" s="1">
        <v>2</v>
      </c>
    </row>
    <row r="327" spans="2:14">
      <c r="B327">
        <v>167</v>
      </c>
      <c r="C327">
        <v>68</v>
      </c>
      <c r="D327">
        <v>0</v>
      </c>
      <c r="E327">
        <v>32.299999999999997</v>
      </c>
      <c r="F327">
        <v>0.83899999999999997</v>
      </c>
      <c r="G327">
        <v>30</v>
      </c>
      <c r="H327">
        <v>1</v>
      </c>
      <c r="M327">
        <v>0</v>
      </c>
      <c r="N327" s="1">
        <v>0</v>
      </c>
    </row>
    <row r="328" spans="2:14">
      <c r="B328">
        <v>122</v>
      </c>
      <c r="C328">
        <v>64</v>
      </c>
      <c r="D328">
        <v>156</v>
      </c>
      <c r="E328">
        <v>35.1</v>
      </c>
      <c r="F328">
        <v>0.69199999999999995</v>
      </c>
      <c r="G328">
        <v>30</v>
      </c>
      <c r="H328">
        <v>1</v>
      </c>
      <c r="M328">
        <v>32</v>
      </c>
      <c r="N328" s="1">
        <v>1</v>
      </c>
    </row>
    <row r="329" spans="2:14">
      <c r="B329">
        <v>111</v>
      </c>
      <c r="C329">
        <v>56</v>
      </c>
      <c r="D329">
        <v>0</v>
      </c>
      <c r="E329">
        <v>30.1</v>
      </c>
      <c r="F329">
        <v>0.55700000000000005</v>
      </c>
      <c r="G329">
        <v>30</v>
      </c>
      <c r="H329">
        <v>0</v>
      </c>
      <c r="M329">
        <v>39</v>
      </c>
      <c r="N329" s="1">
        <v>3</v>
      </c>
    </row>
    <row r="330" spans="2:14">
      <c r="B330">
        <v>99</v>
      </c>
      <c r="C330">
        <v>54</v>
      </c>
      <c r="D330">
        <v>83</v>
      </c>
      <c r="E330">
        <v>34</v>
      </c>
      <c r="F330">
        <v>0.499</v>
      </c>
      <c r="G330">
        <v>30</v>
      </c>
      <c r="H330">
        <v>0</v>
      </c>
      <c r="M330">
        <v>28</v>
      </c>
      <c r="N330" s="1">
        <v>5</v>
      </c>
    </row>
    <row r="331" spans="2:14">
      <c r="B331">
        <v>120</v>
      </c>
      <c r="C331">
        <v>70</v>
      </c>
      <c r="D331">
        <v>135</v>
      </c>
      <c r="E331">
        <v>42.9</v>
      </c>
      <c r="F331">
        <v>0.45200000000000001</v>
      </c>
      <c r="G331">
        <v>30</v>
      </c>
      <c r="H331">
        <v>0</v>
      </c>
      <c r="M331">
        <v>30</v>
      </c>
      <c r="N331" s="1">
        <v>3</v>
      </c>
    </row>
    <row r="332" spans="2:14">
      <c r="B332">
        <v>147</v>
      </c>
      <c r="C332">
        <v>74</v>
      </c>
      <c r="D332">
        <v>293</v>
      </c>
      <c r="E332">
        <v>34.9</v>
      </c>
      <c r="F332">
        <v>0.38500000000000001</v>
      </c>
      <c r="G332">
        <v>30</v>
      </c>
      <c r="H332">
        <v>0</v>
      </c>
      <c r="M332">
        <v>25</v>
      </c>
      <c r="N332" s="1">
        <v>4</v>
      </c>
    </row>
    <row r="333" spans="2:14">
      <c r="B333">
        <v>117</v>
      </c>
      <c r="C333">
        <v>62</v>
      </c>
      <c r="D333">
        <v>0</v>
      </c>
      <c r="E333">
        <v>29.7</v>
      </c>
      <c r="F333">
        <v>0.38</v>
      </c>
      <c r="G333">
        <v>30</v>
      </c>
      <c r="H333">
        <v>1</v>
      </c>
      <c r="M333">
        <v>12</v>
      </c>
      <c r="N333" s="1">
        <v>4</v>
      </c>
    </row>
    <row r="334" spans="2:14">
      <c r="B334">
        <v>170</v>
      </c>
      <c r="C334">
        <v>64</v>
      </c>
      <c r="D334">
        <v>225</v>
      </c>
      <c r="E334">
        <v>34.5</v>
      </c>
      <c r="F334">
        <v>0.35599999999999998</v>
      </c>
      <c r="G334">
        <v>30</v>
      </c>
      <c r="H334">
        <v>1</v>
      </c>
      <c r="M334">
        <v>37</v>
      </c>
      <c r="N334" s="1">
        <v>3</v>
      </c>
    </row>
    <row r="335" spans="2:14">
      <c r="B335">
        <v>88</v>
      </c>
      <c r="C335">
        <v>66</v>
      </c>
      <c r="D335">
        <v>23</v>
      </c>
      <c r="E335">
        <v>24.4</v>
      </c>
      <c r="F335">
        <v>0.34200000000000003</v>
      </c>
      <c r="G335">
        <v>30</v>
      </c>
      <c r="H335">
        <v>0</v>
      </c>
      <c r="M335">
        <v>21</v>
      </c>
      <c r="N335" s="1">
        <v>5</v>
      </c>
    </row>
    <row r="336" spans="2:14">
      <c r="B336">
        <v>110</v>
      </c>
      <c r="C336">
        <v>68</v>
      </c>
      <c r="D336">
        <v>0</v>
      </c>
      <c r="E336">
        <v>26</v>
      </c>
      <c r="F336">
        <v>0.29199999999999998</v>
      </c>
      <c r="G336">
        <v>30</v>
      </c>
      <c r="H336">
        <v>0</v>
      </c>
      <c r="M336">
        <v>0</v>
      </c>
      <c r="N336" s="1">
        <v>5</v>
      </c>
    </row>
    <row r="337" spans="2:14">
      <c r="B337">
        <v>99</v>
      </c>
      <c r="C337">
        <v>80</v>
      </c>
      <c r="D337">
        <v>64</v>
      </c>
      <c r="E337">
        <v>19.3</v>
      </c>
      <c r="F337">
        <v>0.28399999999999997</v>
      </c>
      <c r="G337">
        <v>30</v>
      </c>
      <c r="H337">
        <v>0</v>
      </c>
      <c r="M337">
        <v>11</v>
      </c>
      <c r="N337" s="1">
        <v>3</v>
      </c>
    </row>
    <row r="338" spans="2:14">
      <c r="B338">
        <v>137</v>
      </c>
      <c r="C338">
        <v>84</v>
      </c>
      <c r="D338">
        <v>0</v>
      </c>
      <c r="E338">
        <v>31.2</v>
      </c>
      <c r="F338">
        <v>0.252</v>
      </c>
      <c r="G338">
        <v>30</v>
      </c>
      <c r="H338">
        <v>0</v>
      </c>
      <c r="M338">
        <v>0</v>
      </c>
      <c r="N338" s="1">
        <v>4</v>
      </c>
    </row>
    <row r="339" spans="2:14">
      <c r="B339">
        <v>121</v>
      </c>
      <c r="C339">
        <v>72</v>
      </c>
      <c r="D339">
        <v>112</v>
      </c>
      <c r="E339">
        <v>26.2</v>
      </c>
      <c r="F339">
        <v>0.245</v>
      </c>
      <c r="G339">
        <v>30</v>
      </c>
      <c r="H339">
        <v>0</v>
      </c>
      <c r="M339">
        <v>23</v>
      </c>
      <c r="N339" s="1">
        <v>5</v>
      </c>
    </row>
    <row r="340" spans="2:14">
      <c r="B340">
        <v>97</v>
      </c>
      <c r="C340">
        <v>70</v>
      </c>
      <c r="D340">
        <v>0</v>
      </c>
      <c r="E340">
        <v>38.1</v>
      </c>
      <c r="F340">
        <v>0.218</v>
      </c>
      <c r="G340">
        <v>30</v>
      </c>
      <c r="H340">
        <v>0</v>
      </c>
      <c r="M340">
        <v>40</v>
      </c>
      <c r="N340" s="1">
        <v>1</v>
      </c>
    </row>
    <row r="341" spans="2:14">
      <c r="B341">
        <v>116</v>
      </c>
      <c r="C341">
        <v>74</v>
      </c>
      <c r="D341">
        <v>0</v>
      </c>
      <c r="E341">
        <v>25.6</v>
      </c>
      <c r="F341">
        <v>0.20100000000000001</v>
      </c>
      <c r="G341">
        <v>30</v>
      </c>
      <c r="H341">
        <v>0</v>
      </c>
      <c r="M341">
        <v>0</v>
      </c>
      <c r="N341" s="1">
        <v>5</v>
      </c>
    </row>
    <row r="342" spans="2:14">
      <c r="B342">
        <v>110</v>
      </c>
      <c r="C342">
        <v>92</v>
      </c>
      <c r="D342">
        <v>0</v>
      </c>
      <c r="E342">
        <v>37.6</v>
      </c>
      <c r="F342">
        <v>0.191</v>
      </c>
      <c r="G342">
        <v>30</v>
      </c>
      <c r="H342">
        <v>0</v>
      </c>
      <c r="M342">
        <v>0</v>
      </c>
      <c r="N342" s="1">
        <v>4</v>
      </c>
    </row>
    <row r="343" spans="2:14">
      <c r="B343">
        <v>117</v>
      </c>
      <c r="C343">
        <v>96</v>
      </c>
      <c r="D343">
        <v>0</v>
      </c>
      <c r="E343">
        <v>28.7</v>
      </c>
      <c r="F343">
        <v>0.157</v>
      </c>
      <c r="G343">
        <v>30</v>
      </c>
      <c r="H343">
        <v>0</v>
      </c>
      <c r="M343">
        <v>0</v>
      </c>
      <c r="N343" s="1">
        <v>6</v>
      </c>
    </row>
    <row r="344" spans="2:14">
      <c r="B344">
        <v>124</v>
      </c>
      <c r="C344">
        <v>74</v>
      </c>
      <c r="D344">
        <v>0</v>
      </c>
      <c r="E344">
        <v>27.8</v>
      </c>
      <c r="F344">
        <v>0.1</v>
      </c>
      <c r="G344">
        <v>30</v>
      </c>
      <c r="H344">
        <v>0</v>
      </c>
      <c r="M344">
        <v>36</v>
      </c>
      <c r="N344" s="1">
        <v>1</v>
      </c>
    </row>
    <row r="345" spans="2:14">
      <c r="B345">
        <v>86</v>
      </c>
      <c r="C345">
        <v>66</v>
      </c>
      <c r="D345">
        <v>65</v>
      </c>
      <c r="E345">
        <v>41.3</v>
      </c>
      <c r="F345">
        <v>0.91700000000000004</v>
      </c>
      <c r="G345">
        <v>29</v>
      </c>
      <c r="H345">
        <v>0</v>
      </c>
      <c r="M345">
        <v>52</v>
      </c>
      <c r="N345" s="1">
        <v>1</v>
      </c>
    </row>
    <row r="346" spans="2:14">
      <c r="B346">
        <v>196</v>
      </c>
      <c r="C346">
        <v>76</v>
      </c>
      <c r="D346">
        <v>249</v>
      </c>
      <c r="E346">
        <v>36.5</v>
      </c>
      <c r="F346">
        <v>0.875</v>
      </c>
      <c r="G346">
        <v>29</v>
      </c>
      <c r="H346">
        <v>1</v>
      </c>
      <c r="M346">
        <v>36</v>
      </c>
      <c r="N346" s="1">
        <v>1</v>
      </c>
    </row>
    <row r="347" spans="2:14">
      <c r="B347">
        <v>119</v>
      </c>
      <c r="C347">
        <v>86</v>
      </c>
      <c r="D347">
        <v>220</v>
      </c>
      <c r="E347">
        <v>45.6</v>
      </c>
      <c r="F347">
        <v>0.80800000000000005</v>
      </c>
      <c r="G347">
        <v>29</v>
      </c>
      <c r="H347">
        <v>1</v>
      </c>
      <c r="M347">
        <v>39</v>
      </c>
      <c r="N347" s="1">
        <v>1</v>
      </c>
    </row>
    <row r="348" spans="2:14">
      <c r="B348">
        <v>105</v>
      </c>
      <c r="C348">
        <v>80</v>
      </c>
      <c r="D348">
        <v>191</v>
      </c>
      <c r="E348">
        <v>33.700000000000003</v>
      </c>
      <c r="F348">
        <v>0.71099999999999997</v>
      </c>
      <c r="G348">
        <v>29</v>
      </c>
      <c r="H348">
        <v>1</v>
      </c>
      <c r="M348">
        <v>45</v>
      </c>
      <c r="N348" s="1">
        <v>2</v>
      </c>
    </row>
    <row r="349" spans="2:14">
      <c r="B349">
        <v>129</v>
      </c>
      <c r="C349">
        <v>80</v>
      </c>
      <c r="D349">
        <v>0</v>
      </c>
      <c r="E349">
        <v>31.2</v>
      </c>
      <c r="F349">
        <v>0.70299999999999996</v>
      </c>
      <c r="G349">
        <v>29</v>
      </c>
      <c r="H349">
        <v>0</v>
      </c>
      <c r="M349">
        <v>0</v>
      </c>
      <c r="N349" s="1">
        <v>0</v>
      </c>
    </row>
    <row r="350" spans="2:14">
      <c r="B350">
        <v>189</v>
      </c>
      <c r="C350">
        <v>64</v>
      </c>
      <c r="D350">
        <v>325</v>
      </c>
      <c r="E350">
        <v>31.2</v>
      </c>
      <c r="F350">
        <v>0.58299999999999996</v>
      </c>
      <c r="G350">
        <v>29</v>
      </c>
      <c r="H350">
        <v>1</v>
      </c>
      <c r="M350">
        <v>33</v>
      </c>
      <c r="N350" s="1">
        <v>5</v>
      </c>
    </row>
    <row r="351" spans="2:14">
      <c r="B351">
        <v>146</v>
      </c>
      <c r="C351">
        <v>56</v>
      </c>
      <c r="D351">
        <v>0</v>
      </c>
      <c r="E351">
        <v>29.7</v>
      </c>
      <c r="F351">
        <v>0.56399999999999995</v>
      </c>
      <c r="G351">
        <v>29</v>
      </c>
      <c r="H351">
        <v>0</v>
      </c>
      <c r="M351">
        <v>0</v>
      </c>
      <c r="N351" s="1">
        <v>1</v>
      </c>
    </row>
    <row r="352" spans="2:14">
      <c r="B352">
        <v>134</v>
      </c>
      <c r="C352">
        <v>70</v>
      </c>
      <c r="D352">
        <v>130</v>
      </c>
      <c r="E352">
        <v>35.4</v>
      </c>
      <c r="F352">
        <v>0.54200000000000004</v>
      </c>
      <c r="G352">
        <v>29</v>
      </c>
      <c r="H352">
        <v>1</v>
      </c>
      <c r="M352">
        <v>23</v>
      </c>
      <c r="N352" s="1">
        <v>6</v>
      </c>
    </row>
    <row r="353" spans="2:14">
      <c r="B353">
        <v>111</v>
      </c>
      <c r="C353">
        <v>90</v>
      </c>
      <c r="D353">
        <v>78</v>
      </c>
      <c r="E353">
        <v>28.4</v>
      </c>
      <c r="F353">
        <v>0.495</v>
      </c>
      <c r="G353">
        <v>29</v>
      </c>
      <c r="H353">
        <v>0</v>
      </c>
      <c r="M353">
        <v>12</v>
      </c>
      <c r="N353" s="1">
        <v>3</v>
      </c>
    </row>
    <row r="354" spans="2:14">
      <c r="B354">
        <v>110</v>
      </c>
      <c r="C354">
        <v>66</v>
      </c>
      <c r="D354">
        <v>0</v>
      </c>
      <c r="E354">
        <v>31.9</v>
      </c>
      <c r="F354">
        <v>0.47099999999999997</v>
      </c>
      <c r="G354">
        <v>29</v>
      </c>
      <c r="H354">
        <v>0</v>
      </c>
      <c r="M354">
        <v>0</v>
      </c>
      <c r="N354" s="1">
        <v>4</v>
      </c>
    </row>
    <row r="355" spans="2:14">
      <c r="B355">
        <v>158</v>
      </c>
      <c r="C355">
        <v>84</v>
      </c>
      <c r="D355">
        <v>210</v>
      </c>
      <c r="E355">
        <v>39.4</v>
      </c>
      <c r="F355">
        <v>0.39500000000000002</v>
      </c>
      <c r="G355">
        <v>29</v>
      </c>
      <c r="H355">
        <v>1</v>
      </c>
      <c r="M355">
        <v>41</v>
      </c>
      <c r="N355" s="1">
        <v>5</v>
      </c>
    </row>
    <row r="356" spans="2:14">
      <c r="B356">
        <v>122</v>
      </c>
      <c r="C356">
        <v>68</v>
      </c>
      <c r="D356">
        <v>0</v>
      </c>
      <c r="E356">
        <v>35</v>
      </c>
      <c r="F356">
        <v>0.39400000000000002</v>
      </c>
      <c r="G356">
        <v>29</v>
      </c>
      <c r="H356">
        <v>0</v>
      </c>
      <c r="M356">
        <v>0</v>
      </c>
      <c r="N356" s="1">
        <v>4</v>
      </c>
    </row>
    <row r="357" spans="2:14">
      <c r="B357">
        <v>124</v>
      </c>
      <c r="C357">
        <v>72</v>
      </c>
      <c r="D357">
        <v>0</v>
      </c>
      <c r="E357">
        <v>27.6</v>
      </c>
      <c r="F357">
        <v>0.36799999999999999</v>
      </c>
      <c r="G357">
        <v>29</v>
      </c>
      <c r="H357">
        <v>1</v>
      </c>
      <c r="M357">
        <v>0</v>
      </c>
      <c r="N357" s="1">
        <v>6</v>
      </c>
    </row>
    <row r="358" spans="2:14">
      <c r="B358">
        <v>88</v>
      </c>
      <c r="C358">
        <v>78</v>
      </c>
      <c r="D358">
        <v>76</v>
      </c>
      <c r="E358">
        <v>32</v>
      </c>
      <c r="F358">
        <v>0.36499999999999999</v>
      </c>
      <c r="G358">
        <v>29</v>
      </c>
      <c r="H358">
        <v>0</v>
      </c>
      <c r="M358">
        <v>29</v>
      </c>
      <c r="N358" s="1">
        <v>1</v>
      </c>
    </row>
    <row r="359" spans="2:14">
      <c r="B359">
        <v>90</v>
      </c>
      <c r="C359">
        <v>88</v>
      </c>
      <c r="D359">
        <v>54</v>
      </c>
      <c r="E359">
        <v>37.700000000000003</v>
      </c>
      <c r="F359">
        <v>0.36199999999999999</v>
      </c>
      <c r="G359">
        <v>29</v>
      </c>
      <c r="H359">
        <v>0</v>
      </c>
      <c r="M359">
        <v>47</v>
      </c>
      <c r="N359" s="1">
        <v>4</v>
      </c>
    </row>
    <row r="360" spans="2:14">
      <c r="B360">
        <v>182</v>
      </c>
      <c r="C360">
        <v>74</v>
      </c>
      <c r="D360">
        <v>0</v>
      </c>
      <c r="E360">
        <v>30.5</v>
      </c>
      <c r="F360">
        <v>0.34499999999999997</v>
      </c>
      <c r="G360">
        <v>29</v>
      </c>
      <c r="H360">
        <v>1</v>
      </c>
      <c r="M360">
        <v>0</v>
      </c>
      <c r="N360" s="1">
        <v>3</v>
      </c>
    </row>
    <row r="361" spans="2:14">
      <c r="B361">
        <v>146</v>
      </c>
      <c r="C361">
        <v>76</v>
      </c>
      <c r="D361">
        <v>194</v>
      </c>
      <c r="E361">
        <v>38.200000000000003</v>
      </c>
      <c r="F361">
        <v>0.32900000000000001</v>
      </c>
      <c r="G361">
        <v>29</v>
      </c>
      <c r="H361">
        <v>0</v>
      </c>
      <c r="M361">
        <v>35</v>
      </c>
      <c r="N361" s="1">
        <v>2</v>
      </c>
    </row>
    <row r="362" spans="2:14">
      <c r="B362">
        <v>106</v>
      </c>
      <c r="C362">
        <v>60</v>
      </c>
      <c r="D362">
        <v>0</v>
      </c>
      <c r="E362">
        <v>26.5</v>
      </c>
      <c r="F362">
        <v>0.29599999999999999</v>
      </c>
      <c r="G362">
        <v>29</v>
      </c>
      <c r="H362">
        <v>1</v>
      </c>
      <c r="M362">
        <v>24</v>
      </c>
      <c r="N362" s="1">
        <v>7</v>
      </c>
    </row>
    <row r="363" spans="2:14">
      <c r="B363">
        <v>119</v>
      </c>
      <c r="C363">
        <v>80</v>
      </c>
      <c r="D363">
        <v>0</v>
      </c>
      <c r="E363">
        <v>29</v>
      </c>
      <c r="F363">
        <v>0.26300000000000001</v>
      </c>
      <c r="G363">
        <v>29</v>
      </c>
      <c r="H363">
        <v>1</v>
      </c>
      <c r="M363">
        <v>35</v>
      </c>
      <c r="N363" s="1">
        <v>9</v>
      </c>
    </row>
    <row r="364" spans="2:14">
      <c r="B364">
        <v>103</v>
      </c>
      <c r="C364">
        <v>66</v>
      </c>
      <c r="D364">
        <v>0</v>
      </c>
      <c r="E364">
        <v>24.3</v>
      </c>
      <c r="F364">
        <v>0.249</v>
      </c>
      <c r="G364">
        <v>29</v>
      </c>
      <c r="H364">
        <v>0</v>
      </c>
      <c r="M364">
        <v>0</v>
      </c>
      <c r="N364" s="1">
        <v>6</v>
      </c>
    </row>
    <row r="365" spans="2:14">
      <c r="B365">
        <v>92</v>
      </c>
      <c r="C365">
        <v>80</v>
      </c>
      <c r="D365">
        <v>0</v>
      </c>
      <c r="E365">
        <v>42.2</v>
      </c>
      <c r="F365">
        <v>0.23699999999999999</v>
      </c>
      <c r="G365">
        <v>29</v>
      </c>
      <c r="H365">
        <v>0</v>
      </c>
      <c r="M365">
        <v>0</v>
      </c>
      <c r="N365" s="1">
        <v>4</v>
      </c>
    </row>
    <row r="366" spans="2:14">
      <c r="B366">
        <v>120</v>
      </c>
      <c r="C366">
        <v>76</v>
      </c>
      <c r="D366">
        <v>105</v>
      </c>
      <c r="E366">
        <v>39.700000000000003</v>
      </c>
      <c r="F366">
        <v>0.215</v>
      </c>
      <c r="G366">
        <v>29</v>
      </c>
      <c r="H366">
        <v>0</v>
      </c>
      <c r="M366">
        <v>37</v>
      </c>
      <c r="N366" s="1">
        <v>2</v>
      </c>
    </row>
    <row r="367" spans="2:14">
      <c r="B367">
        <v>141</v>
      </c>
      <c r="C367">
        <v>68</v>
      </c>
      <c r="D367">
        <v>0</v>
      </c>
      <c r="E367">
        <v>42.4</v>
      </c>
      <c r="F367">
        <v>0.20499999999999999</v>
      </c>
      <c r="G367">
        <v>29</v>
      </c>
      <c r="H367">
        <v>1</v>
      </c>
      <c r="M367">
        <v>0</v>
      </c>
      <c r="N367" s="1">
        <v>0</v>
      </c>
    </row>
    <row r="368" spans="2:14">
      <c r="B368">
        <v>123</v>
      </c>
      <c r="C368">
        <v>88</v>
      </c>
      <c r="D368">
        <v>0</v>
      </c>
      <c r="E368">
        <v>35.200000000000003</v>
      </c>
      <c r="F368">
        <v>0.19700000000000001</v>
      </c>
      <c r="G368">
        <v>29</v>
      </c>
      <c r="H368">
        <v>0</v>
      </c>
      <c r="M368">
        <v>37</v>
      </c>
      <c r="N368" s="1">
        <v>0</v>
      </c>
    </row>
    <row r="369" spans="2:14">
      <c r="B369">
        <v>107</v>
      </c>
      <c r="C369">
        <v>50</v>
      </c>
      <c r="D369">
        <v>0</v>
      </c>
      <c r="E369">
        <v>28.3</v>
      </c>
      <c r="F369">
        <v>0.18099999999999999</v>
      </c>
      <c r="G369">
        <v>29</v>
      </c>
      <c r="H369">
        <v>0</v>
      </c>
      <c r="M369">
        <v>19</v>
      </c>
      <c r="N369" s="1">
        <v>1</v>
      </c>
    </row>
    <row r="370" spans="2:14">
      <c r="B370">
        <v>139</v>
      </c>
      <c r="C370">
        <v>75</v>
      </c>
      <c r="D370">
        <v>0</v>
      </c>
      <c r="E370">
        <v>25.6</v>
      </c>
      <c r="F370">
        <v>0.16700000000000001</v>
      </c>
      <c r="G370">
        <v>29</v>
      </c>
      <c r="H370">
        <v>0</v>
      </c>
      <c r="M370">
        <v>0</v>
      </c>
      <c r="N370" s="1">
        <v>2</v>
      </c>
    </row>
    <row r="371" spans="2:14">
      <c r="B371">
        <v>148</v>
      </c>
      <c r="C371">
        <v>60</v>
      </c>
      <c r="D371">
        <v>318</v>
      </c>
      <c r="E371">
        <v>30.9</v>
      </c>
      <c r="F371">
        <v>0.15</v>
      </c>
      <c r="G371">
        <v>29</v>
      </c>
      <c r="H371">
        <v>1</v>
      </c>
      <c r="M371">
        <v>27</v>
      </c>
      <c r="N371" s="1">
        <v>4</v>
      </c>
    </row>
    <row r="372" spans="2:14">
      <c r="B372">
        <v>115</v>
      </c>
      <c r="C372">
        <v>68</v>
      </c>
      <c r="D372">
        <v>0</v>
      </c>
      <c r="E372">
        <v>35.299999999999997</v>
      </c>
      <c r="F372">
        <v>0.13400000000000001</v>
      </c>
      <c r="G372">
        <v>29</v>
      </c>
      <c r="H372">
        <v>0</v>
      </c>
      <c r="M372">
        <v>0</v>
      </c>
      <c r="N372" s="1">
        <v>10</v>
      </c>
    </row>
    <row r="373" spans="2:14">
      <c r="B373">
        <v>92</v>
      </c>
      <c r="C373">
        <v>76</v>
      </c>
      <c r="D373">
        <v>0</v>
      </c>
      <c r="E373">
        <v>24.2</v>
      </c>
      <c r="F373">
        <v>0.46567787114845849</v>
      </c>
      <c r="G373">
        <v>28</v>
      </c>
      <c r="H373">
        <v>0</v>
      </c>
      <c r="M373">
        <v>20</v>
      </c>
      <c r="N373" s="1">
        <v>2</v>
      </c>
    </row>
    <row r="374" spans="2:14">
      <c r="B374">
        <v>125</v>
      </c>
      <c r="C374">
        <v>50</v>
      </c>
      <c r="D374">
        <v>167</v>
      </c>
      <c r="E374">
        <v>33.299999999999997</v>
      </c>
      <c r="F374">
        <v>0.96199999999999997</v>
      </c>
      <c r="G374">
        <v>28</v>
      </c>
      <c r="H374">
        <v>1</v>
      </c>
      <c r="M374">
        <v>40</v>
      </c>
      <c r="N374" s="1">
        <v>1</v>
      </c>
    </row>
    <row r="375" spans="2:14">
      <c r="B375">
        <v>100</v>
      </c>
      <c r="C375">
        <v>68</v>
      </c>
      <c r="D375">
        <v>81</v>
      </c>
      <c r="E375">
        <v>31.6</v>
      </c>
      <c r="F375">
        <v>0.94899999999999995</v>
      </c>
      <c r="G375">
        <v>28</v>
      </c>
      <c r="H375">
        <v>0</v>
      </c>
      <c r="M375">
        <v>23</v>
      </c>
      <c r="N375" s="1">
        <v>3</v>
      </c>
    </row>
    <row r="376" spans="2:14">
      <c r="B376">
        <v>100</v>
      </c>
      <c r="C376">
        <v>66</v>
      </c>
      <c r="D376">
        <v>90</v>
      </c>
      <c r="E376">
        <v>32.9</v>
      </c>
      <c r="F376">
        <v>0.86699999999999999</v>
      </c>
      <c r="G376">
        <v>28</v>
      </c>
      <c r="H376">
        <v>1</v>
      </c>
      <c r="M376">
        <v>20</v>
      </c>
      <c r="N376" s="1">
        <v>2</v>
      </c>
    </row>
    <row r="377" spans="2:14">
      <c r="B377">
        <v>158</v>
      </c>
      <c r="C377">
        <v>76</v>
      </c>
      <c r="D377">
        <v>245</v>
      </c>
      <c r="E377">
        <v>31.6</v>
      </c>
      <c r="F377">
        <v>0.85099999999999998</v>
      </c>
      <c r="G377">
        <v>28</v>
      </c>
      <c r="H377">
        <v>1</v>
      </c>
      <c r="M377">
        <v>36</v>
      </c>
      <c r="N377" s="1">
        <v>3</v>
      </c>
    </row>
    <row r="378" spans="2:14">
      <c r="B378">
        <v>122</v>
      </c>
      <c r="C378">
        <v>52</v>
      </c>
      <c r="D378">
        <v>158</v>
      </c>
      <c r="E378">
        <v>36.200000000000003</v>
      </c>
      <c r="F378">
        <v>0.81599999999999995</v>
      </c>
      <c r="G378">
        <v>28</v>
      </c>
      <c r="H378">
        <v>0</v>
      </c>
      <c r="M378">
        <v>43</v>
      </c>
      <c r="N378" s="1">
        <v>2</v>
      </c>
    </row>
    <row r="379" spans="2:14">
      <c r="B379">
        <v>151</v>
      </c>
      <c r="C379">
        <v>62</v>
      </c>
      <c r="D379">
        <v>120</v>
      </c>
      <c r="E379">
        <v>35.5</v>
      </c>
      <c r="F379">
        <v>0.69199999999999995</v>
      </c>
      <c r="G379">
        <v>28</v>
      </c>
      <c r="H379">
        <v>0</v>
      </c>
      <c r="M379">
        <v>31</v>
      </c>
      <c r="N379" s="1">
        <v>6</v>
      </c>
    </row>
    <row r="380" spans="2:14">
      <c r="B380">
        <v>102</v>
      </c>
      <c r="C380">
        <v>90</v>
      </c>
      <c r="D380">
        <v>0</v>
      </c>
      <c r="E380">
        <v>35.700000000000003</v>
      </c>
      <c r="F380">
        <v>0.67400000000000004</v>
      </c>
      <c r="G380">
        <v>28</v>
      </c>
      <c r="H380">
        <v>0</v>
      </c>
      <c r="M380">
        <v>39</v>
      </c>
      <c r="N380" s="1">
        <v>6</v>
      </c>
    </row>
    <row r="381" spans="2:14">
      <c r="B381">
        <v>100</v>
      </c>
      <c r="C381">
        <v>72</v>
      </c>
      <c r="D381">
        <v>70</v>
      </c>
      <c r="E381">
        <v>25.3</v>
      </c>
      <c r="F381">
        <v>0.65800000000000003</v>
      </c>
      <c r="G381">
        <v>28</v>
      </c>
      <c r="H381">
        <v>0</v>
      </c>
      <c r="M381">
        <v>12</v>
      </c>
      <c r="N381" s="1">
        <v>1</v>
      </c>
    </row>
    <row r="382" spans="2:14">
      <c r="B382">
        <v>144</v>
      </c>
      <c r="C382">
        <v>82</v>
      </c>
      <c r="D382">
        <v>0</v>
      </c>
      <c r="E382">
        <v>41.3</v>
      </c>
      <c r="F382">
        <v>0.60699999999999998</v>
      </c>
      <c r="G382">
        <v>28</v>
      </c>
      <c r="H382">
        <v>0</v>
      </c>
      <c r="M382">
        <v>40</v>
      </c>
      <c r="N382" s="1">
        <v>1</v>
      </c>
    </row>
    <row r="383" spans="2:14">
      <c r="B383">
        <v>127</v>
      </c>
      <c r="C383">
        <v>88</v>
      </c>
      <c r="D383">
        <v>155</v>
      </c>
      <c r="E383">
        <v>34.5</v>
      </c>
      <c r="F383">
        <v>0.59799999999999998</v>
      </c>
      <c r="G383">
        <v>28</v>
      </c>
      <c r="H383">
        <v>0</v>
      </c>
      <c r="M383">
        <v>11</v>
      </c>
      <c r="N383" s="1">
        <v>4</v>
      </c>
    </row>
    <row r="384" spans="2:14">
      <c r="B384">
        <v>198</v>
      </c>
      <c r="C384">
        <v>66</v>
      </c>
      <c r="D384">
        <v>274</v>
      </c>
      <c r="E384">
        <v>41.3</v>
      </c>
      <c r="F384">
        <v>0.502</v>
      </c>
      <c r="G384">
        <v>28</v>
      </c>
      <c r="H384">
        <v>1</v>
      </c>
      <c r="M384">
        <v>32</v>
      </c>
      <c r="N384" s="1">
        <v>0</v>
      </c>
    </row>
    <row r="385" spans="2:14">
      <c r="B385">
        <v>84</v>
      </c>
      <c r="C385">
        <v>64</v>
      </c>
      <c r="D385">
        <v>115</v>
      </c>
      <c r="E385">
        <v>36.9</v>
      </c>
      <c r="F385">
        <v>0.47099999999999997</v>
      </c>
      <c r="G385">
        <v>28</v>
      </c>
      <c r="H385">
        <v>0</v>
      </c>
      <c r="M385">
        <v>23</v>
      </c>
      <c r="N385" s="1">
        <v>1</v>
      </c>
    </row>
    <row r="386" spans="2:14">
      <c r="B386">
        <v>147</v>
      </c>
      <c r="C386">
        <v>75</v>
      </c>
      <c r="D386">
        <v>0</v>
      </c>
      <c r="E386">
        <v>29.9</v>
      </c>
      <c r="F386">
        <v>0.434</v>
      </c>
      <c r="G386">
        <v>28</v>
      </c>
      <c r="H386">
        <v>0</v>
      </c>
      <c r="M386">
        <v>0</v>
      </c>
      <c r="N386" s="1">
        <v>5</v>
      </c>
    </row>
    <row r="387" spans="2:14">
      <c r="B387">
        <v>146</v>
      </c>
      <c r="C387">
        <v>70</v>
      </c>
      <c r="D387">
        <v>0</v>
      </c>
      <c r="E387">
        <v>37.9</v>
      </c>
      <c r="F387">
        <v>0.33400000000000002</v>
      </c>
      <c r="G387">
        <v>28</v>
      </c>
      <c r="H387">
        <v>1</v>
      </c>
      <c r="M387">
        <v>0</v>
      </c>
      <c r="N387" s="1">
        <v>0</v>
      </c>
    </row>
    <row r="388" spans="2:14">
      <c r="B388">
        <v>85</v>
      </c>
      <c r="C388">
        <v>58</v>
      </c>
      <c r="D388">
        <v>49</v>
      </c>
      <c r="E388">
        <v>27.8</v>
      </c>
      <c r="F388">
        <v>0.30599999999999999</v>
      </c>
      <c r="G388">
        <v>28</v>
      </c>
      <c r="H388">
        <v>0</v>
      </c>
      <c r="M388">
        <v>22</v>
      </c>
      <c r="N388" s="1">
        <v>4</v>
      </c>
    </row>
    <row r="389" spans="2:14">
      <c r="B389">
        <v>99</v>
      </c>
      <c r="C389">
        <v>72</v>
      </c>
      <c r="D389">
        <v>0</v>
      </c>
      <c r="E389">
        <v>25.6</v>
      </c>
      <c r="F389">
        <v>0.29399999999999998</v>
      </c>
      <c r="G389">
        <v>28</v>
      </c>
      <c r="H389">
        <v>0</v>
      </c>
      <c r="M389">
        <v>17</v>
      </c>
      <c r="N389" s="1">
        <v>4</v>
      </c>
    </row>
    <row r="390" spans="2:14">
      <c r="B390">
        <v>95</v>
      </c>
      <c r="C390">
        <v>60</v>
      </c>
      <c r="D390">
        <v>0</v>
      </c>
      <c r="E390">
        <v>35.4</v>
      </c>
      <c r="F390">
        <v>0.28399999999999997</v>
      </c>
      <c r="G390">
        <v>28</v>
      </c>
      <c r="H390">
        <v>0</v>
      </c>
      <c r="M390">
        <v>32</v>
      </c>
      <c r="N390" s="1">
        <v>4</v>
      </c>
    </row>
    <row r="391" spans="2:14">
      <c r="B391">
        <v>123</v>
      </c>
      <c r="C391">
        <v>74</v>
      </c>
      <c r="D391">
        <v>77</v>
      </c>
      <c r="E391">
        <v>34.1</v>
      </c>
      <c r="F391">
        <v>0.26900000000000002</v>
      </c>
      <c r="G391">
        <v>28</v>
      </c>
      <c r="H391">
        <v>0</v>
      </c>
      <c r="M391">
        <v>40</v>
      </c>
      <c r="N391" s="1">
        <v>5</v>
      </c>
    </row>
    <row r="392" spans="2:14">
      <c r="B392">
        <v>163</v>
      </c>
      <c r="C392">
        <v>70</v>
      </c>
      <c r="D392">
        <v>105</v>
      </c>
      <c r="E392">
        <v>31.6</v>
      </c>
      <c r="F392">
        <v>0.26800000000000002</v>
      </c>
      <c r="G392">
        <v>28</v>
      </c>
      <c r="H392">
        <v>1</v>
      </c>
      <c r="M392">
        <v>18</v>
      </c>
      <c r="N392" s="1">
        <v>3</v>
      </c>
    </row>
    <row r="393" spans="2:14">
      <c r="B393">
        <v>84</v>
      </c>
      <c r="C393">
        <v>72</v>
      </c>
      <c r="D393">
        <v>0</v>
      </c>
      <c r="E393">
        <v>37.200000000000003</v>
      </c>
      <c r="F393">
        <v>0.26700000000000002</v>
      </c>
      <c r="G393">
        <v>28</v>
      </c>
      <c r="H393">
        <v>0</v>
      </c>
      <c r="M393">
        <v>32</v>
      </c>
      <c r="N393" s="1">
        <v>3</v>
      </c>
    </row>
    <row r="394" spans="2:14">
      <c r="B394">
        <v>121</v>
      </c>
      <c r="C394">
        <v>78</v>
      </c>
      <c r="D394">
        <v>74</v>
      </c>
      <c r="E394">
        <v>39</v>
      </c>
      <c r="F394">
        <v>0.26100000000000001</v>
      </c>
      <c r="G394">
        <v>28</v>
      </c>
      <c r="H394">
        <v>0</v>
      </c>
      <c r="M394">
        <v>39</v>
      </c>
      <c r="N394" s="1">
        <v>1</v>
      </c>
    </row>
    <row r="395" spans="2:14">
      <c r="B395">
        <v>112</v>
      </c>
      <c r="C395">
        <v>86</v>
      </c>
      <c r="D395">
        <v>160</v>
      </c>
      <c r="E395">
        <v>38.4</v>
      </c>
      <c r="F395">
        <v>0.246</v>
      </c>
      <c r="G395">
        <v>28</v>
      </c>
      <c r="H395">
        <v>0</v>
      </c>
      <c r="M395">
        <v>42</v>
      </c>
      <c r="N395" s="1">
        <v>2</v>
      </c>
    </row>
    <row r="396" spans="2:14">
      <c r="B396">
        <v>146</v>
      </c>
      <c r="C396">
        <v>68</v>
      </c>
      <c r="D396">
        <v>0</v>
      </c>
      <c r="E396">
        <v>27.5</v>
      </c>
      <c r="F396">
        <v>0.24</v>
      </c>
      <c r="G396">
        <v>28</v>
      </c>
      <c r="H396">
        <v>1</v>
      </c>
      <c r="M396">
        <v>0</v>
      </c>
      <c r="N396" s="1">
        <v>2</v>
      </c>
    </row>
    <row r="397" spans="2:14">
      <c r="B397">
        <v>138</v>
      </c>
      <c r="C397">
        <v>82</v>
      </c>
      <c r="D397">
        <v>0</v>
      </c>
      <c r="E397">
        <v>40.1</v>
      </c>
      <c r="F397">
        <v>0.23599999999999999</v>
      </c>
      <c r="G397">
        <v>28</v>
      </c>
      <c r="H397">
        <v>0</v>
      </c>
      <c r="M397">
        <v>0</v>
      </c>
      <c r="N397" s="1">
        <v>1</v>
      </c>
    </row>
    <row r="398" spans="2:14">
      <c r="B398">
        <v>129</v>
      </c>
      <c r="C398">
        <v>64</v>
      </c>
      <c r="D398">
        <v>115</v>
      </c>
      <c r="E398">
        <v>26.4</v>
      </c>
      <c r="F398">
        <v>0.219</v>
      </c>
      <c r="G398">
        <v>28</v>
      </c>
      <c r="H398">
        <v>1</v>
      </c>
      <c r="M398">
        <v>29</v>
      </c>
      <c r="N398" s="1">
        <v>3</v>
      </c>
    </row>
    <row r="399" spans="2:14">
      <c r="B399">
        <v>96</v>
      </c>
      <c r="C399">
        <v>68</v>
      </c>
      <c r="D399">
        <v>0</v>
      </c>
      <c r="E399">
        <v>23.7</v>
      </c>
      <c r="F399">
        <v>0.19</v>
      </c>
      <c r="G399">
        <v>28</v>
      </c>
      <c r="H399">
        <v>0</v>
      </c>
      <c r="M399">
        <v>0</v>
      </c>
      <c r="N399" s="1">
        <v>6</v>
      </c>
    </row>
    <row r="400" spans="2:14">
      <c r="B400">
        <v>92</v>
      </c>
      <c r="C400">
        <v>92</v>
      </c>
      <c r="D400">
        <v>0</v>
      </c>
      <c r="E400">
        <v>19.899999999999999</v>
      </c>
      <c r="F400">
        <v>0.188</v>
      </c>
      <c r="G400">
        <v>28</v>
      </c>
      <c r="H400">
        <v>0</v>
      </c>
      <c r="M400">
        <v>0</v>
      </c>
      <c r="N400" s="1">
        <v>6</v>
      </c>
    </row>
    <row r="401" spans="2:14">
      <c r="B401">
        <v>80</v>
      </c>
      <c r="C401">
        <v>80</v>
      </c>
      <c r="D401">
        <v>0</v>
      </c>
      <c r="E401">
        <v>39.799999999999997</v>
      </c>
      <c r="F401">
        <v>0.17699999999999999</v>
      </c>
      <c r="G401">
        <v>28</v>
      </c>
      <c r="H401">
        <v>0</v>
      </c>
      <c r="M401">
        <v>36</v>
      </c>
      <c r="N401" s="1">
        <v>6</v>
      </c>
    </row>
    <row r="402" spans="2:14">
      <c r="B402">
        <v>131</v>
      </c>
      <c r="C402">
        <v>68</v>
      </c>
      <c r="D402">
        <v>166</v>
      </c>
      <c r="E402">
        <v>33.1</v>
      </c>
      <c r="F402">
        <v>0.16</v>
      </c>
      <c r="G402">
        <v>28</v>
      </c>
      <c r="H402">
        <v>0</v>
      </c>
      <c r="M402">
        <v>21</v>
      </c>
      <c r="N402" s="1">
        <v>4</v>
      </c>
    </row>
    <row r="403" spans="2:14">
      <c r="B403">
        <v>105</v>
      </c>
      <c r="C403">
        <v>72</v>
      </c>
      <c r="D403">
        <v>325</v>
      </c>
      <c r="E403">
        <v>36.9</v>
      </c>
      <c r="F403">
        <v>0.159</v>
      </c>
      <c r="G403">
        <v>28</v>
      </c>
      <c r="H403">
        <v>0</v>
      </c>
      <c r="M403">
        <v>29</v>
      </c>
      <c r="N403" s="1">
        <v>5</v>
      </c>
    </row>
    <row r="404" spans="2:14">
      <c r="B404">
        <v>115</v>
      </c>
      <c r="C404">
        <v>66</v>
      </c>
      <c r="D404">
        <v>140</v>
      </c>
      <c r="E404">
        <v>38.1</v>
      </c>
      <c r="F404">
        <v>0.15</v>
      </c>
      <c r="G404">
        <v>28</v>
      </c>
      <c r="H404">
        <v>0</v>
      </c>
      <c r="M404">
        <v>39</v>
      </c>
      <c r="N404" s="1">
        <v>3</v>
      </c>
    </row>
    <row r="405" spans="2:14">
      <c r="B405">
        <v>100</v>
      </c>
      <c r="C405">
        <v>74</v>
      </c>
      <c r="D405">
        <v>46</v>
      </c>
      <c r="E405">
        <v>19.5</v>
      </c>
      <c r="F405">
        <v>0.14899999999999999</v>
      </c>
      <c r="G405">
        <v>28</v>
      </c>
      <c r="H405">
        <v>0</v>
      </c>
      <c r="M405">
        <v>12</v>
      </c>
      <c r="N405" s="1">
        <v>1</v>
      </c>
    </row>
    <row r="406" spans="2:14">
      <c r="B406">
        <v>80</v>
      </c>
      <c r="C406">
        <v>82</v>
      </c>
      <c r="D406">
        <v>70</v>
      </c>
      <c r="E406">
        <v>34.200000000000003</v>
      </c>
      <c r="F406">
        <v>0.46567787114845849</v>
      </c>
      <c r="G406">
        <v>27</v>
      </c>
      <c r="H406">
        <v>1</v>
      </c>
      <c r="M406">
        <v>31</v>
      </c>
      <c r="N406" s="1">
        <v>3</v>
      </c>
    </row>
    <row r="407" spans="2:14">
      <c r="B407">
        <v>85</v>
      </c>
      <c r="C407">
        <v>65</v>
      </c>
      <c r="D407">
        <v>0</v>
      </c>
      <c r="E407">
        <v>39.6</v>
      </c>
      <c r="F407">
        <v>0.93</v>
      </c>
      <c r="G407">
        <v>27</v>
      </c>
      <c r="H407">
        <v>0</v>
      </c>
      <c r="M407">
        <v>0</v>
      </c>
      <c r="N407" s="1">
        <v>2</v>
      </c>
    </row>
    <row r="408" spans="2:14">
      <c r="B408">
        <v>141</v>
      </c>
      <c r="C408">
        <v>68</v>
      </c>
      <c r="D408">
        <v>0</v>
      </c>
      <c r="E408">
        <v>30</v>
      </c>
      <c r="F408">
        <v>0.76100000000000001</v>
      </c>
      <c r="G408">
        <v>27</v>
      </c>
      <c r="H408">
        <v>1</v>
      </c>
      <c r="M408">
        <v>0</v>
      </c>
      <c r="N408" s="1">
        <v>3</v>
      </c>
    </row>
    <row r="409" spans="2:14">
      <c r="B409">
        <v>103</v>
      </c>
      <c r="C409">
        <v>72</v>
      </c>
      <c r="D409">
        <v>152</v>
      </c>
      <c r="E409">
        <v>27.6</v>
      </c>
      <c r="F409">
        <v>0.73</v>
      </c>
      <c r="G409">
        <v>27</v>
      </c>
      <c r="H409">
        <v>0</v>
      </c>
      <c r="M409">
        <v>30</v>
      </c>
      <c r="N409" s="1">
        <v>3</v>
      </c>
    </row>
    <row r="410" spans="2:14">
      <c r="B410">
        <v>126</v>
      </c>
      <c r="C410">
        <v>88</v>
      </c>
      <c r="D410">
        <v>235</v>
      </c>
      <c r="E410">
        <v>39.299999999999997</v>
      </c>
      <c r="F410">
        <v>0.70399999999999996</v>
      </c>
      <c r="G410">
        <v>27</v>
      </c>
      <c r="H410">
        <v>0</v>
      </c>
      <c r="M410">
        <v>41</v>
      </c>
      <c r="N410" s="1">
        <v>3</v>
      </c>
    </row>
    <row r="411" spans="2:14">
      <c r="B411">
        <v>110</v>
      </c>
      <c r="C411">
        <v>74</v>
      </c>
      <c r="D411">
        <v>125</v>
      </c>
      <c r="E411">
        <v>32.4</v>
      </c>
      <c r="F411">
        <v>0.69799999999999995</v>
      </c>
      <c r="G411">
        <v>27</v>
      </c>
      <c r="H411">
        <v>0</v>
      </c>
      <c r="M411">
        <v>29</v>
      </c>
      <c r="N411" s="1">
        <v>2</v>
      </c>
    </row>
    <row r="412" spans="2:14">
      <c r="B412">
        <v>102</v>
      </c>
      <c r="C412">
        <v>86</v>
      </c>
      <c r="D412">
        <v>105</v>
      </c>
      <c r="E412">
        <v>29.3</v>
      </c>
      <c r="F412">
        <v>0.69499999999999995</v>
      </c>
      <c r="G412">
        <v>27</v>
      </c>
      <c r="H412">
        <v>0</v>
      </c>
      <c r="M412">
        <v>17</v>
      </c>
      <c r="N412" s="1">
        <v>0</v>
      </c>
    </row>
    <row r="413" spans="2:14">
      <c r="B413">
        <v>83</v>
      </c>
      <c r="C413">
        <v>68</v>
      </c>
      <c r="D413">
        <v>0</v>
      </c>
      <c r="E413">
        <v>18.2</v>
      </c>
      <c r="F413">
        <v>0.624</v>
      </c>
      <c r="G413">
        <v>27</v>
      </c>
      <c r="H413">
        <v>0</v>
      </c>
      <c r="M413">
        <v>0</v>
      </c>
      <c r="N413" s="1">
        <v>1</v>
      </c>
    </row>
    <row r="414" spans="2:14">
      <c r="B414">
        <v>91</v>
      </c>
      <c r="C414">
        <v>80</v>
      </c>
      <c r="D414">
        <v>0</v>
      </c>
      <c r="E414">
        <v>32.4</v>
      </c>
      <c r="F414">
        <v>0.60099999999999998</v>
      </c>
      <c r="G414">
        <v>27</v>
      </c>
      <c r="H414">
        <v>0</v>
      </c>
      <c r="M414">
        <v>0</v>
      </c>
      <c r="N414" s="1">
        <v>0</v>
      </c>
    </row>
    <row r="415" spans="2:14">
      <c r="B415">
        <v>104</v>
      </c>
      <c r="C415">
        <v>76</v>
      </c>
      <c r="D415">
        <v>0</v>
      </c>
      <c r="E415">
        <v>18.399999999999999</v>
      </c>
      <c r="F415">
        <v>0.58199999999999996</v>
      </c>
      <c r="G415">
        <v>27</v>
      </c>
      <c r="H415">
        <v>0</v>
      </c>
      <c r="M415">
        <v>0</v>
      </c>
      <c r="N415" s="1">
        <v>0</v>
      </c>
    </row>
    <row r="416" spans="2:14">
      <c r="B416">
        <v>154</v>
      </c>
      <c r="C416">
        <v>78</v>
      </c>
      <c r="D416">
        <v>140</v>
      </c>
      <c r="E416">
        <v>46.1</v>
      </c>
      <c r="F416">
        <v>0.57099999999999995</v>
      </c>
      <c r="G416">
        <v>27</v>
      </c>
      <c r="H416">
        <v>0</v>
      </c>
      <c r="M416">
        <v>41</v>
      </c>
      <c r="N416" s="1">
        <v>6</v>
      </c>
    </row>
    <row r="417" spans="2:14">
      <c r="B417">
        <v>128</v>
      </c>
      <c r="C417">
        <v>72</v>
      </c>
      <c r="D417">
        <v>190</v>
      </c>
      <c r="E417">
        <v>32.4</v>
      </c>
      <c r="F417">
        <v>0.54900000000000004</v>
      </c>
      <c r="G417">
        <v>27</v>
      </c>
      <c r="H417">
        <v>1</v>
      </c>
      <c r="M417">
        <v>25</v>
      </c>
      <c r="N417" s="1">
        <v>3</v>
      </c>
    </row>
    <row r="418" spans="2:14">
      <c r="B418">
        <v>125</v>
      </c>
      <c r="C418">
        <v>80</v>
      </c>
      <c r="D418">
        <v>0</v>
      </c>
      <c r="E418">
        <v>32.299999999999997</v>
      </c>
      <c r="F418">
        <v>0.53600000000000003</v>
      </c>
      <c r="G418">
        <v>27</v>
      </c>
      <c r="H418">
        <v>1</v>
      </c>
      <c r="M418">
        <v>0</v>
      </c>
      <c r="N418" s="1">
        <v>4</v>
      </c>
    </row>
    <row r="419" spans="2:14">
      <c r="B419">
        <v>90</v>
      </c>
      <c r="C419">
        <v>68</v>
      </c>
      <c r="D419">
        <v>0</v>
      </c>
      <c r="E419">
        <v>38.200000000000003</v>
      </c>
      <c r="F419">
        <v>0.503</v>
      </c>
      <c r="G419">
        <v>27</v>
      </c>
      <c r="H419">
        <v>1</v>
      </c>
      <c r="M419">
        <v>42</v>
      </c>
      <c r="N419" s="1">
        <v>2</v>
      </c>
    </row>
    <row r="420" spans="2:14">
      <c r="B420">
        <v>117</v>
      </c>
      <c r="C420">
        <v>60</v>
      </c>
      <c r="D420">
        <v>106</v>
      </c>
      <c r="E420">
        <v>33.799999999999997</v>
      </c>
      <c r="F420">
        <v>0.46600000000000003</v>
      </c>
      <c r="G420">
        <v>27</v>
      </c>
      <c r="H420">
        <v>0</v>
      </c>
      <c r="M420">
        <v>23</v>
      </c>
      <c r="N420" s="1">
        <v>1</v>
      </c>
    </row>
    <row r="421" spans="2:14">
      <c r="B421">
        <v>120</v>
      </c>
      <c r="C421">
        <v>54</v>
      </c>
      <c r="D421">
        <v>0</v>
      </c>
      <c r="E421">
        <v>26.8</v>
      </c>
      <c r="F421">
        <v>0.45500000000000002</v>
      </c>
      <c r="G421">
        <v>27</v>
      </c>
      <c r="H421">
        <v>0</v>
      </c>
      <c r="M421">
        <v>0</v>
      </c>
      <c r="N421" s="1">
        <v>2</v>
      </c>
    </row>
    <row r="422" spans="2:14">
      <c r="B422">
        <v>155</v>
      </c>
      <c r="C422">
        <v>74</v>
      </c>
      <c r="D422">
        <v>96</v>
      </c>
      <c r="E422">
        <v>26.6</v>
      </c>
      <c r="F422">
        <v>0.433</v>
      </c>
      <c r="G422">
        <v>27</v>
      </c>
      <c r="H422">
        <v>1</v>
      </c>
      <c r="M422">
        <v>17</v>
      </c>
      <c r="N422" s="1">
        <v>2</v>
      </c>
    </row>
    <row r="423" spans="2:14">
      <c r="B423">
        <v>111</v>
      </c>
      <c r="C423">
        <v>72</v>
      </c>
      <c r="D423">
        <v>0</v>
      </c>
      <c r="E423">
        <v>23.9</v>
      </c>
      <c r="F423">
        <v>0.40699999999999997</v>
      </c>
      <c r="G423">
        <v>27</v>
      </c>
      <c r="H423">
        <v>0</v>
      </c>
      <c r="M423">
        <v>28</v>
      </c>
      <c r="N423" s="1">
        <v>5</v>
      </c>
    </row>
    <row r="424" spans="2:14">
      <c r="B424">
        <v>95</v>
      </c>
      <c r="C424">
        <v>72</v>
      </c>
      <c r="D424">
        <v>0</v>
      </c>
      <c r="E424">
        <v>37.700000000000003</v>
      </c>
      <c r="F424">
        <v>0.37</v>
      </c>
      <c r="G424">
        <v>27</v>
      </c>
      <c r="H424">
        <v>0</v>
      </c>
      <c r="M424">
        <v>33</v>
      </c>
      <c r="N424" s="1">
        <v>5</v>
      </c>
    </row>
    <row r="425" spans="2:14">
      <c r="B425">
        <v>147</v>
      </c>
      <c r="C425">
        <v>94</v>
      </c>
      <c r="D425">
        <v>0</v>
      </c>
      <c r="E425">
        <v>49.3</v>
      </c>
      <c r="F425">
        <v>0.35799999999999998</v>
      </c>
      <c r="G425">
        <v>27</v>
      </c>
      <c r="H425">
        <v>1</v>
      </c>
      <c r="M425">
        <v>41</v>
      </c>
      <c r="N425" s="1">
        <v>1</v>
      </c>
    </row>
    <row r="426" spans="2:14">
      <c r="B426">
        <v>122</v>
      </c>
      <c r="C426">
        <v>70</v>
      </c>
      <c r="D426">
        <v>0</v>
      </c>
      <c r="E426">
        <v>36.799999999999997</v>
      </c>
      <c r="F426">
        <v>0.34</v>
      </c>
      <c r="G426">
        <v>27</v>
      </c>
      <c r="H426">
        <v>0</v>
      </c>
      <c r="M426">
        <v>27</v>
      </c>
      <c r="N426" s="1">
        <v>2</v>
      </c>
    </row>
    <row r="427" spans="2:14">
      <c r="B427">
        <v>166</v>
      </c>
      <c r="C427">
        <v>76</v>
      </c>
      <c r="D427">
        <v>0</v>
      </c>
      <c r="E427">
        <v>45.7</v>
      </c>
      <c r="F427">
        <v>0.34</v>
      </c>
      <c r="G427">
        <v>27</v>
      </c>
      <c r="H427">
        <v>1</v>
      </c>
      <c r="M427">
        <v>0</v>
      </c>
      <c r="N427" s="1">
        <v>5</v>
      </c>
    </row>
    <row r="428" spans="2:14">
      <c r="B428">
        <v>129</v>
      </c>
      <c r="C428">
        <v>84</v>
      </c>
      <c r="D428">
        <v>0</v>
      </c>
      <c r="E428">
        <v>28</v>
      </c>
      <c r="F428">
        <v>0.28399999999999997</v>
      </c>
      <c r="G428">
        <v>27</v>
      </c>
      <c r="H428">
        <v>0</v>
      </c>
      <c r="M428">
        <v>0</v>
      </c>
      <c r="N428" s="1">
        <v>2</v>
      </c>
    </row>
    <row r="429" spans="2:14">
      <c r="B429">
        <v>152</v>
      </c>
      <c r="C429">
        <v>82</v>
      </c>
      <c r="D429">
        <v>272</v>
      </c>
      <c r="E429">
        <v>41.5</v>
      </c>
      <c r="F429">
        <v>0.27</v>
      </c>
      <c r="G429">
        <v>27</v>
      </c>
      <c r="H429">
        <v>0</v>
      </c>
      <c r="M429">
        <v>39</v>
      </c>
      <c r="N429" s="1">
        <v>0</v>
      </c>
    </row>
    <row r="430" spans="2:14">
      <c r="B430">
        <v>73</v>
      </c>
      <c r="C430">
        <v>60</v>
      </c>
      <c r="D430">
        <v>0</v>
      </c>
      <c r="E430">
        <v>26.8</v>
      </c>
      <c r="F430">
        <v>0.26800000000000002</v>
      </c>
      <c r="G430">
        <v>27</v>
      </c>
      <c r="H430">
        <v>0</v>
      </c>
      <c r="M430">
        <v>0</v>
      </c>
      <c r="N430" s="1">
        <v>5</v>
      </c>
    </row>
    <row r="431" spans="2:14">
      <c r="B431">
        <v>99</v>
      </c>
      <c r="C431">
        <v>70</v>
      </c>
      <c r="D431">
        <v>44</v>
      </c>
      <c r="E431">
        <v>20.399999999999999</v>
      </c>
      <c r="F431">
        <v>0.23499999999999999</v>
      </c>
      <c r="G431">
        <v>27</v>
      </c>
      <c r="H431">
        <v>0</v>
      </c>
      <c r="M431">
        <v>16</v>
      </c>
      <c r="N431" s="1">
        <v>2</v>
      </c>
    </row>
    <row r="432" spans="2:14">
      <c r="B432">
        <v>106</v>
      </c>
      <c r="C432">
        <v>72</v>
      </c>
      <c r="D432">
        <v>0</v>
      </c>
      <c r="E432">
        <v>25.8</v>
      </c>
      <c r="F432">
        <v>0.20699999999999999</v>
      </c>
      <c r="G432">
        <v>27</v>
      </c>
      <c r="H432">
        <v>0</v>
      </c>
      <c r="M432">
        <v>0</v>
      </c>
      <c r="N432" s="1">
        <v>3</v>
      </c>
    </row>
    <row r="433" spans="2:14">
      <c r="B433">
        <v>109</v>
      </c>
      <c r="C433">
        <v>60</v>
      </c>
      <c r="D433">
        <v>0</v>
      </c>
      <c r="E433">
        <v>25</v>
      </c>
      <c r="F433">
        <v>0.20599999999999999</v>
      </c>
      <c r="G433">
        <v>27</v>
      </c>
      <c r="H433">
        <v>0</v>
      </c>
      <c r="M433">
        <v>27</v>
      </c>
      <c r="N433" s="1">
        <v>6</v>
      </c>
    </row>
    <row r="434" spans="2:14">
      <c r="B434">
        <v>146</v>
      </c>
      <c r="C434">
        <v>85</v>
      </c>
      <c r="D434">
        <v>100</v>
      </c>
      <c r="E434">
        <v>28.9</v>
      </c>
      <c r="F434">
        <v>0.189</v>
      </c>
      <c r="G434">
        <v>27</v>
      </c>
      <c r="H434">
        <v>0</v>
      </c>
      <c r="M434">
        <v>27</v>
      </c>
      <c r="N434" s="1">
        <v>4</v>
      </c>
    </row>
    <row r="435" spans="2:14">
      <c r="B435">
        <v>114</v>
      </c>
      <c r="C435">
        <v>80</v>
      </c>
      <c r="D435">
        <v>285</v>
      </c>
      <c r="E435">
        <v>44.2</v>
      </c>
      <c r="F435">
        <v>0.16700000000000001</v>
      </c>
      <c r="G435">
        <v>27</v>
      </c>
      <c r="H435">
        <v>0</v>
      </c>
      <c r="M435">
        <v>34</v>
      </c>
      <c r="N435" s="1">
        <v>0</v>
      </c>
    </row>
    <row r="436" spans="2:14">
      <c r="B436">
        <v>110</v>
      </c>
      <c r="C436">
        <v>76</v>
      </c>
      <c r="D436">
        <v>100</v>
      </c>
      <c r="E436">
        <v>28.4</v>
      </c>
      <c r="F436">
        <v>0.11799999999999999</v>
      </c>
      <c r="G436">
        <v>27</v>
      </c>
      <c r="H436">
        <v>0</v>
      </c>
      <c r="M436">
        <v>20</v>
      </c>
      <c r="N436" s="1">
        <v>4</v>
      </c>
    </row>
    <row r="437" spans="2:14">
      <c r="B437">
        <v>109</v>
      </c>
      <c r="C437">
        <v>64</v>
      </c>
      <c r="D437">
        <v>99</v>
      </c>
      <c r="E437">
        <v>34.799999999999997</v>
      </c>
      <c r="F437">
        <v>0.90500000000000003</v>
      </c>
      <c r="G437">
        <v>26</v>
      </c>
      <c r="H437">
        <v>1</v>
      </c>
      <c r="M437">
        <v>44</v>
      </c>
      <c r="N437" s="1">
        <v>4</v>
      </c>
    </row>
    <row r="438" spans="2:14">
      <c r="B438">
        <v>118</v>
      </c>
      <c r="C438">
        <v>70</v>
      </c>
      <c r="D438">
        <v>0</v>
      </c>
      <c r="E438">
        <v>44.5</v>
      </c>
      <c r="F438">
        <v>0.90400000000000003</v>
      </c>
      <c r="G438">
        <v>26</v>
      </c>
      <c r="H438">
        <v>0</v>
      </c>
      <c r="M438">
        <v>0</v>
      </c>
      <c r="N438" s="1">
        <v>4</v>
      </c>
    </row>
    <row r="439" spans="2:14">
      <c r="B439">
        <v>105</v>
      </c>
      <c r="C439">
        <v>80</v>
      </c>
      <c r="D439">
        <v>0</v>
      </c>
      <c r="E439">
        <v>32.5</v>
      </c>
      <c r="F439">
        <v>0.878</v>
      </c>
      <c r="G439">
        <v>26</v>
      </c>
      <c r="H439">
        <v>0</v>
      </c>
      <c r="M439">
        <v>28</v>
      </c>
      <c r="N439" s="1">
        <v>6</v>
      </c>
    </row>
    <row r="440" spans="2:14">
      <c r="B440">
        <v>100</v>
      </c>
      <c r="C440">
        <v>66</v>
      </c>
      <c r="D440">
        <v>56</v>
      </c>
      <c r="E440">
        <v>23.6</v>
      </c>
      <c r="F440">
        <v>0.66600000000000004</v>
      </c>
      <c r="G440">
        <v>26</v>
      </c>
      <c r="H440">
        <v>0</v>
      </c>
      <c r="M440">
        <v>15</v>
      </c>
      <c r="N440" s="1">
        <v>1</v>
      </c>
    </row>
    <row r="441" spans="2:14">
      <c r="B441">
        <v>96</v>
      </c>
      <c r="C441">
        <v>68</v>
      </c>
      <c r="D441">
        <v>49</v>
      </c>
      <c r="E441">
        <v>21.1</v>
      </c>
      <c r="F441">
        <v>0.64700000000000002</v>
      </c>
      <c r="G441">
        <v>26</v>
      </c>
      <c r="H441">
        <v>0</v>
      </c>
      <c r="M441">
        <v>13</v>
      </c>
      <c r="N441" s="1">
        <v>2</v>
      </c>
    </row>
    <row r="442" spans="2:14">
      <c r="B442">
        <v>101</v>
      </c>
      <c r="C442">
        <v>50</v>
      </c>
      <c r="D442">
        <v>36</v>
      </c>
      <c r="E442">
        <v>24.2</v>
      </c>
      <c r="F442">
        <v>0.52600000000000002</v>
      </c>
      <c r="G442">
        <v>26</v>
      </c>
      <c r="H442">
        <v>0</v>
      </c>
      <c r="M442">
        <v>15</v>
      </c>
      <c r="N442" s="1">
        <v>1</v>
      </c>
    </row>
    <row r="443" spans="2:14">
      <c r="B443">
        <v>123</v>
      </c>
      <c r="C443">
        <v>48</v>
      </c>
      <c r="D443">
        <v>165</v>
      </c>
      <c r="E443">
        <v>42.1</v>
      </c>
      <c r="F443">
        <v>0.52</v>
      </c>
      <c r="G443">
        <v>26</v>
      </c>
      <c r="H443">
        <v>0</v>
      </c>
      <c r="M443">
        <v>32</v>
      </c>
      <c r="N443" s="1">
        <v>2</v>
      </c>
    </row>
    <row r="444" spans="2:14">
      <c r="B444">
        <v>119</v>
      </c>
      <c r="C444">
        <v>88</v>
      </c>
      <c r="D444">
        <v>170</v>
      </c>
      <c r="E444">
        <v>45.3</v>
      </c>
      <c r="F444">
        <v>0.50700000000000001</v>
      </c>
      <c r="G444">
        <v>26</v>
      </c>
      <c r="H444">
        <v>0</v>
      </c>
      <c r="M444">
        <v>41</v>
      </c>
      <c r="N444" s="1">
        <v>1</v>
      </c>
    </row>
    <row r="445" spans="2:14">
      <c r="B445">
        <v>122</v>
      </c>
      <c r="C445">
        <v>76</v>
      </c>
      <c r="D445">
        <v>200</v>
      </c>
      <c r="E445">
        <v>35.9</v>
      </c>
      <c r="F445">
        <v>0.48299999999999998</v>
      </c>
      <c r="G445">
        <v>26</v>
      </c>
      <c r="H445">
        <v>0</v>
      </c>
      <c r="M445">
        <v>27</v>
      </c>
      <c r="N445" s="1">
        <v>2</v>
      </c>
    </row>
    <row r="446" spans="2:14">
      <c r="B446">
        <v>171</v>
      </c>
      <c r="C446">
        <v>72</v>
      </c>
      <c r="D446">
        <v>0</v>
      </c>
      <c r="E446">
        <v>43.6</v>
      </c>
      <c r="F446">
        <v>0.47899999999999998</v>
      </c>
      <c r="G446">
        <v>26</v>
      </c>
      <c r="H446">
        <v>1</v>
      </c>
      <c r="M446">
        <v>0</v>
      </c>
      <c r="N446" s="1">
        <v>4</v>
      </c>
    </row>
    <row r="447" spans="2:14">
      <c r="B447">
        <v>71</v>
      </c>
      <c r="C447">
        <v>62</v>
      </c>
      <c r="D447">
        <v>0</v>
      </c>
      <c r="E447">
        <v>21.8</v>
      </c>
      <c r="F447">
        <v>0.41599999999999998</v>
      </c>
      <c r="G447">
        <v>26</v>
      </c>
      <c r="H447">
        <v>0</v>
      </c>
      <c r="M447">
        <v>0</v>
      </c>
      <c r="N447" s="1">
        <v>1</v>
      </c>
    </row>
    <row r="448" spans="2:14">
      <c r="B448">
        <v>139</v>
      </c>
      <c r="C448">
        <v>64</v>
      </c>
      <c r="D448">
        <v>140</v>
      </c>
      <c r="E448">
        <v>28.6</v>
      </c>
      <c r="F448">
        <v>0.41099999999999998</v>
      </c>
      <c r="G448">
        <v>26</v>
      </c>
      <c r="H448">
        <v>0</v>
      </c>
      <c r="M448">
        <v>35</v>
      </c>
      <c r="N448" s="1">
        <v>5</v>
      </c>
    </row>
    <row r="449" spans="2:14">
      <c r="B449">
        <v>109</v>
      </c>
      <c r="C449">
        <v>68</v>
      </c>
      <c r="D449">
        <v>120</v>
      </c>
      <c r="E449">
        <v>23.1</v>
      </c>
      <c r="F449">
        <v>0.40699999999999997</v>
      </c>
      <c r="G449">
        <v>26</v>
      </c>
      <c r="H449">
        <v>0</v>
      </c>
      <c r="M449">
        <v>18</v>
      </c>
      <c r="N449" s="1">
        <v>1</v>
      </c>
    </row>
    <row r="450" spans="2:14">
      <c r="B450">
        <v>102</v>
      </c>
      <c r="C450">
        <v>44</v>
      </c>
      <c r="D450">
        <v>94</v>
      </c>
      <c r="E450">
        <v>30.8</v>
      </c>
      <c r="F450">
        <v>0.4</v>
      </c>
      <c r="G450">
        <v>26</v>
      </c>
      <c r="H450">
        <v>0</v>
      </c>
      <c r="M450">
        <v>20</v>
      </c>
      <c r="N450" s="1">
        <v>3</v>
      </c>
    </row>
    <row r="451" spans="2:14">
      <c r="B451">
        <v>162</v>
      </c>
      <c r="C451">
        <v>76</v>
      </c>
      <c r="D451">
        <v>0</v>
      </c>
      <c r="E451">
        <v>49.6</v>
      </c>
      <c r="F451">
        <v>0.36399999999999999</v>
      </c>
      <c r="G451">
        <v>26</v>
      </c>
      <c r="H451">
        <v>1</v>
      </c>
      <c r="M451">
        <v>36</v>
      </c>
      <c r="N451" s="1">
        <v>0</v>
      </c>
    </row>
    <row r="452" spans="2:14">
      <c r="B452">
        <v>96</v>
      </c>
      <c r="C452">
        <v>56</v>
      </c>
      <c r="D452">
        <v>49</v>
      </c>
      <c r="E452">
        <v>20.8</v>
      </c>
      <c r="F452">
        <v>0.34</v>
      </c>
      <c r="G452">
        <v>26</v>
      </c>
      <c r="H452">
        <v>0</v>
      </c>
      <c r="M452">
        <v>17</v>
      </c>
      <c r="N452" s="1">
        <v>4</v>
      </c>
    </row>
    <row r="453" spans="2:14">
      <c r="B453">
        <v>95</v>
      </c>
      <c r="C453">
        <v>80</v>
      </c>
      <c r="D453">
        <v>92</v>
      </c>
      <c r="E453">
        <v>36.5</v>
      </c>
      <c r="F453">
        <v>0.33</v>
      </c>
      <c r="G453">
        <v>26</v>
      </c>
      <c r="H453">
        <v>0</v>
      </c>
      <c r="M453">
        <v>45</v>
      </c>
      <c r="N453" s="1">
        <v>0</v>
      </c>
    </row>
    <row r="454" spans="2:14">
      <c r="B454">
        <v>100</v>
      </c>
      <c r="C454">
        <v>68</v>
      </c>
      <c r="D454">
        <v>71</v>
      </c>
      <c r="E454">
        <v>38.5</v>
      </c>
      <c r="F454">
        <v>0.32400000000000001</v>
      </c>
      <c r="G454">
        <v>26</v>
      </c>
      <c r="H454">
        <v>0</v>
      </c>
      <c r="M454">
        <v>25</v>
      </c>
      <c r="N454" s="1">
        <v>2</v>
      </c>
    </row>
    <row r="455" spans="2:14">
      <c r="B455">
        <v>112</v>
      </c>
      <c r="C455">
        <v>68</v>
      </c>
      <c r="D455">
        <v>94</v>
      </c>
      <c r="E455">
        <v>34.1</v>
      </c>
      <c r="F455">
        <v>0.315</v>
      </c>
      <c r="G455">
        <v>26</v>
      </c>
      <c r="H455">
        <v>0</v>
      </c>
      <c r="M455">
        <v>22</v>
      </c>
      <c r="N455" s="1">
        <v>2</v>
      </c>
    </row>
    <row r="456" spans="2:14">
      <c r="B456">
        <v>124</v>
      </c>
      <c r="C456">
        <v>80</v>
      </c>
      <c r="D456">
        <v>130</v>
      </c>
      <c r="E456">
        <v>33.200000000000003</v>
      </c>
      <c r="F456">
        <v>0.30499999999999999</v>
      </c>
      <c r="G456">
        <v>26</v>
      </c>
      <c r="H456">
        <v>0</v>
      </c>
      <c r="M456">
        <v>33</v>
      </c>
      <c r="N456" s="1">
        <v>3</v>
      </c>
    </row>
    <row r="457" spans="2:14">
      <c r="B457">
        <v>120</v>
      </c>
      <c r="C457">
        <v>74</v>
      </c>
      <c r="D457">
        <v>63</v>
      </c>
      <c r="E457">
        <v>30.5</v>
      </c>
      <c r="F457">
        <v>0.28499999999999998</v>
      </c>
      <c r="G457">
        <v>26</v>
      </c>
      <c r="H457">
        <v>0</v>
      </c>
      <c r="M457">
        <v>18</v>
      </c>
      <c r="N457" s="1">
        <v>0</v>
      </c>
    </row>
    <row r="458" spans="2:14">
      <c r="B458">
        <v>135</v>
      </c>
      <c r="C458">
        <v>94</v>
      </c>
      <c r="D458">
        <v>145</v>
      </c>
      <c r="E458">
        <v>40.6</v>
      </c>
      <c r="F458">
        <v>0.28399999999999997</v>
      </c>
      <c r="G458">
        <v>26</v>
      </c>
      <c r="H458">
        <v>0</v>
      </c>
      <c r="M458">
        <v>46</v>
      </c>
      <c r="N458" s="1">
        <v>0</v>
      </c>
    </row>
    <row r="459" spans="2:14">
      <c r="B459">
        <v>99</v>
      </c>
      <c r="C459">
        <v>62</v>
      </c>
      <c r="D459">
        <v>74</v>
      </c>
      <c r="E459">
        <v>21.8</v>
      </c>
      <c r="F459">
        <v>0.27900000000000003</v>
      </c>
      <c r="G459">
        <v>26</v>
      </c>
      <c r="H459">
        <v>0</v>
      </c>
      <c r="M459">
        <v>19</v>
      </c>
      <c r="N459" s="1">
        <v>3</v>
      </c>
    </row>
    <row r="460" spans="2:14">
      <c r="B460">
        <v>180</v>
      </c>
      <c r="C460">
        <v>64</v>
      </c>
      <c r="D460">
        <v>70</v>
      </c>
      <c r="E460">
        <v>34</v>
      </c>
      <c r="F460">
        <v>0.27100000000000002</v>
      </c>
      <c r="G460">
        <v>26</v>
      </c>
      <c r="H460">
        <v>0</v>
      </c>
      <c r="M460">
        <v>25</v>
      </c>
      <c r="N460" s="1">
        <v>3</v>
      </c>
    </row>
    <row r="461" spans="2:14">
      <c r="B461">
        <v>131</v>
      </c>
      <c r="C461">
        <v>68</v>
      </c>
      <c r="D461">
        <v>0</v>
      </c>
      <c r="E461">
        <v>43.2</v>
      </c>
      <c r="F461">
        <v>0.27</v>
      </c>
      <c r="G461">
        <v>26</v>
      </c>
      <c r="H461">
        <v>1</v>
      </c>
      <c r="M461">
        <v>0</v>
      </c>
      <c r="N461" s="1">
        <v>0</v>
      </c>
    </row>
    <row r="462" spans="2:14">
      <c r="B462">
        <v>165</v>
      </c>
      <c r="C462">
        <v>76</v>
      </c>
      <c r="D462">
        <v>255</v>
      </c>
      <c r="E462">
        <v>47.9</v>
      </c>
      <c r="F462">
        <v>0.25900000000000001</v>
      </c>
      <c r="G462">
        <v>26</v>
      </c>
      <c r="H462">
        <v>0</v>
      </c>
      <c r="M462">
        <v>43</v>
      </c>
      <c r="N462" s="1">
        <v>0</v>
      </c>
    </row>
    <row r="463" spans="2:14">
      <c r="B463">
        <v>78</v>
      </c>
      <c r="C463">
        <v>50</v>
      </c>
      <c r="D463">
        <v>88</v>
      </c>
      <c r="E463">
        <v>31</v>
      </c>
      <c r="F463">
        <v>0.248</v>
      </c>
      <c r="G463">
        <v>26</v>
      </c>
      <c r="H463">
        <v>1</v>
      </c>
      <c r="M463">
        <v>32</v>
      </c>
      <c r="N463" s="1">
        <v>3</v>
      </c>
    </row>
    <row r="464" spans="2:14">
      <c r="B464">
        <v>101</v>
      </c>
      <c r="C464">
        <v>76</v>
      </c>
      <c r="D464">
        <v>0</v>
      </c>
      <c r="E464">
        <v>35.700000000000003</v>
      </c>
      <c r="F464">
        <v>0.19800000000000001</v>
      </c>
      <c r="G464">
        <v>26</v>
      </c>
      <c r="H464">
        <v>0</v>
      </c>
      <c r="M464">
        <v>0</v>
      </c>
      <c r="N464" s="1">
        <v>0</v>
      </c>
    </row>
    <row r="465" spans="2:14">
      <c r="B465">
        <v>106</v>
      </c>
      <c r="C465">
        <v>76</v>
      </c>
      <c r="D465">
        <v>0</v>
      </c>
      <c r="E465">
        <v>37.5</v>
      </c>
      <c r="F465">
        <v>0.19700000000000001</v>
      </c>
      <c r="G465">
        <v>26</v>
      </c>
      <c r="H465">
        <v>0</v>
      </c>
      <c r="M465">
        <v>0</v>
      </c>
      <c r="N465" s="1">
        <v>1</v>
      </c>
    </row>
    <row r="466" spans="2:14">
      <c r="B466">
        <v>180</v>
      </c>
      <c r="C466">
        <v>66</v>
      </c>
      <c r="D466">
        <v>0</v>
      </c>
      <c r="E466">
        <v>42</v>
      </c>
      <c r="F466">
        <v>0.46567787114845849</v>
      </c>
      <c r="G466">
        <v>25</v>
      </c>
      <c r="H466">
        <v>1</v>
      </c>
      <c r="M466">
        <v>39</v>
      </c>
      <c r="N466" s="1">
        <v>0</v>
      </c>
    </row>
    <row r="467" spans="2:14">
      <c r="B467">
        <v>82</v>
      </c>
      <c r="C467">
        <v>52</v>
      </c>
      <c r="D467">
        <v>115</v>
      </c>
      <c r="E467">
        <v>28.5</v>
      </c>
      <c r="F467">
        <v>0.46567787114845849</v>
      </c>
      <c r="G467">
        <v>25</v>
      </c>
      <c r="H467">
        <v>0</v>
      </c>
      <c r="M467">
        <v>22</v>
      </c>
      <c r="N467" s="1">
        <v>2</v>
      </c>
    </row>
    <row r="468" spans="2:14">
      <c r="B468">
        <v>127</v>
      </c>
      <c r="C468">
        <v>58</v>
      </c>
      <c r="D468">
        <v>275</v>
      </c>
      <c r="E468">
        <v>27.7</v>
      </c>
      <c r="F468">
        <v>0.46567787114845849</v>
      </c>
      <c r="G468">
        <v>25</v>
      </c>
      <c r="H468">
        <v>0</v>
      </c>
      <c r="M468">
        <v>24</v>
      </c>
      <c r="N468" s="1">
        <v>2</v>
      </c>
    </row>
    <row r="469" spans="2:14">
      <c r="B469">
        <v>128</v>
      </c>
      <c r="C469">
        <v>68</v>
      </c>
      <c r="D469">
        <v>180</v>
      </c>
      <c r="E469">
        <v>30.5</v>
      </c>
      <c r="F469">
        <v>0.46567787114845849</v>
      </c>
      <c r="G469">
        <v>25</v>
      </c>
      <c r="H469">
        <v>1</v>
      </c>
      <c r="M469">
        <v>19</v>
      </c>
      <c r="N469" s="1">
        <v>0</v>
      </c>
    </row>
    <row r="470" spans="2:14">
      <c r="B470">
        <v>90</v>
      </c>
      <c r="C470">
        <v>62</v>
      </c>
      <c r="D470">
        <v>59</v>
      </c>
      <c r="E470">
        <v>25.1</v>
      </c>
      <c r="F470">
        <v>0.46567787114845849</v>
      </c>
      <c r="G470">
        <v>25</v>
      </c>
      <c r="H470">
        <v>0</v>
      </c>
      <c r="M470">
        <v>18</v>
      </c>
      <c r="N470" s="1">
        <v>1</v>
      </c>
    </row>
    <row r="471" spans="2:14">
      <c r="B471">
        <v>138</v>
      </c>
      <c r="C471">
        <v>68</v>
      </c>
      <c r="D471">
        <v>0</v>
      </c>
      <c r="E471">
        <v>36.299999999999997</v>
      </c>
      <c r="F471">
        <v>0.93300000000000005</v>
      </c>
      <c r="G471">
        <v>25</v>
      </c>
      <c r="H471">
        <v>1</v>
      </c>
      <c r="M471">
        <v>0</v>
      </c>
      <c r="N471" s="1">
        <v>0</v>
      </c>
    </row>
    <row r="472" spans="2:14">
      <c r="B472">
        <v>87</v>
      </c>
      <c r="C472">
        <v>68</v>
      </c>
      <c r="D472">
        <v>0</v>
      </c>
      <c r="E472">
        <v>28.9</v>
      </c>
      <c r="F472">
        <v>0.77300000000000002</v>
      </c>
      <c r="G472">
        <v>25</v>
      </c>
      <c r="H472">
        <v>0</v>
      </c>
      <c r="M472">
        <v>23</v>
      </c>
      <c r="N472" s="1">
        <v>2</v>
      </c>
    </row>
    <row r="473" spans="2:14">
      <c r="B473">
        <v>107</v>
      </c>
      <c r="C473">
        <v>62</v>
      </c>
      <c r="D473">
        <v>74</v>
      </c>
      <c r="E473">
        <v>36.6</v>
      </c>
      <c r="F473">
        <v>0.75700000000000001</v>
      </c>
      <c r="G473">
        <v>25</v>
      </c>
      <c r="H473">
        <v>1</v>
      </c>
      <c r="M473">
        <v>30</v>
      </c>
      <c r="N473" s="1">
        <v>0</v>
      </c>
    </row>
    <row r="474" spans="2:14">
      <c r="B474">
        <v>100</v>
      </c>
      <c r="C474">
        <v>70</v>
      </c>
      <c r="D474">
        <v>57</v>
      </c>
      <c r="E474">
        <v>40.5</v>
      </c>
      <c r="F474">
        <v>0.67700000000000005</v>
      </c>
      <c r="G474">
        <v>25</v>
      </c>
      <c r="H474">
        <v>0</v>
      </c>
      <c r="M474">
        <v>52</v>
      </c>
      <c r="N474" s="1">
        <v>2</v>
      </c>
    </row>
    <row r="475" spans="2:14">
      <c r="B475">
        <v>78</v>
      </c>
      <c r="C475">
        <v>48</v>
      </c>
      <c r="D475">
        <v>0</v>
      </c>
      <c r="E475">
        <v>33.700000000000003</v>
      </c>
      <c r="F475">
        <v>0.65400000000000003</v>
      </c>
      <c r="G475">
        <v>25</v>
      </c>
      <c r="H475">
        <v>0</v>
      </c>
      <c r="M475">
        <v>0</v>
      </c>
      <c r="N475" s="1">
        <v>5</v>
      </c>
    </row>
    <row r="476" spans="2:14">
      <c r="B476">
        <v>113</v>
      </c>
      <c r="C476">
        <v>50</v>
      </c>
      <c r="D476">
        <v>85</v>
      </c>
      <c r="E476">
        <v>29.5</v>
      </c>
      <c r="F476">
        <v>0.626</v>
      </c>
      <c r="G476">
        <v>25</v>
      </c>
      <c r="H476">
        <v>0</v>
      </c>
      <c r="M476">
        <v>10</v>
      </c>
      <c r="N476" s="1">
        <v>3</v>
      </c>
    </row>
    <row r="477" spans="2:14">
      <c r="B477">
        <v>97</v>
      </c>
      <c r="C477">
        <v>64</v>
      </c>
      <c r="D477">
        <v>100</v>
      </c>
      <c r="E477">
        <v>36.799999999999997</v>
      </c>
      <c r="F477">
        <v>0.6</v>
      </c>
      <c r="G477">
        <v>25</v>
      </c>
      <c r="H477">
        <v>0</v>
      </c>
      <c r="M477">
        <v>36</v>
      </c>
      <c r="N477" s="1">
        <v>0</v>
      </c>
    </row>
    <row r="478" spans="2:14">
      <c r="B478">
        <v>84</v>
      </c>
      <c r="C478">
        <v>68</v>
      </c>
      <c r="D478">
        <v>106</v>
      </c>
      <c r="E478">
        <v>31.9</v>
      </c>
      <c r="F478">
        <v>0.59099999999999997</v>
      </c>
      <c r="G478">
        <v>25</v>
      </c>
      <c r="H478">
        <v>0</v>
      </c>
      <c r="M478">
        <v>30</v>
      </c>
      <c r="N478" s="1">
        <v>3</v>
      </c>
    </row>
    <row r="479" spans="2:14">
      <c r="B479">
        <v>129</v>
      </c>
      <c r="C479">
        <v>74</v>
      </c>
      <c r="D479">
        <v>205</v>
      </c>
      <c r="E479">
        <v>33.200000000000003</v>
      </c>
      <c r="F479">
        <v>0.59099999999999997</v>
      </c>
      <c r="G479">
        <v>25</v>
      </c>
      <c r="H479">
        <v>0</v>
      </c>
      <c r="M479">
        <v>26</v>
      </c>
      <c r="N479" s="1">
        <v>2</v>
      </c>
    </row>
    <row r="480" spans="2:14">
      <c r="B480">
        <v>81</v>
      </c>
      <c r="C480">
        <v>72</v>
      </c>
      <c r="D480">
        <v>76</v>
      </c>
      <c r="E480">
        <v>30.1</v>
      </c>
      <c r="F480">
        <v>0.54700000000000004</v>
      </c>
      <c r="G480">
        <v>25</v>
      </c>
      <c r="H480">
        <v>0</v>
      </c>
      <c r="M480">
        <v>15</v>
      </c>
      <c r="N480" s="1">
        <v>2</v>
      </c>
    </row>
    <row r="481" spans="2:14">
      <c r="B481">
        <v>112</v>
      </c>
      <c r="C481">
        <v>72</v>
      </c>
      <c r="D481">
        <v>176</v>
      </c>
      <c r="E481">
        <v>34.4</v>
      </c>
      <c r="F481">
        <v>0.52800000000000002</v>
      </c>
      <c r="G481">
        <v>25</v>
      </c>
      <c r="H481">
        <v>0</v>
      </c>
      <c r="M481">
        <v>30</v>
      </c>
      <c r="N481" s="1">
        <v>1</v>
      </c>
    </row>
    <row r="482" spans="2:14">
      <c r="B482">
        <v>109</v>
      </c>
      <c r="C482">
        <v>62</v>
      </c>
      <c r="D482">
        <v>129</v>
      </c>
      <c r="E482">
        <v>35.799999999999997</v>
      </c>
      <c r="F482">
        <v>0.51400000000000001</v>
      </c>
      <c r="G482">
        <v>25</v>
      </c>
      <c r="H482">
        <v>1</v>
      </c>
      <c r="M482">
        <v>41</v>
      </c>
      <c r="N482" s="1">
        <v>5</v>
      </c>
    </row>
    <row r="483" spans="2:14">
      <c r="B483">
        <v>116</v>
      </c>
      <c r="C483">
        <v>78</v>
      </c>
      <c r="D483">
        <v>180</v>
      </c>
      <c r="E483">
        <v>36.1</v>
      </c>
      <c r="F483">
        <v>0.496</v>
      </c>
      <c r="G483">
        <v>25</v>
      </c>
      <c r="H483">
        <v>0</v>
      </c>
      <c r="M483">
        <v>29</v>
      </c>
      <c r="N483" s="1">
        <v>1</v>
      </c>
    </row>
    <row r="484" spans="2:14">
      <c r="B484">
        <v>92</v>
      </c>
      <c r="C484">
        <v>62</v>
      </c>
      <c r="D484">
        <v>41</v>
      </c>
      <c r="E484">
        <v>19.5</v>
      </c>
      <c r="F484">
        <v>0.48199999999999998</v>
      </c>
      <c r="G484">
        <v>25</v>
      </c>
      <c r="H484">
        <v>0</v>
      </c>
      <c r="M484">
        <v>25</v>
      </c>
      <c r="N484" s="1">
        <v>1</v>
      </c>
    </row>
    <row r="485" spans="2:14">
      <c r="B485">
        <v>144</v>
      </c>
      <c r="C485">
        <v>58</v>
      </c>
      <c r="D485">
        <v>135</v>
      </c>
      <c r="E485">
        <v>31.6</v>
      </c>
      <c r="F485">
        <v>0.42199999999999999</v>
      </c>
      <c r="G485">
        <v>25</v>
      </c>
      <c r="H485">
        <v>1</v>
      </c>
      <c r="M485">
        <v>33</v>
      </c>
      <c r="N485" s="1">
        <v>2</v>
      </c>
    </row>
    <row r="486" spans="2:14">
      <c r="B486">
        <v>76</v>
      </c>
      <c r="C486">
        <v>62</v>
      </c>
      <c r="D486">
        <v>0</v>
      </c>
      <c r="E486">
        <v>34</v>
      </c>
      <c r="F486">
        <v>0.39100000000000001</v>
      </c>
      <c r="G486">
        <v>25</v>
      </c>
      <c r="H486">
        <v>0</v>
      </c>
      <c r="M486">
        <v>0</v>
      </c>
      <c r="N486" s="1">
        <v>4</v>
      </c>
    </row>
    <row r="487" spans="2:14">
      <c r="B487">
        <v>82</v>
      </c>
      <c r="C487">
        <v>70</v>
      </c>
      <c r="D487">
        <v>0</v>
      </c>
      <c r="E487">
        <v>21.1</v>
      </c>
      <c r="F487">
        <v>0.38900000000000001</v>
      </c>
      <c r="G487">
        <v>25</v>
      </c>
      <c r="H487">
        <v>0</v>
      </c>
      <c r="M487">
        <v>0</v>
      </c>
      <c r="N487" s="1">
        <v>3</v>
      </c>
    </row>
    <row r="488" spans="2:14">
      <c r="B488">
        <v>91</v>
      </c>
      <c r="C488">
        <v>68</v>
      </c>
      <c r="D488">
        <v>210</v>
      </c>
      <c r="E488">
        <v>39.9</v>
      </c>
      <c r="F488">
        <v>0.38100000000000001</v>
      </c>
      <c r="G488">
        <v>25</v>
      </c>
      <c r="H488">
        <v>0</v>
      </c>
      <c r="M488">
        <v>32</v>
      </c>
      <c r="N488" s="1">
        <v>0</v>
      </c>
    </row>
    <row r="489" spans="2:14">
      <c r="B489">
        <v>139</v>
      </c>
      <c r="C489">
        <v>80</v>
      </c>
      <c r="D489">
        <v>160</v>
      </c>
      <c r="E489">
        <v>31.6</v>
      </c>
      <c r="F489">
        <v>0.36099999999999999</v>
      </c>
      <c r="G489">
        <v>25</v>
      </c>
      <c r="H489">
        <v>1</v>
      </c>
      <c r="M489">
        <v>35</v>
      </c>
      <c r="N489" s="1">
        <v>5</v>
      </c>
    </row>
    <row r="490" spans="2:14">
      <c r="B490">
        <v>73</v>
      </c>
      <c r="C490">
        <v>68</v>
      </c>
      <c r="D490">
        <v>0</v>
      </c>
      <c r="E490">
        <v>21.1</v>
      </c>
      <c r="F490">
        <v>0.34200000000000003</v>
      </c>
      <c r="G490">
        <v>25</v>
      </c>
      <c r="H490">
        <v>0</v>
      </c>
      <c r="M490">
        <v>0</v>
      </c>
      <c r="N490" s="1">
        <v>0</v>
      </c>
    </row>
    <row r="491" spans="2:14">
      <c r="B491">
        <v>101</v>
      </c>
      <c r="C491">
        <v>62</v>
      </c>
      <c r="D491">
        <v>0</v>
      </c>
      <c r="E491">
        <v>21.9</v>
      </c>
      <c r="F491">
        <v>0.33600000000000002</v>
      </c>
      <c r="G491">
        <v>25</v>
      </c>
      <c r="H491">
        <v>0</v>
      </c>
      <c r="M491">
        <v>0</v>
      </c>
      <c r="N491" s="1">
        <v>0</v>
      </c>
    </row>
    <row r="492" spans="2:14">
      <c r="B492">
        <v>83</v>
      </c>
      <c r="C492">
        <v>58</v>
      </c>
      <c r="D492">
        <v>18</v>
      </c>
      <c r="E492">
        <v>34.299999999999997</v>
      </c>
      <c r="F492">
        <v>0.33600000000000002</v>
      </c>
      <c r="G492">
        <v>25</v>
      </c>
      <c r="H492">
        <v>0</v>
      </c>
      <c r="M492">
        <v>31</v>
      </c>
      <c r="N492" s="1">
        <v>3</v>
      </c>
    </row>
    <row r="493" spans="2:14">
      <c r="B493">
        <v>95</v>
      </c>
      <c r="C493">
        <v>66</v>
      </c>
      <c r="D493">
        <v>38</v>
      </c>
      <c r="E493">
        <v>19.600000000000001</v>
      </c>
      <c r="F493">
        <v>0.33400000000000002</v>
      </c>
      <c r="G493">
        <v>25</v>
      </c>
      <c r="H493">
        <v>0</v>
      </c>
      <c r="M493">
        <v>13</v>
      </c>
      <c r="N493" s="1">
        <v>1</v>
      </c>
    </row>
    <row r="494" spans="2:14">
      <c r="B494">
        <v>81</v>
      </c>
      <c r="C494">
        <v>60</v>
      </c>
      <c r="D494">
        <v>0</v>
      </c>
      <c r="E494">
        <v>27.7</v>
      </c>
      <c r="F494">
        <v>0.28999999999999998</v>
      </c>
      <c r="G494">
        <v>25</v>
      </c>
      <c r="H494">
        <v>0</v>
      </c>
      <c r="M494">
        <v>22</v>
      </c>
      <c r="N494" s="1">
        <v>2</v>
      </c>
    </row>
    <row r="495" spans="2:14">
      <c r="B495">
        <v>119</v>
      </c>
      <c r="C495">
        <v>44</v>
      </c>
      <c r="D495">
        <v>63</v>
      </c>
      <c r="E495">
        <v>35.5</v>
      </c>
      <c r="F495">
        <v>0.28000000000000003</v>
      </c>
      <c r="G495">
        <v>25</v>
      </c>
      <c r="H495">
        <v>0</v>
      </c>
      <c r="M495">
        <v>47</v>
      </c>
      <c r="N495" s="1">
        <v>1</v>
      </c>
    </row>
    <row r="496" spans="2:14">
      <c r="B496">
        <v>93</v>
      </c>
      <c r="C496">
        <v>60</v>
      </c>
      <c r="D496">
        <v>0</v>
      </c>
      <c r="E496">
        <v>35.299999999999997</v>
      </c>
      <c r="F496">
        <v>0.26300000000000001</v>
      </c>
      <c r="G496">
        <v>25</v>
      </c>
      <c r="H496">
        <v>0</v>
      </c>
      <c r="M496">
        <v>0</v>
      </c>
      <c r="N496" s="1">
        <v>0</v>
      </c>
    </row>
    <row r="497" spans="2:14">
      <c r="B497">
        <v>193</v>
      </c>
      <c r="C497">
        <v>70</v>
      </c>
      <c r="D497">
        <v>0</v>
      </c>
      <c r="E497">
        <v>34.9</v>
      </c>
      <c r="F497">
        <v>0.24099999999999999</v>
      </c>
      <c r="G497">
        <v>25</v>
      </c>
      <c r="H497">
        <v>1</v>
      </c>
      <c r="M497">
        <v>31</v>
      </c>
      <c r="N497" s="1">
        <v>3</v>
      </c>
    </row>
    <row r="498" spans="2:14">
      <c r="B498">
        <v>86</v>
      </c>
      <c r="C498">
        <v>68</v>
      </c>
      <c r="D498">
        <v>0</v>
      </c>
      <c r="E498">
        <v>35.799999999999997</v>
      </c>
      <c r="F498">
        <v>0.23799999999999999</v>
      </c>
      <c r="G498">
        <v>25</v>
      </c>
      <c r="H498">
        <v>0</v>
      </c>
      <c r="M498">
        <v>32</v>
      </c>
      <c r="N498" s="1">
        <v>0</v>
      </c>
    </row>
    <row r="499" spans="2:14">
      <c r="B499">
        <v>105</v>
      </c>
      <c r="C499">
        <v>58</v>
      </c>
      <c r="D499">
        <v>94</v>
      </c>
      <c r="E499">
        <v>34.9</v>
      </c>
      <c r="F499">
        <v>0.22500000000000001</v>
      </c>
      <c r="G499">
        <v>25</v>
      </c>
      <c r="H499">
        <v>0</v>
      </c>
      <c r="M499">
        <v>40</v>
      </c>
      <c r="N499" s="1">
        <v>2</v>
      </c>
    </row>
    <row r="500" spans="2:14">
      <c r="B500">
        <v>108</v>
      </c>
      <c r="C500">
        <v>62</v>
      </c>
      <c r="D500">
        <v>0</v>
      </c>
      <c r="E500">
        <v>26</v>
      </c>
      <c r="F500">
        <v>0.223</v>
      </c>
      <c r="G500">
        <v>25</v>
      </c>
      <c r="H500">
        <v>0</v>
      </c>
      <c r="M500">
        <v>24</v>
      </c>
      <c r="N500" s="1">
        <v>3</v>
      </c>
    </row>
    <row r="501" spans="2:14">
      <c r="B501">
        <v>125</v>
      </c>
      <c r="C501">
        <v>70</v>
      </c>
      <c r="D501">
        <v>110</v>
      </c>
      <c r="E501">
        <v>24.3</v>
      </c>
      <c r="F501">
        <v>0.221</v>
      </c>
      <c r="G501">
        <v>25</v>
      </c>
      <c r="H501">
        <v>0</v>
      </c>
      <c r="M501">
        <v>24</v>
      </c>
      <c r="N501" s="1">
        <v>1</v>
      </c>
    </row>
    <row r="502" spans="2:14">
      <c r="B502">
        <v>112</v>
      </c>
      <c r="C502">
        <v>74</v>
      </c>
      <c r="D502">
        <v>0</v>
      </c>
      <c r="E502">
        <v>31.6</v>
      </c>
      <c r="F502">
        <v>0.19700000000000001</v>
      </c>
      <c r="G502">
        <v>25</v>
      </c>
      <c r="H502">
        <v>1</v>
      </c>
      <c r="M502">
        <v>30</v>
      </c>
      <c r="N502" s="1">
        <v>3</v>
      </c>
    </row>
    <row r="503" spans="2:14">
      <c r="B503">
        <v>90</v>
      </c>
      <c r="C503">
        <v>60</v>
      </c>
      <c r="D503">
        <v>0</v>
      </c>
      <c r="E503">
        <v>23.5</v>
      </c>
      <c r="F503">
        <v>0.191</v>
      </c>
      <c r="G503">
        <v>25</v>
      </c>
      <c r="H503">
        <v>0</v>
      </c>
      <c r="M503">
        <v>0</v>
      </c>
      <c r="N503" s="1">
        <v>2</v>
      </c>
    </row>
    <row r="504" spans="2:14">
      <c r="B504">
        <v>68</v>
      </c>
      <c r="C504">
        <v>70</v>
      </c>
      <c r="D504">
        <v>66</v>
      </c>
      <c r="E504">
        <v>25</v>
      </c>
      <c r="F504">
        <v>0.187</v>
      </c>
      <c r="G504">
        <v>25</v>
      </c>
      <c r="H504">
        <v>0</v>
      </c>
      <c r="M504">
        <v>32</v>
      </c>
      <c r="N504" s="1">
        <v>2</v>
      </c>
    </row>
    <row r="505" spans="2:14">
      <c r="B505">
        <v>87</v>
      </c>
      <c r="C505">
        <v>58</v>
      </c>
      <c r="D505">
        <v>52</v>
      </c>
      <c r="E505">
        <v>32.700000000000003</v>
      </c>
      <c r="F505">
        <v>0.16600000000000001</v>
      </c>
      <c r="G505">
        <v>25</v>
      </c>
      <c r="H505">
        <v>0</v>
      </c>
      <c r="M505">
        <v>16</v>
      </c>
      <c r="N505" s="1">
        <v>2</v>
      </c>
    </row>
    <row r="506" spans="2:14">
      <c r="B506">
        <v>84</v>
      </c>
      <c r="C506">
        <v>90</v>
      </c>
      <c r="D506">
        <v>56</v>
      </c>
      <c r="E506">
        <v>39.5</v>
      </c>
      <c r="F506">
        <v>0.159</v>
      </c>
      <c r="G506">
        <v>25</v>
      </c>
      <c r="H506">
        <v>0</v>
      </c>
      <c r="M506">
        <v>23</v>
      </c>
      <c r="N506" s="1">
        <v>4</v>
      </c>
    </row>
    <row r="507" spans="2:14">
      <c r="B507">
        <v>121</v>
      </c>
      <c r="C507">
        <v>52</v>
      </c>
      <c r="D507">
        <v>0</v>
      </c>
      <c r="E507">
        <v>36</v>
      </c>
      <c r="F507">
        <v>0.127</v>
      </c>
      <c r="G507">
        <v>25</v>
      </c>
      <c r="H507">
        <v>1</v>
      </c>
      <c r="M507">
        <v>0</v>
      </c>
      <c r="N507" s="1">
        <v>3</v>
      </c>
    </row>
    <row r="508" spans="2:14">
      <c r="B508">
        <v>114</v>
      </c>
      <c r="C508">
        <v>68</v>
      </c>
      <c r="D508">
        <v>0</v>
      </c>
      <c r="E508">
        <v>28.7</v>
      </c>
      <c r="F508">
        <v>9.1999999999999998E-2</v>
      </c>
      <c r="G508">
        <v>25</v>
      </c>
      <c r="H508">
        <v>0</v>
      </c>
      <c r="M508">
        <v>22</v>
      </c>
      <c r="N508" s="1">
        <v>2</v>
      </c>
    </row>
    <row r="509" spans="2:14">
      <c r="B509">
        <v>77</v>
      </c>
      <c r="C509">
        <v>56</v>
      </c>
      <c r="D509">
        <v>56</v>
      </c>
      <c r="E509">
        <v>33.299999999999997</v>
      </c>
      <c r="F509">
        <v>0.46567787114845849</v>
      </c>
      <c r="G509">
        <v>24</v>
      </c>
      <c r="H509">
        <v>0</v>
      </c>
      <c r="M509">
        <v>30</v>
      </c>
      <c r="N509" s="1">
        <v>1</v>
      </c>
    </row>
    <row r="510" spans="2:14">
      <c r="B510">
        <v>128</v>
      </c>
      <c r="C510">
        <v>64</v>
      </c>
      <c r="D510">
        <v>0</v>
      </c>
      <c r="E510">
        <v>40</v>
      </c>
      <c r="F510">
        <v>1.101</v>
      </c>
      <c r="G510">
        <v>24</v>
      </c>
      <c r="H510">
        <v>0</v>
      </c>
      <c r="M510">
        <v>42</v>
      </c>
      <c r="N510" s="1">
        <v>2</v>
      </c>
    </row>
    <row r="511" spans="2:14">
      <c r="B511">
        <v>107</v>
      </c>
      <c r="C511">
        <v>72</v>
      </c>
      <c r="D511">
        <v>82</v>
      </c>
      <c r="E511">
        <v>30.8</v>
      </c>
      <c r="F511">
        <v>0.82099999999999995</v>
      </c>
      <c r="G511">
        <v>24</v>
      </c>
      <c r="H511">
        <v>0</v>
      </c>
      <c r="M511">
        <v>30</v>
      </c>
      <c r="N511" s="1">
        <v>1</v>
      </c>
    </row>
    <row r="512" spans="2:14">
      <c r="B512">
        <v>141</v>
      </c>
      <c r="C512">
        <v>58</v>
      </c>
      <c r="D512">
        <v>128</v>
      </c>
      <c r="E512">
        <v>25.4</v>
      </c>
      <c r="F512">
        <v>0.69899999999999995</v>
      </c>
      <c r="G512">
        <v>24</v>
      </c>
      <c r="H512">
        <v>0</v>
      </c>
      <c r="M512">
        <v>34</v>
      </c>
      <c r="N512" s="1">
        <v>2</v>
      </c>
    </row>
    <row r="513" spans="2:14">
      <c r="B513">
        <v>107</v>
      </c>
      <c r="C513">
        <v>76</v>
      </c>
      <c r="D513">
        <v>0</v>
      </c>
      <c r="E513">
        <v>45.3</v>
      </c>
      <c r="F513">
        <v>0.68600000000000005</v>
      </c>
      <c r="G513">
        <v>24</v>
      </c>
      <c r="H513">
        <v>0</v>
      </c>
      <c r="M513">
        <v>0</v>
      </c>
      <c r="N513" s="1">
        <v>0</v>
      </c>
    </row>
    <row r="514" spans="2:14">
      <c r="B514">
        <v>162</v>
      </c>
      <c r="C514">
        <v>52</v>
      </c>
      <c r="D514">
        <v>0</v>
      </c>
      <c r="E514">
        <v>37.200000000000003</v>
      </c>
      <c r="F514">
        <v>0.65200000000000002</v>
      </c>
      <c r="G514">
        <v>24</v>
      </c>
      <c r="H514">
        <v>1</v>
      </c>
      <c r="M514">
        <v>38</v>
      </c>
      <c r="N514" s="1">
        <v>3</v>
      </c>
    </row>
    <row r="515" spans="2:14">
      <c r="B515">
        <v>174</v>
      </c>
      <c r="C515">
        <v>88</v>
      </c>
      <c r="D515">
        <v>120</v>
      </c>
      <c r="E515">
        <v>44.5</v>
      </c>
      <c r="F515">
        <v>0.64600000000000002</v>
      </c>
      <c r="G515">
        <v>24</v>
      </c>
      <c r="H515">
        <v>1</v>
      </c>
      <c r="M515">
        <v>37</v>
      </c>
      <c r="N515" s="1">
        <v>2</v>
      </c>
    </row>
    <row r="516" spans="2:14">
      <c r="B516">
        <v>83</v>
      </c>
      <c r="C516">
        <v>65</v>
      </c>
      <c r="D516">
        <v>66</v>
      </c>
      <c r="E516">
        <v>36.799999999999997</v>
      </c>
      <c r="F516">
        <v>0.629</v>
      </c>
      <c r="G516">
        <v>24</v>
      </c>
      <c r="H516">
        <v>0</v>
      </c>
      <c r="M516">
        <v>28</v>
      </c>
      <c r="N516" s="1">
        <v>2</v>
      </c>
    </row>
    <row r="517" spans="2:14">
      <c r="B517">
        <v>128</v>
      </c>
      <c r="C517">
        <v>48</v>
      </c>
      <c r="D517">
        <v>194</v>
      </c>
      <c r="E517">
        <v>40.5</v>
      </c>
      <c r="F517">
        <v>0.61299999999999999</v>
      </c>
      <c r="G517">
        <v>24</v>
      </c>
      <c r="H517">
        <v>1</v>
      </c>
      <c r="M517">
        <v>45</v>
      </c>
      <c r="N517" s="1">
        <v>1</v>
      </c>
    </row>
    <row r="518" spans="2:14">
      <c r="B518">
        <v>95</v>
      </c>
      <c r="C518">
        <v>70</v>
      </c>
      <c r="D518">
        <v>0</v>
      </c>
      <c r="E518">
        <v>32.1</v>
      </c>
      <c r="F518">
        <v>0.61199999999999999</v>
      </c>
      <c r="G518">
        <v>24</v>
      </c>
      <c r="H518">
        <v>0</v>
      </c>
      <c r="M518">
        <v>32</v>
      </c>
      <c r="N518" s="1">
        <v>4</v>
      </c>
    </row>
    <row r="519" spans="2:14">
      <c r="B519">
        <v>90</v>
      </c>
      <c r="C519">
        <v>62</v>
      </c>
      <c r="D519">
        <v>43</v>
      </c>
      <c r="E519">
        <v>27.2</v>
      </c>
      <c r="F519">
        <v>0.57999999999999996</v>
      </c>
      <c r="G519">
        <v>24</v>
      </c>
      <c r="H519">
        <v>0</v>
      </c>
      <c r="M519">
        <v>12</v>
      </c>
      <c r="N519" s="1">
        <v>1</v>
      </c>
    </row>
    <row r="520" spans="2:14">
      <c r="B520">
        <v>126</v>
      </c>
      <c r="C520">
        <v>84</v>
      </c>
      <c r="D520">
        <v>215</v>
      </c>
      <c r="E520">
        <v>30.7</v>
      </c>
      <c r="F520">
        <v>0.52</v>
      </c>
      <c r="G520">
        <v>24</v>
      </c>
      <c r="H520">
        <v>0</v>
      </c>
      <c r="M520">
        <v>29</v>
      </c>
      <c r="N520" s="1">
        <v>0</v>
      </c>
    </row>
    <row r="521" spans="2:14">
      <c r="B521">
        <v>100</v>
      </c>
      <c r="C521">
        <v>54</v>
      </c>
      <c r="D521">
        <v>105</v>
      </c>
      <c r="E521">
        <v>37.799999999999997</v>
      </c>
      <c r="F521">
        <v>0.498</v>
      </c>
      <c r="G521">
        <v>24</v>
      </c>
      <c r="H521">
        <v>0</v>
      </c>
      <c r="M521">
        <v>28</v>
      </c>
      <c r="N521" s="1">
        <v>2</v>
      </c>
    </row>
    <row r="522" spans="2:14">
      <c r="B522">
        <v>140</v>
      </c>
      <c r="C522">
        <v>65</v>
      </c>
      <c r="D522">
        <v>130</v>
      </c>
      <c r="E522">
        <v>42.6</v>
      </c>
      <c r="F522">
        <v>0.43099999999999999</v>
      </c>
      <c r="G522">
        <v>24</v>
      </c>
      <c r="H522">
        <v>1</v>
      </c>
      <c r="M522">
        <v>26</v>
      </c>
      <c r="N522" s="1">
        <v>0</v>
      </c>
    </row>
    <row r="523" spans="2:14">
      <c r="B523">
        <v>108</v>
      </c>
      <c r="C523">
        <v>60</v>
      </c>
      <c r="D523">
        <v>178</v>
      </c>
      <c r="E523">
        <v>35.5</v>
      </c>
      <c r="F523">
        <v>0.41499999999999998</v>
      </c>
      <c r="G523">
        <v>24</v>
      </c>
      <c r="H523">
        <v>0</v>
      </c>
      <c r="M523">
        <v>46</v>
      </c>
      <c r="N523" s="1">
        <v>1</v>
      </c>
    </row>
    <row r="524" spans="2:14">
      <c r="B524">
        <v>87</v>
      </c>
      <c r="C524">
        <v>68</v>
      </c>
      <c r="D524">
        <v>77</v>
      </c>
      <c r="E524">
        <v>37.6</v>
      </c>
      <c r="F524">
        <v>0.40100000000000002</v>
      </c>
      <c r="G524">
        <v>24</v>
      </c>
      <c r="H524">
        <v>0</v>
      </c>
      <c r="M524">
        <v>34</v>
      </c>
      <c r="N524" s="1">
        <v>1</v>
      </c>
    </row>
    <row r="525" spans="2:14">
      <c r="B525">
        <v>108</v>
      </c>
      <c r="C525">
        <v>88</v>
      </c>
      <c r="D525">
        <v>0</v>
      </c>
      <c r="E525">
        <v>27.1</v>
      </c>
      <c r="F525">
        <v>0.4</v>
      </c>
      <c r="G525">
        <v>24</v>
      </c>
      <c r="H525">
        <v>0</v>
      </c>
      <c r="M525">
        <v>19</v>
      </c>
      <c r="N525" s="1">
        <v>1</v>
      </c>
    </row>
    <row r="526" spans="2:14">
      <c r="B526">
        <v>136</v>
      </c>
      <c r="C526">
        <v>74</v>
      </c>
      <c r="D526">
        <v>204</v>
      </c>
      <c r="E526">
        <v>37.4</v>
      </c>
      <c r="F526">
        <v>0.39900000000000002</v>
      </c>
      <c r="G526">
        <v>24</v>
      </c>
      <c r="H526">
        <v>0</v>
      </c>
      <c r="M526">
        <v>50</v>
      </c>
      <c r="N526" s="1">
        <v>1</v>
      </c>
    </row>
    <row r="527" spans="2:14">
      <c r="B527">
        <v>147</v>
      </c>
      <c r="C527">
        <v>85</v>
      </c>
      <c r="D527">
        <v>0</v>
      </c>
      <c r="E527">
        <v>42.8</v>
      </c>
      <c r="F527">
        <v>0.375</v>
      </c>
      <c r="G527">
        <v>24</v>
      </c>
      <c r="H527">
        <v>0</v>
      </c>
      <c r="M527">
        <v>54</v>
      </c>
      <c r="N527" s="1">
        <v>0</v>
      </c>
    </row>
    <row r="528" spans="2:14">
      <c r="B528">
        <v>135</v>
      </c>
      <c r="C528">
        <v>68</v>
      </c>
      <c r="D528">
        <v>250</v>
      </c>
      <c r="E528">
        <v>42.3</v>
      </c>
      <c r="F528">
        <v>0.36499999999999999</v>
      </c>
      <c r="G528">
        <v>24</v>
      </c>
      <c r="H528">
        <v>1</v>
      </c>
      <c r="M528">
        <v>42</v>
      </c>
      <c r="N528" s="1">
        <v>0</v>
      </c>
    </row>
    <row r="529" spans="2:14">
      <c r="B529">
        <v>86</v>
      </c>
      <c r="C529">
        <v>68</v>
      </c>
      <c r="D529">
        <v>71</v>
      </c>
      <c r="E529">
        <v>30.2</v>
      </c>
      <c r="F529">
        <v>0.36399999999999999</v>
      </c>
      <c r="G529">
        <v>24</v>
      </c>
      <c r="H529">
        <v>0</v>
      </c>
      <c r="M529">
        <v>28</v>
      </c>
      <c r="N529" s="1">
        <v>5</v>
      </c>
    </row>
    <row r="530" spans="2:14">
      <c r="B530">
        <v>112</v>
      </c>
      <c r="C530">
        <v>66</v>
      </c>
      <c r="D530">
        <v>0</v>
      </c>
      <c r="E530">
        <v>25</v>
      </c>
      <c r="F530">
        <v>0.307</v>
      </c>
      <c r="G530">
        <v>24</v>
      </c>
      <c r="H530">
        <v>0</v>
      </c>
      <c r="M530">
        <v>22</v>
      </c>
      <c r="N530" s="1">
        <v>2</v>
      </c>
    </row>
    <row r="531" spans="2:14">
      <c r="B531">
        <v>128</v>
      </c>
      <c r="C531">
        <v>70</v>
      </c>
      <c r="D531">
        <v>0</v>
      </c>
      <c r="E531">
        <v>34.299999999999997</v>
      </c>
      <c r="F531">
        <v>0.30299999999999999</v>
      </c>
      <c r="G531">
        <v>24</v>
      </c>
      <c r="H531">
        <v>0</v>
      </c>
      <c r="M531">
        <v>0</v>
      </c>
      <c r="N531" s="1">
        <v>4</v>
      </c>
    </row>
    <row r="532" spans="2:14">
      <c r="B532">
        <v>106</v>
      </c>
      <c r="C532">
        <v>54</v>
      </c>
      <c r="D532">
        <v>158</v>
      </c>
      <c r="E532">
        <v>30.9</v>
      </c>
      <c r="F532">
        <v>0.29199999999999998</v>
      </c>
      <c r="G532">
        <v>24</v>
      </c>
      <c r="H532">
        <v>0</v>
      </c>
      <c r="M532">
        <v>21</v>
      </c>
      <c r="N532" s="1">
        <v>3</v>
      </c>
    </row>
    <row r="533" spans="2:14">
      <c r="B533">
        <v>81</v>
      </c>
      <c r="C533">
        <v>72</v>
      </c>
      <c r="D533">
        <v>40</v>
      </c>
      <c r="E533">
        <v>26.6</v>
      </c>
      <c r="F533">
        <v>0.28299999999999997</v>
      </c>
      <c r="G533">
        <v>24</v>
      </c>
      <c r="H533">
        <v>0</v>
      </c>
      <c r="M533">
        <v>18</v>
      </c>
      <c r="N533" s="1">
        <v>1</v>
      </c>
    </row>
    <row r="534" spans="2:14">
      <c r="B534">
        <v>111</v>
      </c>
      <c r="C534">
        <v>64</v>
      </c>
      <c r="D534">
        <v>0</v>
      </c>
      <c r="E534">
        <v>34.200000000000003</v>
      </c>
      <c r="F534">
        <v>0.26</v>
      </c>
      <c r="G534">
        <v>24</v>
      </c>
      <c r="H534">
        <v>0</v>
      </c>
      <c r="M534">
        <v>39</v>
      </c>
      <c r="N534" s="1">
        <v>6</v>
      </c>
    </row>
    <row r="535" spans="2:14">
      <c r="B535">
        <v>90</v>
      </c>
      <c r="C535">
        <v>80</v>
      </c>
      <c r="D535">
        <v>55</v>
      </c>
      <c r="E535">
        <v>24.4</v>
      </c>
      <c r="F535">
        <v>0.249</v>
      </c>
      <c r="G535">
        <v>24</v>
      </c>
      <c r="H535">
        <v>0</v>
      </c>
      <c r="M535">
        <v>14</v>
      </c>
      <c r="N535" s="1">
        <v>2</v>
      </c>
    </row>
    <row r="536" spans="2:14">
      <c r="B536">
        <v>95</v>
      </c>
      <c r="C536">
        <v>85</v>
      </c>
      <c r="D536">
        <v>36</v>
      </c>
      <c r="E536">
        <v>37.4</v>
      </c>
      <c r="F536">
        <v>0.247</v>
      </c>
      <c r="G536">
        <v>24</v>
      </c>
      <c r="H536">
        <v>1</v>
      </c>
      <c r="M536">
        <v>25</v>
      </c>
      <c r="N536" s="1">
        <v>0</v>
      </c>
    </row>
    <row r="537" spans="2:14">
      <c r="B537">
        <v>102</v>
      </c>
      <c r="C537">
        <v>78</v>
      </c>
      <c r="D537">
        <v>90</v>
      </c>
      <c r="E537">
        <v>34.5</v>
      </c>
      <c r="F537">
        <v>0.23799999999999999</v>
      </c>
      <c r="G537">
        <v>24</v>
      </c>
      <c r="H537">
        <v>0</v>
      </c>
      <c r="M537">
        <v>40</v>
      </c>
      <c r="N537" s="1">
        <v>0</v>
      </c>
    </row>
    <row r="538" spans="2:14">
      <c r="B538">
        <v>117</v>
      </c>
      <c r="C538">
        <v>64</v>
      </c>
      <c r="D538">
        <v>120</v>
      </c>
      <c r="E538">
        <v>33.200000000000003</v>
      </c>
      <c r="F538">
        <v>0.23</v>
      </c>
      <c r="G538">
        <v>24</v>
      </c>
      <c r="H538">
        <v>0</v>
      </c>
      <c r="M538">
        <v>27</v>
      </c>
      <c r="N538" s="1">
        <v>4</v>
      </c>
    </row>
    <row r="539" spans="2:14">
      <c r="B539">
        <v>112</v>
      </c>
      <c r="C539">
        <v>80</v>
      </c>
      <c r="D539">
        <v>132</v>
      </c>
      <c r="E539">
        <v>34.799999999999997</v>
      </c>
      <c r="F539">
        <v>0.217</v>
      </c>
      <c r="G539">
        <v>24</v>
      </c>
      <c r="H539">
        <v>0</v>
      </c>
      <c r="M539">
        <v>45</v>
      </c>
      <c r="N539" s="1">
        <v>1</v>
      </c>
    </row>
    <row r="540" spans="2:14">
      <c r="B540">
        <v>119</v>
      </c>
      <c r="C540">
        <v>54</v>
      </c>
      <c r="D540">
        <v>50</v>
      </c>
      <c r="E540">
        <v>22.3</v>
      </c>
      <c r="F540">
        <v>0.20499999999999999</v>
      </c>
      <c r="G540">
        <v>24</v>
      </c>
      <c r="H540">
        <v>0</v>
      </c>
      <c r="M540">
        <v>13</v>
      </c>
      <c r="N540" s="1">
        <v>1</v>
      </c>
    </row>
    <row r="541" spans="2:14">
      <c r="B541">
        <v>171</v>
      </c>
      <c r="C541">
        <v>72</v>
      </c>
      <c r="D541">
        <v>135</v>
      </c>
      <c r="E541">
        <v>33.299999999999997</v>
      </c>
      <c r="F541">
        <v>0.19900000000000001</v>
      </c>
      <c r="G541">
        <v>24</v>
      </c>
      <c r="H541">
        <v>1</v>
      </c>
      <c r="M541">
        <v>33</v>
      </c>
      <c r="N541" s="1">
        <v>3</v>
      </c>
    </row>
    <row r="542" spans="2:14">
      <c r="B542">
        <v>112</v>
      </c>
      <c r="C542">
        <v>78</v>
      </c>
      <c r="D542">
        <v>140</v>
      </c>
      <c r="E542">
        <v>39.4</v>
      </c>
      <c r="F542">
        <v>0.17499999999999999</v>
      </c>
      <c r="G542">
        <v>24</v>
      </c>
      <c r="H542">
        <v>0</v>
      </c>
      <c r="M542">
        <v>50</v>
      </c>
      <c r="N542" s="1">
        <v>2</v>
      </c>
    </row>
    <row r="543" spans="2:14">
      <c r="B543">
        <v>107</v>
      </c>
      <c r="C543">
        <v>68</v>
      </c>
      <c r="D543">
        <v>0</v>
      </c>
      <c r="E543">
        <v>26.5</v>
      </c>
      <c r="F543">
        <v>0.16500000000000001</v>
      </c>
      <c r="G543">
        <v>24</v>
      </c>
      <c r="H543">
        <v>0</v>
      </c>
      <c r="M543">
        <v>19</v>
      </c>
      <c r="N543" s="1">
        <v>1</v>
      </c>
    </row>
    <row r="544" spans="2:14">
      <c r="B544">
        <v>99</v>
      </c>
      <c r="C544">
        <v>54</v>
      </c>
      <c r="D544">
        <v>86</v>
      </c>
      <c r="E544">
        <v>25.6</v>
      </c>
      <c r="F544">
        <v>0.154</v>
      </c>
      <c r="G544">
        <v>24</v>
      </c>
      <c r="H544">
        <v>0</v>
      </c>
      <c r="M544">
        <v>19</v>
      </c>
      <c r="N544" s="1">
        <v>3</v>
      </c>
    </row>
    <row r="545" spans="2:14">
      <c r="B545">
        <v>125</v>
      </c>
      <c r="C545">
        <v>58</v>
      </c>
      <c r="D545">
        <v>0</v>
      </c>
      <c r="E545">
        <v>31.6</v>
      </c>
      <c r="F545">
        <v>0.151</v>
      </c>
      <c r="G545">
        <v>24</v>
      </c>
      <c r="H545">
        <v>0</v>
      </c>
      <c r="M545">
        <v>0</v>
      </c>
      <c r="N545" s="1">
        <v>3</v>
      </c>
    </row>
    <row r="546" spans="2:14">
      <c r="B546">
        <v>119</v>
      </c>
      <c r="C546">
        <v>68</v>
      </c>
      <c r="D546">
        <v>0</v>
      </c>
      <c r="E546">
        <v>32.4</v>
      </c>
      <c r="F546">
        <v>0.14099999999999999</v>
      </c>
      <c r="G546">
        <v>24</v>
      </c>
      <c r="H546">
        <v>1</v>
      </c>
      <c r="M546">
        <v>0</v>
      </c>
      <c r="N546" s="1">
        <v>0</v>
      </c>
    </row>
    <row r="547" spans="2:14">
      <c r="B547">
        <v>92</v>
      </c>
      <c r="C547">
        <v>62</v>
      </c>
      <c r="D547">
        <v>0</v>
      </c>
      <c r="E547">
        <v>31.6</v>
      </c>
      <c r="F547">
        <v>0.13</v>
      </c>
      <c r="G547">
        <v>24</v>
      </c>
      <c r="H547">
        <v>0</v>
      </c>
      <c r="M547">
        <v>28</v>
      </c>
      <c r="N547" s="1">
        <v>2</v>
      </c>
    </row>
    <row r="548" spans="2:14">
      <c r="B548">
        <v>114</v>
      </c>
      <c r="C548">
        <v>64</v>
      </c>
      <c r="D548">
        <v>0</v>
      </c>
      <c r="E548">
        <v>28.9</v>
      </c>
      <c r="F548">
        <v>0.126</v>
      </c>
      <c r="G548">
        <v>24</v>
      </c>
      <c r="H548">
        <v>0</v>
      </c>
      <c r="M548">
        <v>0</v>
      </c>
      <c r="N548" s="1">
        <v>4</v>
      </c>
    </row>
    <row r="549" spans="2:14">
      <c r="B549">
        <v>157</v>
      </c>
      <c r="C549">
        <v>72</v>
      </c>
      <c r="D549">
        <v>168</v>
      </c>
      <c r="E549">
        <v>25.6</v>
      </c>
      <c r="F549">
        <v>0.123</v>
      </c>
      <c r="G549">
        <v>24</v>
      </c>
      <c r="H549">
        <v>0</v>
      </c>
      <c r="M549">
        <v>21</v>
      </c>
      <c r="N549" s="1">
        <v>1</v>
      </c>
    </row>
    <row r="550" spans="2:14">
      <c r="B550">
        <v>116</v>
      </c>
      <c r="C550">
        <v>74</v>
      </c>
      <c r="D550">
        <v>105</v>
      </c>
      <c r="E550">
        <v>26.3</v>
      </c>
      <c r="F550">
        <v>0.107</v>
      </c>
      <c r="G550">
        <v>24</v>
      </c>
      <c r="H550">
        <v>0</v>
      </c>
      <c r="M550">
        <v>15</v>
      </c>
      <c r="N550" s="1">
        <v>3</v>
      </c>
    </row>
    <row r="551" spans="2:14">
      <c r="B551">
        <v>117</v>
      </c>
      <c r="C551">
        <v>80</v>
      </c>
      <c r="D551">
        <v>53</v>
      </c>
      <c r="E551">
        <v>45.2</v>
      </c>
      <c r="F551">
        <v>8.8999999999999996E-2</v>
      </c>
      <c r="G551">
        <v>24</v>
      </c>
      <c r="H551">
        <v>0</v>
      </c>
      <c r="M551">
        <v>31</v>
      </c>
      <c r="N551" s="1">
        <v>0</v>
      </c>
    </row>
    <row r="552" spans="2:14">
      <c r="B552">
        <v>143</v>
      </c>
      <c r="C552">
        <v>86</v>
      </c>
      <c r="D552">
        <v>330</v>
      </c>
      <c r="E552">
        <v>30.1</v>
      </c>
      <c r="F552">
        <v>0.89200000000000002</v>
      </c>
      <c r="G552">
        <v>23</v>
      </c>
      <c r="H552">
        <v>0</v>
      </c>
      <c r="M552">
        <v>30</v>
      </c>
      <c r="N552" s="1">
        <v>1</v>
      </c>
    </row>
    <row r="553" spans="2:14">
      <c r="B553">
        <v>121</v>
      </c>
      <c r="C553">
        <v>70</v>
      </c>
      <c r="D553">
        <v>95</v>
      </c>
      <c r="E553">
        <v>39.1</v>
      </c>
      <c r="F553">
        <v>0.88600000000000001</v>
      </c>
      <c r="G553">
        <v>23</v>
      </c>
      <c r="H553">
        <v>0</v>
      </c>
      <c r="M553">
        <v>32</v>
      </c>
      <c r="N553" s="1">
        <v>2</v>
      </c>
    </row>
    <row r="554" spans="2:14">
      <c r="B554">
        <v>109</v>
      </c>
      <c r="C554">
        <v>56</v>
      </c>
      <c r="D554">
        <v>135</v>
      </c>
      <c r="E554">
        <v>25.2</v>
      </c>
      <c r="F554">
        <v>0.83299999999999996</v>
      </c>
      <c r="G554">
        <v>23</v>
      </c>
      <c r="H554">
        <v>0</v>
      </c>
      <c r="M554">
        <v>21</v>
      </c>
      <c r="N554" s="1">
        <v>1</v>
      </c>
    </row>
    <row r="555" spans="2:14">
      <c r="B555">
        <v>140</v>
      </c>
      <c r="C555">
        <v>74</v>
      </c>
      <c r="D555">
        <v>180</v>
      </c>
      <c r="E555">
        <v>24.1</v>
      </c>
      <c r="F555">
        <v>0.82799999999999996</v>
      </c>
      <c r="G555">
        <v>23</v>
      </c>
      <c r="H555">
        <v>0</v>
      </c>
      <c r="M555">
        <v>26</v>
      </c>
      <c r="N555" s="1">
        <v>1</v>
      </c>
    </row>
    <row r="556" spans="2:14">
      <c r="B556">
        <v>127</v>
      </c>
      <c r="C556">
        <v>80</v>
      </c>
      <c r="D556">
        <v>210</v>
      </c>
      <c r="E556">
        <v>36.299999999999997</v>
      </c>
      <c r="F556">
        <v>0.80400000000000005</v>
      </c>
      <c r="G556">
        <v>23</v>
      </c>
      <c r="H556">
        <v>0</v>
      </c>
      <c r="M556">
        <v>37</v>
      </c>
      <c r="N556" s="1">
        <v>0</v>
      </c>
    </row>
    <row r="557" spans="2:14">
      <c r="B557">
        <v>119</v>
      </c>
      <c r="C557">
        <v>64</v>
      </c>
      <c r="D557">
        <v>92</v>
      </c>
      <c r="E557">
        <v>34.9</v>
      </c>
      <c r="F557">
        <v>0.72499999999999998</v>
      </c>
      <c r="G557">
        <v>23</v>
      </c>
      <c r="H557">
        <v>0</v>
      </c>
      <c r="M557">
        <v>18</v>
      </c>
      <c r="N557" s="1">
        <v>0</v>
      </c>
    </row>
    <row r="558" spans="2:14">
      <c r="B558">
        <v>179</v>
      </c>
      <c r="C558">
        <v>90</v>
      </c>
      <c r="D558">
        <v>0</v>
      </c>
      <c r="E558">
        <v>44.1</v>
      </c>
      <c r="F558">
        <v>0.68600000000000005</v>
      </c>
      <c r="G558">
        <v>23</v>
      </c>
      <c r="H558">
        <v>1</v>
      </c>
      <c r="M558">
        <v>27</v>
      </c>
      <c r="N558" s="1">
        <v>0</v>
      </c>
    </row>
    <row r="559" spans="2:14">
      <c r="B559">
        <v>107</v>
      </c>
      <c r="C559">
        <v>62</v>
      </c>
      <c r="D559">
        <v>48</v>
      </c>
      <c r="E559">
        <v>22.9</v>
      </c>
      <c r="F559">
        <v>0.67800000000000005</v>
      </c>
      <c r="G559">
        <v>23</v>
      </c>
      <c r="H559">
        <v>1</v>
      </c>
      <c r="M559">
        <v>13</v>
      </c>
      <c r="N559" s="1">
        <v>3</v>
      </c>
    </row>
    <row r="560" spans="2:14">
      <c r="B560">
        <v>79</v>
      </c>
      <c r="C560">
        <v>60</v>
      </c>
      <c r="D560">
        <v>48</v>
      </c>
      <c r="E560">
        <v>43.5</v>
      </c>
      <c r="F560">
        <v>0.67800000000000005</v>
      </c>
      <c r="G560">
        <v>23</v>
      </c>
      <c r="H560">
        <v>0</v>
      </c>
      <c r="M560">
        <v>42</v>
      </c>
      <c r="N560" s="1">
        <v>1</v>
      </c>
    </row>
    <row r="561" spans="2:14">
      <c r="B561">
        <v>93</v>
      </c>
      <c r="C561">
        <v>64</v>
      </c>
      <c r="D561">
        <v>160</v>
      </c>
      <c r="E561">
        <v>38</v>
      </c>
      <c r="F561">
        <v>0.67400000000000004</v>
      </c>
      <c r="G561">
        <v>23</v>
      </c>
      <c r="H561">
        <v>1</v>
      </c>
      <c r="M561">
        <v>32</v>
      </c>
      <c r="N561" s="1">
        <v>2</v>
      </c>
    </row>
    <row r="562" spans="2:14">
      <c r="B562">
        <v>94</v>
      </c>
      <c r="C562">
        <v>76</v>
      </c>
      <c r="D562">
        <v>66</v>
      </c>
      <c r="E562">
        <v>31.6</v>
      </c>
      <c r="F562">
        <v>0.64900000000000002</v>
      </c>
      <c r="G562">
        <v>23</v>
      </c>
      <c r="H562">
        <v>0</v>
      </c>
      <c r="M562">
        <v>18</v>
      </c>
      <c r="N562" s="1">
        <v>2</v>
      </c>
    </row>
    <row r="563" spans="2:14">
      <c r="B563">
        <v>101</v>
      </c>
      <c r="C563">
        <v>58</v>
      </c>
      <c r="D563">
        <v>265</v>
      </c>
      <c r="E563">
        <v>24.2</v>
      </c>
      <c r="F563">
        <v>0.61399999999999999</v>
      </c>
      <c r="G563">
        <v>23</v>
      </c>
      <c r="H563">
        <v>0</v>
      </c>
      <c r="M563">
        <v>17</v>
      </c>
      <c r="N563" s="1">
        <v>2</v>
      </c>
    </row>
    <row r="564" spans="2:14">
      <c r="B564">
        <v>134</v>
      </c>
      <c r="C564">
        <v>70</v>
      </c>
      <c r="D564">
        <v>0</v>
      </c>
      <c r="E564">
        <v>28.9</v>
      </c>
      <c r="F564">
        <v>0.54200000000000004</v>
      </c>
      <c r="G564">
        <v>23</v>
      </c>
      <c r="H564">
        <v>1</v>
      </c>
      <c r="M564">
        <v>0</v>
      </c>
      <c r="N564" s="1">
        <v>2</v>
      </c>
    </row>
    <row r="565" spans="2:14">
      <c r="B565">
        <v>104</v>
      </c>
      <c r="C565">
        <v>64</v>
      </c>
      <c r="D565">
        <v>116</v>
      </c>
      <c r="E565">
        <v>27.8</v>
      </c>
      <c r="F565">
        <v>0.45400000000000001</v>
      </c>
      <c r="G565">
        <v>23</v>
      </c>
      <c r="H565">
        <v>0</v>
      </c>
      <c r="M565">
        <v>23</v>
      </c>
      <c r="N565" s="1">
        <v>0</v>
      </c>
    </row>
    <row r="566" spans="2:14">
      <c r="B566">
        <v>88</v>
      </c>
      <c r="C566">
        <v>62</v>
      </c>
      <c r="D566">
        <v>44</v>
      </c>
      <c r="E566">
        <v>29.9</v>
      </c>
      <c r="F566">
        <v>0.42199999999999999</v>
      </c>
      <c r="G566">
        <v>23</v>
      </c>
      <c r="H566">
        <v>0</v>
      </c>
      <c r="M566">
        <v>24</v>
      </c>
      <c r="N566" s="1">
        <v>1</v>
      </c>
    </row>
    <row r="567" spans="2:14">
      <c r="B567">
        <v>82</v>
      </c>
      <c r="C567">
        <v>64</v>
      </c>
      <c r="D567">
        <v>95</v>
      </c>
      <c r="E567">
        <v>21.2</v>
      </c>
      <c r="F567">
        <v>0.41499999999999998</v>
      </c>
      <c r="G567">
        <v>23</v>
      </c>
      <c r="H567">
        <v>0</v>
      </c>
      <c r="M567">
        <v>13</v>
      </c>
      <c r="N567" s="1">
        <v>1</v>
      </c>
    </row>
    <row r="568" spans="2:14">
      <c r="B568">
        <v>107</v>
      </c>
      <c r="C568">
        <v>74</v>
      </c>
      <c r="D568">
        <v>100</v>
      </c>
      <c r="E568">
        <v>33.6</v>
      </c>
      <c r="F568">
        <v>0.40400000000000003</v>
      </c>
      <c r="G568">
        <v>23</v>
      </c>
      <c r="H568">
        <v>0</v>
      </c>
      <c r="M568">
        <v>30</v>
      </c>
      <c r="N568" s="1">
        <v>2</v>
      </c>
    </row>
    <row r="569" spans="2:14">
      <c r="B569">
        <v>93</v>
      </c>
      <c r="C569">
        <v>50</v>
      </c>
      <c r="D569">
        <v>64</v>
      </c>
      <c r="E569">
        <v>28.7</v>
      </c>
      <c r="F569">
        <v>0.35599999999999998</v>
      </c>
      <c r="G569">
        <v>23</v>
      </c>
      <c r="H569">
        <v>0</v>
      </c>
      <c r="M569">
        <v>30</v>
      </c>
      <c r="N569" s="1">
        <v>6</v>
      </c>
    </row>
    <row r="570" spans="2:14">
      <c r="B570">
        <v>111</v>
      </c>
      <c r="C570">
        <v>60</v>
      </c>
      <c r="D570">
        <v>0</v>
      </c>
      <c r="E570">
        <v>26.2</v>
      </c>
      <c r="F570">
        <v>0.34300000000000003</v>
      </c>
      <c r="G570">
        <v>23</v>
      </c>
      <c r="H570">
        <v>0</v>
      </c>
      <c r="M570">
        <v>0</v>
      </c>
      <c r="N570" s="1">
        <v>2</v>
      </c>
    </row>
    <row r="571" spans="2:14">
      <c r="B571">
        <v>93</v>
      </c>
      <c r="C571">
        <v>70</v>
      </c>
      <c r="D571">
        <v>0</v>
      </c>
      <c r="E571">
        <v>30.4</v>
      </c>
      <c r="F571">
        <v>0.315</v>
      </c>
      <c r="G571">
        <v>23</v>
      </c>
      <c r="H571">
        <v>0</v>
      </c>
      <c r="M571">
        <v>31</v>
      </c>
      <c r="N571" s="1">
        <v>1</v>
      </c>
    </row>
    <row r="572" spans="2:14">
      <c r="B572">
        <v>132</v>
      </c>
      <c r="C572">
        <v>68</v>
      </c>
      <c r="D572">
        <v>0</v>
      </c>
      <c r="E572">
        <v>32.9</v>
      </c>
      <c r="F572">
        <v>0.30199999999999999</v>
      </c>
      <c r="G572">
        <v>23</v>
      </c>
      <c r="H572">
        <v>1</v>
      </c>
      <c r="M572">
        <v>0</v>
      </c>
      <c r="N572" s="1">
        <v>4</v>
      </c>
    </row>
    <row r="573" spans="2:14">
      <c r="B573">
        <v>74</v>
      </c>
      <c r="C573">
        <v>68</v>
      </c>
      <c r="D573">
        <v>45</v>
      </c>
      <c r="E573">
        <v>29.7</v>
      </c>
      <c r="F573">
        <v>0.29299999999999998</v>
      </c>
      <c r="G573">
        <v>23</v>
      </c>
      <c r="H573">
        <v>0</v>
      </c>
      <c r="M573">
        <v>28</v>
      </c>
      <c r="N573" s="1">
        <v>3</v>
      </c>
    </row>
    <row r="574" spans="2:14">
      <c r="B574">
        <v>113</v>
      </c>
      <c r="C574">
        <v>76</v>
      </c>
      <c r="D574">
        <v>0</v>
      </c>
      <c r="E574">
        <v>33.299999999999997</v>
      </c>
      <c r="F574">
        <v>0.27800000000000002</v>
      </c>
      <c r="G574">
        <v>23</v>
      </c>
      <c r="H574">
        <v>1</v>
      </c>
      <c r="M574">
        <v>0</v>
      </c>
      <c r="N574" s="1">
        <v>0</v>
      </c>
    </row>
    <row r="575" spans="2:14">
      <c r="B575">
        <v>118</v>
      </c>
      <c r="C575">
        <v>58</v>
      </c>
      <c r="D575">
        <v>94</v>
      </c>
      <c r="E575">
        <v>33.299999999999997</v>
      </c>
      <c r="F575">
        <v>0.26100000000000001</v>
      </c>
      <c r="G575">
        <v>23</v>
      </c>
      <c r="H575">
        <v>0</v>
      </c>
      <c r="M575">
        <v>36</v>
      </c>
      <c r="N575" s="1">
        <v>1</v>
      </c>
    </row>
    <row r="576" spans="2:14">
      <c r="B576">
        <v>68</v>
      </c>
      <c r="C576">
        <v>62</v>
      </c>
      <c r="D576">
        <v>15</v>
      </c>
      <c r="E576">
        <v>20.100000000000001</v>
      </c>
      <c r="F576">
        <v>0.25700000000000001</v>
      </c>
      <c r="G576">
        <v>23</v>
      </c>
      <c r="H576">
        <v>0</v>
      </c>
      <c r="M576">
        <v>13</v>
      </c>
      <c r="N576" s="1">
        <v>2</v>
      </c>
    </row>
    <row r="577" spans="2:14">
      <c r="B577">
        <v>154</v>
      </c>
      <c r="C577">
        <v>62</v>
      </c>
      <c r="D577">
        <v>284</v>
      </c>
      <c r="E577">
        <v>32.799999999999997</v>
      </c>
      <c r="F577">
        <v>0.23699999999999999</v>
      </c>
      <c r="G577">
        <v>23</v>
      </c>
      <c r="H577">
        <v>0</v>
      </c>
      <c r="M577">
        <v>31</v>
      </c>
      <c r="N577" s="1">
        <v>4</v>
      </c>
    </row>
    <row r="578" spans="2:14">
      <c r="B578">
        <v>91</v>
      </c>
      <c r="C578">
        <v>54</v>
      </c>
      <c r="D578">
        <v>100</v>
      </c>
      <c r="E578">
        <v>25.2</v>
      </c>
      <c r="F578">
        <v>0.23400000000000001</v>
      </c>
      <c r="G578">
        <v>23</v>
      </c>
      <c r="H578">
        <v>0</v>
      </c>
      <c r="M578">
        <v>25</v>
      </c>
      <c r="N578" s="1">
        <v>1</v>
      </c>
    </row>
    <row r="579" spans="2:14">
      <c r="B579">
        <v>84</v>
      </c>
      <c r="C579">
        <v>82</v>
      </c>
      <c r="D579">
        <v>125</v>
      </c>
      <c r="E579">
        <v>38.200000000000003</v>
      </c>
      <c r="F579">
        <v>0.23300000000000001</v>
      </c>
      <c r="G579">
        <v>23</v>
      </c>
      <c r="H579">
        <v>0</v>
      </c>
      <c r="M579">
        <v>31</v>
      </c>
      <c r="N579" s="1">
        <v>0</v>
      </c>
    </row>
    <row r="580" spans="2:14">
      <c r="B580">
        <v>129</v>
      </c>
      <c r="C580">
        <v>86</v>
      </c>
      <c r="D580">
        <v>270</v>
      </c>
      <c r="E580">
        <v>35.1</v>
      </c>
      <c r="F580">
        <v>0.23100000000000001</v>
      </c>
      <c r="G580">
        <v>23</v>
      </c>
      <c r="H580">
        <v>0</v>
      </c>
      <c r="M580">
        <v>20</v>
      </c>
      <c r="N580" s="1">
        <v>4</v>
      </c>
    </row>
    <row r="581" spans="2:14">
      <c r="B581">
        <v>89</v>
      </c>
      <c r="C581">
        <v>76</v>
      </c>
      <c r="D581">
        <v>37</v>
      </c>
      <c r="E581">
        <v>31.2</v>
      </c>
      <c r="F581">
        <v>0.192</v>
      </c>
      <c r="G581">
        <v>23</v>
      </c>
      <c r="H581">
        <v>0</v>
      </c>
      <c r="M581">
        <v>34</v>
      </c>
      <c r="N581" s="1">
        <v>1</v>
      </c>
    </row>
    <row r="582" spans="2:14">
      <c r="B582">
        <v>116</v>
      </c>
      <c r="C582">
        <v>68</v>
      </c>
      <c r="D582">
        <v>0</v>
      </c>
      <c r="E582">
        <v>23.5</v>
      </c>
      <c r="F582">
        <v>0.187</v>
      </c>
      <c r="G582">
        <v>23</v>
      </c>
      <c r="H582">
        <v>0</v>
      </c>
      <c r="M582">
        <v>0</v>
      </c>
      <c r="N582" s="1">
        <v>3</v>
      </c>
    </row>
    <row r="583" spans="2:14">
      <c r="B583">
        <v>111</v>
      </c>
      <c r="C583">
        <v>86</v>
      </c>
      <c r="D583">
        <v>0</v>
      </c>
      <c r="E583">
        <v>30.1</v>
      </c>
      <c r="F583">
        <v>0.14299999999999999</v>
      </c>
      <c r="G583">
        <v>23</v>
      </c>
      <c r="H583">
        <v>0</v>
      </c>
      <c r="M583">
        <v>19</v>
      </c>
      <c r="N583" s="1">
        <v>1</v>
      </c>
    </row>
    <row r="584" spans="2:14">
      <c r="B584">
        <v>111</v>
      </c>
      <c r="C584">
        <v>62</v>
      </c>
      <c r="D584">
        <v>182</v>
      </c>
      <c r="E584">
        <v>24</v>
      </c>
      <c r="F584">
        <v>0.13800000000000001</v>
      </c>
      <c r="G584">
        <v>23</v>
      </c>
      <c r="H584">
        <v>0</v>
      </c>
      <c r="M584">
        <v>13</v>
      </c>
      <c r="N584" s="1">
        <v>1</v>
      </c>
    </row>
    <row r="585" spans="2:14">
      <c r="B585">
        <v>107</v>
      </c>
      <c r="C585">
        <v>60</v>
      </c>
      <c r="D585">
        <v>0</v>
      </c>
      <c r="E585">
        <v>26.4</v>
      </c>
      <c r="F585">
        <v>0.13300000000000001</v>
      </c>
      <c r="G585">
        <v>23</v>
      </c>
      <c r="H585">
        <v>0</v>
      </c>
      <c r="M585">
        <v>25</v>
      </c>
      <c r="N585" s="1">
        <v>0</v>
      </c>
    </row>
    <row r="586" spans="2:14">
      <c r="B586">
        <v>102</v>
      </c>
      <c r="C586">
        <v>86</v>
      </c>
      <c r="D586">
        <v>120</v>
      </c>
      <c r="E586">
        <v>45.5</v>
      </c>
      <c r="F586">
        <v>0.127</v>
      </c>
      <c r="G586">
        <v>23</v>
      </c>
      <c r="H586">
        <v>1</v>
      </c>
      <c r="M586">
        <v>36</v>
      </c>
      <c r="N586" s="1">
        <v>2</v>
      </c>
    </row>
    <row r="587" spans="2:14">
      <c r="B587">
        <v>99</v>
      </c>
      <c r="C587">
        <v>68</v>
      </c>
      <c r="D587">
        <v>0</v>
      </c>
      <c r="E587">
        <v>22.2</v>
      </c>
      <c r="F587">
        <v>0.108</v>
      </c>
      <c r="G587">
        <v>23</v>
      </c>
      <c r="H587">
        <v>0</v>
      </c>
      <c r="M587">
        <v>0</v>
      </c>
      <c r="N587" s="1">
        <v>2</v>
      </c>
    </row>
    <row r="588" spans="2:14">
      <c r="B588">
        <v>199</v>
      </c>
      <c r="C588">
        <v>76</v>
      </c>
      <c r="D588">
        <v>0</v>
      </c>
      <c r="E588">
        <v>42.9</v>
      </c>
      <c r="F588">
        <v>0.46567787114845849</v>
      </c>
      <c r="G588">
        <v>22</v>
      </c>
      <c r="H588">
        <v>1</v>
      </c>
      <c r="M588">
        <v>43</v>
      </c>
      <c r="N588" s="1">
        <v>1</v>
      </c>
    </row>
    <row r="589" spans="2:14">
      <c r="B589">
        <v>181</v>
      </c>
      <c r="C589">
        <v>78</v>
      </c>
      <c r="D589">
        <v>293</v>
      </c>
      <c r="E589">
        <v>40</v>
      </c>
      <c r="F589">
        <v>0.46567787114845849</v>
      </c>
      <c r="G589">
        <v>22</v>
      </c>
      <c r="H589">
        <v>1</v>
      </c>
      <c r="M589">
        <v>42</v>
      </c>
      <c r="N589" s="1">
        <v>1</v>
      </c>
    </row>
    <row r="590" spans="2:14">
      <c r="B590">
        <v>136</v>
      </c>
      <c r="C590">
        <v>70</v>
      </c>
      <c r="D590">
        <v>0</v>
      </c>
      <c r="E590">
        <v>31.2</v>
      </c>
      <c r="F590">
        <v>0.46567787114845849</v>
      </c>
      <c r="G590">
        <v>22</v>
      </c>
      <c r="H590">
        <v>1</v>
      </c>
      <c r="M590">
        <v>0</v>
      </c>
      <c r="N590" s="1">
        <v>4</v>
      </c>
    </row>
    <row r="591" spans="2:14">
      <c r="B591">
        <v>97</v>
      </c>
      <c r="C591">
        <v>68</v>
      </c>
      <c r="D591">
        <v>0</v>
      </c>
      <c r="E591">
        <v>27.2</v>
      </c>
      <c r="F591">
        <v>1.095</v>
      </c>
      <c r="G591">
        <v>22</v>
      </c>
      <c r="H591">
        <v>0</v>
      </c>
      <c r="M591">
        <v>21</v>
      </c>
      <c r="N591" s="1">
        <v>1</v>
      </c>
    </row>
    <row r="592" spans="2:14">
      <c r="B592">
        <v>143</v>
      </c>
      <c r="C592">
        <v>84</v>
      </c>
      <c r="D592">
        <v>310</v>
      </c>
      <c r="E592">
        <v>42.4</v>
      </c>
      <c r="F592">
        <v>1.0760000000000001</v>
      </c>
      <c r="G592">
        <v>22</v>
      </c>
      <c r="H592">
        <v>0</v>
      </c>
      <c r="M592">
        <v>23</v>
      </c>
      <c r="N592" s="1">
        <v>1</v>
      </c>
    </row>
    <row r="593" spans="2:14">
      <c r="B593">
        <v>108</v>
      </c>
      <c r="C593">
        <v>62</v>
      </c>
      <c r="D593">
        <v>278</v>
      </c>
      <c r="E593">
        <v>25.3</v>
      </c>
      <c r="F593">
        <v>0.88100000000000001</v>
      </c>
      <c r="G593">
        <v>22</v>
      </c>
      <c r="H593">
        <v>0</v>
      </c>
      <c r="M593">
        <v>10</v>
      </c>
      <c r="N593" s="1">
        <v>2</v>
      </c>
    </row>
    <row r="594" spans="2:14">
      <c r="B594">
        <v>88</v>
      </c>
      <c r="C594">
        <v>58</v>
      </c>
      <c r="D594">
        <v>16</v>
      </c>
      <c r="E594">
        <v>28.4</v>
      </c>
      <c r="F594">
        <v>0.76600000000000001</v>
      </c>
      <c r="G594">
        <v>22</v>
      </c>
      <c r="H594">
        <v>0</v>
      </c>
      <c r="M594">
        <v>26</v>
      </c>
      <c r="N594" s="1">
        <v>2</v>
      </c>
    </row>
    <row r="595" spans="2:14">
      <c r="B595">
        <v>95</v>
      </c>
      <c r="C595">
        <v>54</v>
      </c>
      <c r="D595">
        <v>88</v>
      </c>
      <c r="E595">
        <v>26.1</v>
      </c>
      <c r="F595">
        <v>0.748</v>
      </c>
      <c r="G595">
        <v>22</v>
      </c>
      <c r="H595">
        <v>0</v>
      </c>
      <c r="M595">
        <v>14</v>
      </c>
      <c r="N595" s="1">
        <v>2</v>
      </c>
    </row>
    <row r="596" spans="2:14">
      <c r="B596">
        <v>122</v>
      </c>
      <c r="C596">
        <v>60</v>
      </c>
      <c r="D596">
        <v>106</v>
      </c>
      <c r="E596">
        <v>29.8</v>
      </c>
      <c r="F596">
        <v>0.71699999999999997</v>
      </c>
      <c r="G596">
        <v>22</v>
      </c>
      <c r="H596">
        <v>0</v>
      </c>
      <c r="M596">
        <v>18</v>
      </c>
      <c r="N596" s="1">
        <v>2</v>
      </c>
    </row>
    <row r="597" spans="2:14">
      <c r="B597">
        <v>188</v>
      </c>
      <c r="C597">
        <v>82</v>
      </c>
      <c r="D597">
        <v>185</v>
      </c>
      <c r="E597">
        <v>32</v>
      </c>
      <c r="F597">
        <v>0.68200000000000005</v>
      </c>
      <c r="G597">
        <v>22</v>
      </c>
      <c r="H597">
        <v>1</v>
      </c>
      <c r="M597">
        <v>14</v>
      </c>
      <c r="N597" s="1">
        <v>0</v>
      </c>
    </row>
    <row r="598" spans="2:14">
      <c r="B598">
        <v>139</v>
      </c>
      <c r="C598">
        <v>46</v>
      </c>
      <c r="D598">
        <v>83</v>
      </c>
      <c r="E598">
        <v>28.7</v>
      </c>
      <c r="F598">
        <v>0.65400000000000003</v>
      </c>
      <c r="G598">
        <v>22</v>
      </c>
      <c r="H598">
        <v>0</v>
      </c>
      <c r="M598">
        <v>19</v>
      </c>
      <c r="N598" s="1">
        <v>1</v>
      </c>
    </row>
    <row r="599" spans="2:14">
      <c r="B599">
        <v>142</v>
      </c>
      <c r="C599">
        <v>86</v>
      </c>
      <c r="D599">
        <v>0</v>
      </c>
      <c r="E599">
        <v>44</v>
      </c>
      <c r="F599">
        <v>0.64500000000000002</v>
      </c>
      <c r="G599">
        <v>22</v>
      </c>
      <c r="H599">
        <v>1</v>
      </c>
      <c r="M599">
        <v>0</v>
      </c>
      <c r="N599" s="1">
        <v>4</v>
      </c>
    </row>
    <row r="600" spans="2:14">
      <c r="B600">
        <v>106</v>
      </c>
      <c r="C600">
        <v>70</v>
      </c>
      <c r="D600">
        <v>148</v>
      </c>
      <c r="E600">
        <v>39.4</v>
      </c>
      <c r="F600">
        <v>0.60499999999999998</v>
      </c>
      <c r="G600">
        <v>22</v>
      </c>
      <c r="H600">
        <v>0</v>
      </c>
      <c r="M600">
        <v>37</v>
      </c>
      <c r="N600" s="1">
        <v>0</v>
      </c>
    </row>
    <row r="601" spans="2:14">
      <c r="B601">
        <v>71</v>
      </c>
      <c r="C601">
        <v>70</v>
      </c>
      <c r="D601">
        <v>0</v>
      </c>
      <c r="E601">
        <v>28</v>
      </c>
      <c r="F601">
        <v>0.58599999999999997</v>
      </c>
      <c r="G601">
        <v>22</v>
      </c>
      <c r="H601">
        <v>0</v>
      </c>
      <c r="M601">
        <v>27</v>
      </c>
      <c r="N601" s="1">
        <v>2</v>
      </c>
    </row>
    <row r="602" spans="2:14">
      <c r="B602">
        <v>79</v>
      </c>
      <c r="C602">
        <v>80</v>
      </c>
      <c r="D602">
        <v>37</v>
      </c>
      <c r="E602">
        <v>25.4</v>
      </c>
      <c r="F602">
        <v>0.58299999999999996</v>
      </c>
      <c r="G602">
        <v>22</v>
      </c>
      <c r="H602">
        <v>0</v>
      </c>
      <c r="M602">
        <v>25</v>
      </c>
      <c r="N602" s="1">
        <v>1</v>
      </c>
    </row>
    <row r="603" spans="2:14">
      <c r="B603">
        <v>93</v>
      </c>
      <c r="C603">
        <v>60</v>
      </c>
      <c r="D603">
        <v>92</v>
      </c>
      <c r="E603">
        <v>28.7</v>
      </c>
      <c r="F603">
        <v>0.53200000000000003</v>
      </c>
      <c r="G603">
        <v>22</v>
      </c>
      <c r="H603">
        <v>0</v>
      </c>
      <c r="M603">
        <v>25</v>
      </c>
      <c r="N603" s="1">
        <v>0</v>
      </c>
    </row>
    <row r="604" spans="2:14">
      <c r="B604">
        <v>80</v>
      </c>
      <c r="C604">
        <v>74</v>
      </c>
      <c r="D604">
        <v>60</v>
      </c>
      <c r="E604">
        <v>30</v>
      </c>
      <c r="F604">
        <v>0.52700000000000002</v>
      </c>
      <c r="G604">
        <v>22</v>
      </c>
      <c r="H604">
        <v>0</v>
      </c>
      <c r="M604">
        <v>11</v>
      </c>
      <c r="N604" s="1">
        <v>1</v>
      </c>
    </row>
    <row r="605" spans="2:14">
      <c r="B605">
        <v>91</v>
      </c>
      <c r="C605">
        <v>62</v>
      </c>
      <c r="D605">
        <v>0</v>
      </c>
      <c r="E605">
        <v>27.3</v>
      </c>
      <c r="F605">
        <v>0.52500000000000002</v>
      </c>
      <c r="G605">
        <v>22</v>
      </c>
      <c r="H605">
        <v>0</v>
      </c>
      <c r="M605">
        <v>0</v>
      </c>
      <c r="N605" s="1">
        <v>2</v>
      </c>
    </row>
    <row r="606" spans="2:14">
      <c r="B606">
        <v>104</v>
      </c>
      <c r="C606">
        <v>64</v>
      </c>
      <c r="D606">
        <v>64</v>
      </c>
      <c r="E606">
        <v>33.6</v>
      </c>
      <c r="F606">
        <v>0.51</v>
      </c>
      <c r="G606">
        <v>22</v>
      </c>
      <c r="H606">
        <v>1</v>
      </c>
      <c r="M606">
        <v>37</v>
      </c>
      <c r="N606" s="1">
        <v>0</v>
      </c>
    </row>
    <row r="607" spans="2:14">
      <c r="B607">
        <v>87</v>
      </c>
      <c r="C607">
        <v>60</v>
      </c>
      <c r="D607">
        <v>75</v>
      </c>
      <c r="E607">
        <v>37.200000000000003</v>
      </c>
      <c r="F607">
        <v>0.50900000000000001</v>
      </c>
      <c r="G607">
        <v>22</v>
      </c>
      <c r="H607">
        <v>0</v>
      </c>
      <c r="M607">
        <v>37</v>
      </c>
      <c r="N607" s="1">
        <v>1</v>
      </c>
    </row>
    <row r="608" spans="2:14">
      <c r="B608">
        <v>83</v>
      </c>
      <c r="C608">
        <v>66</v>
      </c>
      <c r="D608">
        <v>50</v>
      </c>
      <c r="E608">
        <v>32.200000000000003</v>
      </c>
      <c r="F608">
        <v>0.497</v>
      </c>
      <c r="G608">
        <v>22</v>
      </c>
      <c r="H608">
        <v>0</v>
      </c>
      <c r="M608">
        <v>23</v>
      </c>
      <c r="N608" s="1">
        <v>2</v>
      </c>
    </row>
    <row r="609" spans="2:14">
      <c r="B609">
        <v>117</v>
      </c>
      <c r="C609">
        <v>66</v>
      </c>
      <c r="D609">
        <v>188</v>
      </c>
      <c r="E609">
        <v>30.8</v>
      </c>
      <c r="F609">
        <v>0.49299999999999999</v>
      </c>
      <c r="G609">
        <v>22</v>
      </c>
      <c r="H609">
        <v>0</v>
      </c>
      <c r="M609">
        <v>31</v>
      </c>
      <c r="N609" s="1">
        <v>0</v>
      </c>
    </row>
    <row r="610" spans="2:14">
      <c r="B610">
        <v>103</v>
      </c>
      <c r="C610">
        <v>80</v>
      </c>
      <c r="D610">
        <v>82</v>
      </c>
      <c r="E610">
        <v>19.399999999999999</v>
      </c>
      <c r="F610">
        <v>0.49099999999999999</v>
      </c>
      <c r="G610">
        <v>22</v>
      </c>
      <c r="H610">
        <v>0</v>
      </c>
      <c r="M610">
        <v>11</v>
      </c>
      <c r="N610" s="1">
        <v>1</v>
      </c>
    </row>
    <row r="611" spans="2:14">
      <c r="B611">
        <v>97</v>
      </c>
      <c r="C611">
        <v>66</v>
      </c>
      <c r="D611">
        <v>140</v>
      </c>
      <c r="E611">
        <v>23.2</v>
      </c>
      <c r="F611">
        <v>0.48699999999999999</v>
      </c>
      <c r="G611">
        <v>22</v>
      </c>
      <c r="H611">
        <v>0</v>
      </c>
      <c r="M611">
        <v>15</v>
      </c>
      <c r="N611" s="1">
        <v>1</v>
      </c>
    </row>
    <row r="612" spans="2:14">
      <c r="B612">
        <v>130</v>
      </c>
      <c r="C612">
        <v>70</v>
      </c>
      <c r="D612">
        <v>105</v>
      </c>
      <c r="E612">
        <v>25.9</v>
      </c>
      <c r="F612">
        <v>0.47199999999999998</v>
      </c>
      <c r="G612">
        <v>22</v>
      </c>
      <c r="H612">
        <v>0</v>
      </c>
      <c r="M612">
        <v>13</v>
      </c>
      <c r="N612" s="1">
        <v>1</v>
      </c>
    </row>
    <row r="613" spans="2:14">
      <c r="B613">
        <v>179</v>
      </c>
      <c r="C613">
        <v>50</v>
      </c>
      <c r="D613">
        <v>159</v>
      </c>
      <c r="E613">
        <v>37.799999999999997</v>
      </c>
      <c r="F613">
        <v>0.45500000000000002</v>
      </c>
      <c r="G613">
        <v>22</v>
      </c>
      <c r="H613">
        <v>1</v>
      </c>
      <c r="M613">
        <v>36</v>
      </c>
      <c r="N613" s="1">
        <v>0</v>
      </c>
    </row>
    <row r="614" spans="2:14">
      <c r="B614">
        <v>91</v>
      </c>
      <c r="C614">
        <v>70</v>
      </c>
      <c r="D614">
        <v>88</v>
      </c>
      <c r="E614">
        <v>33.1</v>
      </c>
      <c r="F614">
        <v>0.44600000000000001</v>
      </c>
      <c r="G614">
        <v>22</v>
      </c>
      <c r="H614">
        <v>0</v>
      </c>
      <c r="M614">
        <v>32</v>
      </c>
      <c r="N614" s="1">
        <v>4</v>
      </c>
    </row>
    <row r="615" spans="2:14">
      <c r="B615">
        <v>97</v>
      </c>
      <c r="C615">
        <v>60</v>
      </c>
      <c r="D615">
        <v>0</v>
      </c>
      <c r="E615">
        <v>28.2</v>
      </c>
      <c r="F615">
        <v>0.443</v>
      </c>
      <c r="G615">
        <v>22</v>
      </c>
      <c r="H615">
        <v>0</v>
      </c>
      <c r="M615">
        <v>23</v>
      </c>
      <c r="N615" s="1">
        <v>4</v>
      </c>
    </row>
    <row r="616" spans="2:14">
      <c r="B616">
        <v>141</v>
      </c>
      <c r="C616">
        <v>84</v>
      </c>
      <c r="D616">
        <v>0</v>
      </c>
      <c r="E616">
        <v>32.4</v>
      </c>
      <c r="F616">
        <v>0.433</v>
      </c>
      <c r="G616">
        <v>22</v>
      </c>
      <c r="H616">
        <v>0</v>
      </c>
      <c r="M616">
        <v>26</v>
      </c>
      <c r="N616" s="1">
        <v>0</v>
      </c>
    </row>
    <row r="617" spans="2:14">
      <c r="B617">
        <v>111</v>
      </c>
      <c r="C617">
        <v>58</v>
      </c>
      <c r="D617">
        <v>44</v>
      </c>
      <c r="E617">
        <v>29.5</v>
      </c>
      <c r="F617">
        <v>0.43</v>
      </c>
      <c r="G617">
        <v>22</v>
      </c>
      <c r="H617">
        <v>0</v>
      </c>
      <c r="M617">
        <v>31</v>
      </c>
      <c r="N617" s="1">
        <v>3</v>
      </c>
    </row>
    <row r="618" spans="2:14">
      <c r="B618">
        <v>106</v>
      </c>
      <c r="C618">
        <v>56</v>
      </c>
      <c r="D618">
        <v>165</v>
      </c>
      <c r="E618">
        <v>29</v>
      </c>
      <c r="F618">
        <v>0.42599999999999999</v>
      </c>
      <c r="G618">
        <v>22</v>
      </c>
      <c r="H618">
        <v>0</v>
      </c>
      <c r="M618">
        <v>27</v>
      </c>
      <c r="N618" s="1">
        <v>2</v>
      </c>
    </row>
    <row r="619" spans="2:14">
      <c r="B619">
        <v>93</v>
      </c>
      <c r="C619">
        <v>56</v>
      </c>
      <c r="D619">
        <v>0</v>
      </c>
      <c r="E619">
        <v>22.5</v>
      </c>
      <c r="F619">
        <v>0.41699999999999998</v>
      </c>
      <c r="G619">
        <v>22</v>
      </c>
      <c r="H619">
        <v>0</v>
      </c>
      <c r="M619">
        <v>11</v>
      </c>
      <c r="N619" s="1">
        <v>1</v>
      </c>
    </row>
    <row r="620" spans="2:14">
      <c r="B620">
        <v>139</v>
      </c>
      <c r="C620">
        <v>54</v>
      </c>
      <c r="D620">
        <v>0</v>
      </c>
      <c r="E620">
        <v>25.6</v>
      </c>
      <c r="F620">
        <v>0.40200000000000002</v>
      </c>
      <c r="G620">
        <v>22</v>
      </c>
      <c r="H620">
        <v>1</v>
      </c>
      <c r="M620">
        <v>0</v>
      </c>
      <c r="N620" s="1">
        <v>3</v>
      </c>
    </row>
    <row r="621" spans="2:14">
      <c r="B621">
        <v>79</v>
      </c>
      <c r="C621">
        <v>75</v>
      </c>
      <c r="D621">
        <v>0</v>
      </c>
      <c r="E621">
        <v>32</v>
      </c>
      <c r="F621">
        <v>0.39600000000000002</v>
      </c>
      <c r="G621">
        <v>22</v>
      </c>
      <c r="H621">
        <v>0</v>
      </c>
      <c r="M621">
        <v>30</v>
      </c>
      <c r="N621" s="1">
        <v>1</v>
      </c>
    </row>
    <row r="622" spans="2:14">
      <c r="B622">
        <v>0</v>
      </c>
      <c r="C622">
        <v>68</v>
      </c>
      <c r="D622">
        <v>0</v>
      </c>
      <c r="E622">
        <v>32</v>
      </c>
      <c r="F622">
        <v>0.38900000000000001</v>
      </c>
      <c r="G622">
        <v>22</v>
      </c>
      <c r="H622">
        <v>0</v>
      </c>
      <c r="M622">
        <v>35</v>
      </c>
      <c r="N622" s="1">
        <v>1</v>
      </c>
    </row>
    <row r="623" spans="2:14">
      <c r="B623">
        <v>95</v>
      </c>
      <c r="C623">
        <v>64</v>
      </c>
      <c r="D623">
        <v>105</v>
      </c>
      <c r="E623">
        <v>44.6</v>
      </c>
      <c r="F623">
        <v>0.36599999999999999</v>
      </c>
      <c r="G623">
        <v>22</v>
      </c>
      <c r="H623">
        <v>0</v>
      </c>
      <c r="M623">
        <v>39</v>
      </c>
      <c r="N623" s="1">
        <v>0</v>
      </c>
    </row>
    <row r="624" spans="2:14">
      <c r="B624">
        <v>56</v>
      </c>
      <c r="C624">
        <v>56</v>
      </c>
      <c r="D624">
        <v>45</v>
      </c>
      <c r="E624">
        <v>24.2</v>
      </c>
      <c r="F624">
        <v>0.33200000000000002</v>
      </c>
      <c r="G624">
        <v>22</v>
      </c>
      <c r="H624">
        <v>0</v>
      </c>
      <c r="M624">
        <v>28</v>
      </c>
      <c r="N624" s="1">
        <v>2</v>
      </c>
    </row>
    <row r="625" spans="2:14">
      <c r="B625">
        <v>175</v>
      </c>
      <c r="C625">
        <v>88</v>
      </c>
      <c r="D625">
        <v>0</v>
      </c>
      <c r="E625">
        <v>22.9</v>
      </c>
      <c r="F625">
        <v>0.32600000000000001</v>
      </c>
      <c r="G625">
        <v>22</v>
      </c>
      <c r="H625">
        <v>0</v>
      </c>
      <c r="M625">
        <v>0</v>
      </c>
      <c r="N625" s="1">
        <v>2</v>
      </c>
    </row>
    <row r="626" spans="2:14">
      <c r="B626">
        <v>71</v>
      </c>
      <c r="C626">
        <v>48</v>
      </c>
      <c r="D626">
        <v>76</v>
      </c>
      <c r="E626">
        <v>20.399999999999999</v>
      </c>
      <c r="F626">
        <v>0.32300000000000001</v>
      </c>
      <c r="G626">
        <v>22</v>
      </c>
      <c r="H626">
        <v>0</v>
      </c>
      <c r="M626">
        <v>18</v>
      </c>
      <c r="N626" s="1">
        <v>1</v>
      </c>
    </row>
    <row r="627" spans="2:14">
      <c r="B627">
        <v>108</v>
      </c>
      <c r="C627">
        <v>52</v>
      </c>
      <c r="D627">
        <v>63</v>
      </c>
      <c r="E627">
        <v>32.5</v>
      </c>
      <c r="F627">
        <v>0.318</v>
      </c>
      <c r="G627">
        <v>22</v>
      </c>
      <c r="H627">
        <v>0</v>
      </c>
      <c r="M627">
        <v>26</v>
      </c>
      <c r="N627" s="1">
        <v>2</v>
      </c>
    </row>
    <row r="628" spans="2:14">
      <c r="B628">
        <v>130</v>
      </c>
      <c r="C628">
        <v>64</v>
      </c>
      <c r="D628">
        <v>0</v>
      </c>
      <c r="E628">
        <v>23.1</v>
      </c>
      <c r="F628">
        <v>0.314</v>
      </c>
      <c r="G628">
        <v>22</v>
      </c>
      <c r="H628">
        <v>0</v>
      </c>
      <c r="M628">
        <v>0</v>
      </c>
      <c r="N628" s="1">
        <v>3</v>
      </c>
    </row>
    <row r="629" spans="2:14">
      <c r="B629">
        <v>81</v>
      </c>
      <c r="C629">
        <v>86</v>
      </c>
      <c r="D629">
        <v>66</v>
      </c>
      <c r="E629">
        <v>27.5</v>
      </c>
      <c r="F629">
        <v>0.30599999999999999</v>
      </c>
      <c r="G629">
        <v>22</v>
      </c>
      <c r="H629">
        <v>0</v>
      </c>
      <c r="M629">
        <v>16</v>
      </c>
      <c r="N629" s="1">
        <v>3</v>
      </c>
    </row>
    <row r="630" spans="2:14">
      <c r="B630">
        <v>98</v>
      </c>
      <c r="C630">
        <v>82</v>
      </c>
      <c r="D630">
        <v>84</v>
      </c>
      <c r="E630">
        <v>25.2</v>
      </c>
      <c r="F630">
        <v>0.29899999999999999</v>
      </c>
      <c r="G630">
        <v>22</v>
      </c>
      <c r="H630">
        <v>0</v>
      </c>
      <c r="M630">
        <v>15</v>
      </c>
      <c r="N630" s="1">
        <v>0</v>
      </c>
    </row>
    <row r="631" spans="2:14">
      <c r="B631">
        <v>74</v>
      </c>
      <c r="C631">
        <v>52</v>
      </c>
      <c r="D631">
        <v>36</v>
      </c>
      <c r="E631">
        <v>27.8</v>
      </c>
      <c r="F631">
        <v>0.26900000000000002</v>
      </c>
      <c r="G631">
        <v>22</v>
      </c>
      <c r="H631">
        <v>0</v>
      </c>
      <c r="M631">
        <v>10</v>
      </c>
      <c r="N631" s="1">
        <v>0</v>
      </c>
    </row>
    <row r="632" spans="2:14">
      <c r="B632">
        <v>88</v>
      </c>
      <c r="C632">
        <v>58</v>
      </c>
      <c r="D632">
        <v>54</v>
      </c>
      <c r="E632">
        <v>24.8</v>
      </c>
      <c r="F632">
        <v>0.26700000000000002</v>
      </c>
      <c r="G632">
        <v>22</v>
      </c>
      <c r="H632">
        <v>0</v>
      </c>
      <c r="M632">
        <v>11</v>
      </c>
      <c r="N632" s="1">
        <v>3</v>
      </c>
    </row>
    <row r="633" spans="2:14">
      <c r="B633">
        <v>95</v>
      </c>
      <c r="C633">
        <v>60</v>
      </c>
      <c r="D633">
        <v>58</v>
      </c>
      <c r="E633">
        <v>23.9</v>
      </c>
      <c r="F633">
        <v>0.26</v>
      </c>
      <c r="G633">
        <v>22</v>
      </c>
      <c r="H633">
        <v>0</v>
      </c>
      <c r="M633">
        <v>18</v>
      </c>
      <c r="N633" s="1">
        <v>1</v>
      </c>
    </row>
    <row r="634" spans="2:14">
      <c r="B634">
        <v>120</v>
      </c>
      <c r="C634">
        <v>86</v>
      </c>
      <c r="D634">
        <v>0</v>
      </c>
      <c r="E634">
        <v>28.4</v>
      </c>
      <c r="F634">
        <v>0.25900000000000001</v>
      </c>
      <c r="G634">
        <v>22</v>
      </c>
      <c r="H634">
        <v>1</v>
      </c>
      <c r="M634">
        <v>0</v>
      </c>
      <c r="N634" s="1">
        <v>8</v>
      </c>
    </row>
    <row r="635" spans="2:14">
      <c r="B635">
        <v>119</v>
      </c>
      <c r="C635">
        <v>66</v>
      </c>
      <c r="D635">
        <v>0</v>
      </c>
      <c r="E635">
        <v>38.799999999999997</v>
      </c>
      <c r="F635">
        <v>0.25900000000000001</v>
      </c>
      <c r="G635">
        <v>22</v>
      </c>
      <c r="H635">
        <v>0</v>
      </c>
      <c r="M635">
        <v>27</v>
      </c>
      <c r="N635" s="1">
        <v>0</v>
      </c>
    </row>
    <row r="636" spans="2:14">
      <c r="B636">
        <v>148</v>
      </c>
      <c r="C636">
        <v>66</v>
      </c>
      <c r="D636">
        <v>0</v>
      </c>
      <c r="E636">
        <v>32.5</v>
      </c>
      <c r="F636">
        <v>0.25600000000000001</v>
      </c>
      <c r="G636">
        <v>22</v>
      </c>
      <c r="H636">
        <v>0</v>
      </c>
      <c r="M636">
        <v>25</v>
      </c>
      <c r="N636" s="1">
        <v>3</v>
      </c>
    </row>
    <row r="637" spans="2:14">
      <c r="B637">
        <v>99</v>
      </c>
      <c r="C637">
        <v>68</v>
      </c>
      <c r="D637">
        <v>0</v>
      </c>
      <c r="E637">
        <v>25</v>
      </c>
      <c r="F637">
        <v>0.253</v>
      </c>
      <c r="G637">
        <v>22</v>
      </c>
      <c r="H637">
        <v>0</v>
      </c>
      <c r="M637">
        <v>0</v>
      </c>
      <c r="N637" s="1">
        <v>0</v>
      </c>
    </row>
    <row r="638" spans="2:14">
      <c r="B638">
        <v>101</v>
      </c>
      <c r="C638">
        <v>65</v>
      </c>
      <c r="D638">
        <v>0</v>
      </c>
      <c r="E638">
        <v>24.6</v>
      </c>
      <c r="F638">
        <v>0.23699999999999999</v>
      </c>
      <c r="G638">
        <v>22</v>
      </c>
      <c r="H638">
        <v>0</v>
      </c>
      <c r="M638">
        <v>28</v>
      </c>
      <c r="N638" s="1">
        <v>0</v>
      </c>
    </row>
    <row r="639" spans="2:14">
      <c r="B639">
        <v>105</v>
      </c>
      <c r="C639">
        <v>68</v>
      </c>
      <c r="D639">
        <v>0</v>
      </c>
      <c r="E639">
        <v>20</v>
      </c>
      <c r="F639">
        <v>0.23599999999999999</v>
      </c>
      <c r="G639">
        <v>22</v>
      </c>
      <c r="H639">
        <v>0</v>
      </c>
      <c r="M639">
        <v>22</v>
      </c>
      <c r="N639" s="1">
        <v>0</v>
      </c>
    </row>
    <row r="640" spans="2:14">
      <c r="B640">
        <v>88</v>
      </c>
      <c r="C640">
        <v>74</v>
      </c>
      <c r="D640">
        <v>53</v>
      </c>
      <c r="E640">
        <v>29</v>
      </c>
      <c r="F640">
        <v>0.22900000000000001</v>
      </c>
      <c r="G640">
        <v>22</v>
      </c>
      <c r="H640">
        <v>0</v>
      </c>
      <c r="M640">
        <v>19</v>
      </c>
      <c r="N640" s="1">
        <v>2</v>
      </c>
    </row>
    <row r="641" spans="2:14">
      <c r="B641">
        <v>109</v>
      </c>
      <c r="C641">
        <v>58</v>
      </c>
      <c r="D641">
        <v>116</v>
      </c>
      <c r="E641">
        <v>28.5</v>
      </c>
      <c r="F641">
        <v>0.219</v>
      </c>
      <c r="G641">
        <v>22</v>
      </c>
      <c r="H641">
        <v>0</v>
      </c>
      <c r="M641">
        <v>18</v>
      </c>
      <c r="N641" s="1">
        <v>1</v>
      </c>
    </row>
    <row r="642" spans="2:14">
      <c r="B642">
        <v>98</v>
      </c>
      <c r="C642">
        <v>60</v>
      </c>
      <c r="D642">
        <v>120</v>
      </c>
      <c r="E642">
        <v>34.700000000000003</v>
      </c>
      <c r="F642">
        <v>0.19800000000000001</v>
      </c>
      <c r="G642">
        <v>22</v>
      </c>
      <c r="H642">
        <v>0</v>
      </c>
      <c r="M642">
        <v>17</v>
      </c>
      <c r="N642" s="1">
        <v>2</v>
      </c>
    </row>
    <row r="643" spans="2:14">
      <c r="B643">
        <v>131</v>
      </c>
      <c r="C643">
        <v>66</v>
      </c>
      <c r="D643">
        <v>0</v>
      </c>
      <c r="E643">
        <v>34.299999999999997</v>
      </c>
      <c r="F643">
        <v>0.19600000000000001</v>
      </c>
      <c r="G643">
        <v>22</v>
      </c>
      <c r="H643">
        <v>1</v>
      </c>
      <c r="M643">
        <v>40</v>
      </c>
      <c r="N643" s="1">
        <v>0</v>
      </c>
    </row>
    <row r="644" spans="2:14">
      <c r="B644">
        <v>151</v>
      </c>
      <c r="C644">
        <v>60</v>
      </c>
      <c r="D644">
        <v>0</v>
      </c>
      <c r="E644">
        <v>26.1</v>
      </c>
      <c r="F644">
        <v>0.17899999999999999</v>
      </c>
      <c r="G644">
        <v>22</v>
      </c>
      <c r="H644">
        <v>0</v>
      </c>
      <c r="M644">
        <v>0</v>
      </c>
      <c r="N644" s="1">
        <v>1</v>
      </c>
    </row>
    <row r="645" spans="2:14">
      <c r="B645">
        <v>127</v>
      </c>
      <c r="C645">
        <v>46</v>
      </c>
      <c r="D645">
        <v>335</v>
      </c>
      <c r="E645">
        <v>34.4</v>
      </c>
      <c r="F645">
        <v>0.17599999999999999</v>
      </c>
      <c r="G645">
        <v>22</v>
      </c>
      <c r="H645">
        <v>0</v>
      </c>
      <c r="M645">
        <v>21</v>
      </c>
      <c r="N645" s="1">
        <v>2</v>
      </c>
    </row>
    <row r="646" spans="2:14">
      <c r="B646">
        <v>105</v>
      </c>
      <c r="C646">
        <v>64</v>
      </c>
      <c r="D646">
        <v>142</v>
      </c>
      <c r="E646">
        <v>41.5</v>
      </c>
      <c r="F646">
        <v>0.17299999999999999</v>
      </c>
      <c r="G646">
        <v>22</v>
      </c>
      <c r="H646">
        <v>0</v>
      </c>
      <c r="M646">
        <v>41</v>
      </c>
      <c r="N646" s="1">
        <v>0</v>
      </c>
    </row>
    <row r="647" spans="2:14">
      <c r="B647">
        <v>137</v>
      </c>
      <c r="C647">
        <v>70</v>
      </c>
      <c r="D647">
        <v>0</v>
      </c>
      <c r="E647">
        <v>33.200000000000003</v>
      </c>
      <c r="F647">
        <v>0.17</v>
      </c>
      <c r="G647">
        <v>22</v>
      </c>
      <c r="H647">
        <v>0</v>
      </c>
      <c r="M647">
        <v>38</v>
      </c>
      <c r="N647" s="1">
        <v>0</v>
      </c>
    </row>
    <row r="648" spans="2:14">
      <c r="B648">
        <v>101</v>
      </c>
      <c r="C648">
        <v>58</v>
      </c>
      <c r="D648">
        <v>90</v>
      </c>
      <c r="E648">
        <v>21.8</v>
      </c>
      <c r="F648">
        <v>0.155</v>
      </c>
      <c r="G648">
        <v>22</v>
      </c>
      <c r="H648">
        <v>0</v>
      </c>
      <c r="M648">
        <v>35</v>
      </c>
      <c r="N648" s="1">
        <v>2</v>
      </c>
    </row>
    <row r="649" spans="2:14">
      <c r="B649">
        <v>106</v>
      </c>
      <c r="C649">
        <v>70</v>
      </c>
      <c r="D649">
        <v>135</v>
      </c>
      <c r="E649">
        <v>34.200000000000003</v>
      </c>
      <c r="F649">
        <v>0.14199999999999999</v>
      </c>
      <c r="G649">
        <v>22</v>
      </c>
      <c r="H649">
        <v>0</v>
      </c>
      <c r="M649">
        <v>28</v>
      </c>
      <c r="N649" s="1">
        <v>1</v>
      </c>
    </row>
    <row r="650" spans="2:14">
      <c r="B650">
        <v>92</v>
      </c>
      <c r="C650">
        <v>52</v>
      </c>
      <c r="D650">
        <v>0</v>
      </c>
      <c r="E650">
        <v>30.1</v>
      </c>
      <c r="F650">
        <v>0.14099999999999999</v>
      </c>
      <c r="G650">
        <v>22</v>
      </c>
      <c r="H650">
        <v>0</v>
      </c>
      <c r="M650">
        <v>0</v>
      </c>
      <c r="N650" s="1">
        <v>2</v>
      </c>
    </row>
    <row r="651" spans="2:14">
      <c r="B651">
        <v>113</v>
      </c>
      <c r="C651">
        <v>44</v>
      </c>
      <c r="D651">
        <v>0</v>
      </c>
      <c r="E651">
        <v>22.4</v>
      </c>
      <c r="F651">
        <v>0.14000000000000001</v>
      </c>
      <c r="G651">
        <v>22</v>
      </c>
      <c r="H651">
        <v>0</v>
      </c>
      <c r="M651">
        <v>13</v>
      </c>
      <c r="N651" s="1">
        <v>3</v>
      </c>
    </row>
    <row r="652" spans="2:14">
      <c r="B652">
        <v>0</v>
      </c>
      <c r="C652">
        <v>48</v>
      </c>
      <c r="D652">
        <v>0</v>
      </c>
      <c r="E652">
        <v>24.7</v>
      </c>
      <c r="F652">
        <v>0.14000000000000001</v>
      </c>
      <c r="G652">
        <v>22</v>
      </c>
      <c r="H652">
        <v>0</v>
      </c>
      <c r="M652">
        <v>20</v>
      </c>
      <c r="N652" s="1">
        <v>1</v>
      </c>
    </row>
    <row r="653" spans="2:14">
      <c r="B653">
        <v>128</v>
      </c>
      <c r="C653">
        <v>82</v>
      </c>
      <c r="D653">
        <v>183</v>
      </c>
      <c r="E653">
        <v>27.5</v>
      </c>
      <c r="F653">
        <v>0.115</v>
      </c>
      <c r="G653">
        <v>22</v>
      </c>
      <c r="H653">
        <v>0</v>
      </c>
      <c r="M653">
        <v>17</v>
      </c>
      <c r="N653" s="1">
        <v>1</v>
      </c>
    </row>
    <row r="654" spans="2:14">
      <c r="B654">
        <v>87</v>
      </c>
      <c r="C654">
        <v>78</v>
      </c>
      <c r="D654">
        <v>32</v>
      </c>
      <c r="E654">
        <v>34.6</v>
      </c>
      <c r="F654">
        <v>0.10100000000000001</v>
      </c>
      <c r="G654">
        <v>22</v>
      </c>
      <c r="H654">
        <v>0</v>
      </c>
      <c r="M654">
        <v>27</v>
      </c>
      <c r="N654" s="1">
        <v>1</v>
      </c>
    </row>
    <row r="655" spans="2:14">
      <c r="B655">
        <v>90</v>
      </c>
      <c r="C655">
        <v>70</v>
      </c>
      <c r="D655">
        <v>0</v>
      </c>
      <c r="E655">
        <v>27.3</v>
      </c>
      <c r="F655">
        <v>8.5000000000000006E-2</v>
      </c>
      <c r="G655">
        <v>22</v>
      </c>
      <c r="H655">
        <v>0</v>
      </c>
      <c r="M655">
        <v>17</v>
      </c>
      <c r="N655" s="1">
        <v>2</v>
      </c>
    </row>
    <row r="656" spans="2:14">
      <c r="B656">
        <v>84</v>
      </c>
      <c r="C656">
        <v>50</v>
      </c>
      <c r="D656">
        <v>76</v>
      </c>
      <c r="E656">
        <v>30.4</v>
      </c>
      <c r="F656">
        <v>0.96799999999999997</v>
      </c>
      <c r="G656">
        <v>21</v>
      </c>
      <c r="H656">
        <v>0</v>
      </c>
      <c r="M656">
        <v>23</v>
      </c>
      <c r="N656" s="1">
        <v>2</v>
      </c>
    </row>
    <row r="657" spans="2:14">
      <c r="B657">
        <v>109</v>
      </c>
      <c r="C657">
        <v>60</v>
      </c>
      <c r="D657">
        <v>182</v>
      </c>
      <c r="E657">
        <v>25.4</v>
      </c>
      <c r="F657">
        <v>0.94699999999999995</v>
      </c>
      <c r="G657">
        <v>21</v>
      </c>
      <c r="H657">
        <v>0</v>
      </c>
      <c r="M657">
        <v>8</v>
      </c>
      <c r="N657" s="1">
        <v>1</v>
      </c>
    </row>
    <row r="658" spans="2:14">
      <c r="B658">
        <v>113</v>
      </c>
      <c r="C658">
        <v>80</v>
      </c>
      <c r="D658">
        <v>0</v>
      </c>
      <c r="E658">
        <v>31</v>
      </c>
      <c r="F658">
        <v>0.874</v>
      </c>
      <c r="G658">
        <v>21</v>
      </c>
      <c r="H658">
        <v>0</v>
      </c>
      <c r="M658">
        <v>16</v>
      </c>
      <c r="N658" s="1">
        <v>0</v>
      </c>
    </row>
    <row r="659" spans="2:14">
      <c r="B659">
        <v>126</v>
      </c>
      <c r="C659">
        <v>56</v>
      </c>
      <c r="D659">
        <v>152</v>
      </c>
      <c r="E659">
        <v>28.7</v>
      </c>
      <c r="F659">
        <v>0.80100000000000005</v>
      </c>
      <c r="G659">
        <v>21</v>
      </c>
      <c r="H659">
        <v>0</v>
      </c>
      <c r="M659">
        <v>29</v>
      </c>
      <c r="N659" s="1">
        <v>1</v>
      </c>
    </row>
    <row r="660" spans="2:14">
      <c r="B660">
        <v>142</v>
      </c>
      <c r="C660">
        <v>82</v>
      </c>
      <c r="D660">
        <v>64</v>
      </c>
      <c r="E660">
        <v>24.7</v>
      </c>
      <c r="F660">
        <v>0.76100000000000001</v>
      </c>
      <c r="G660">
        <v>21</v>
      </c>
      <c r="H660">
        <v>0</v>
      </c>
      <c r="M660">
        <v>18</v>
      </c>
      <c r="N660" s="1">
        <v>2</v>
      </c>
    </row>
    <row r="661" spans="2:14">
      <c r="B661">
        <v>118</v>
      </c>
      <c r="C661">
        <v>80</v>
      </c>
      <c r="D661">
        <v>0</v>
      </c>
      <c r="E661">
        <v>42.9</v>
      </c>
      <c r="F661">
        <v>0.69299999999999995</v>
      </c>
      <c r="G661">
        <v>21</v>
      </c>
      <c r="H661">
        <v>1</v>
      </c>
      <c r="M661">
        <v>0</v>
      </c>
      <c r="N661" s="1">
        <v>2</v>
      </c>
    </row>
    <row r="662" spans="2:14">
      <c r="B662">
        <v>130</v>
      </c>
      <c r="C662">
        <v>60</v>
      </c>
      <c r="D662">
        <v>170</v>
      </c>
      <c r="E662">
        <v>28.6</v>
      </c>
      <c r="F662">
        <v>0.69199999999999995</v>
      </c>
      <c r="G662">
        <v>21</v>
      </c>
      <c r="H662">
        <v>0</v>
      </c>
      <c r="M662">
        <v>23</v>
      </c>
      <c r="N662" s="1">
        <v>1</v>
      </c>
    </row>
    <row r="663" spans="2:14">
      <c r="B663">
        <v>99</v>
      </c>
      <c r="C663">
        <v>52</v>
      </c>
      <c r="D663">
        <v>94</v>
      </c>
      <c r="E663">
        <v>24.6</v>
      </c>
      <c r="F663">
        <v>0.63700000000000001</v>
      </c>
      <c r="G663">
        <v>21</v>
      </c>
      <c r="H663">
        <v>0</v>
      </c>
      <c r="M663">
        <v>15</v>
      </c>
      <c r="N663" s="1">
        <v>2</v>
      </c>
    </row>
    <row r="664" spans="2:14">
      <c r="B664">
        <v>100</v>
      </c>
      <c r="C664">
        <v>70</v>
      </c>
      <c r="D664">
        <v>50</v>
      </c>
      <c r="E664">
        <v>30.8</v>
      </c>
      <c r="F664">
        <v>0.59699999999999998</v>
      </c>
      <c r="G664">
        <v>21</v>
      </c>
      <c r="H664">
        <v>0</v>
      </c>
      <c r="M664">
        <v>26</v>
      </c>
      <c r="N664" s="1">
        <v>0</v>
      </c>
    </row>
    <row r="665" spans="2:14">
      <c r="B665">
        <v>94</v>
      </c>
      <c r="C665">
        <v>68</v>
      </c>
      <c r="D665">
        <v>76</v>
      </c>
      <c r="E665">
        <v>26</v>
      </c>
      <c r="F665">
        <v>0.56100000000000005</v>
      </c>
      <c r="G665">
        <v>21</v>
      </c>
      <c r="H665">
        <v>0</v>
      </c>
      <c r="M665">
        <v>18</v>
      </c>
      <c r="N665" s="1">
        <v>2</v>
      </c>
    </row>
    <row r="666" spans="2:14">
      <c r="B666">
        <v>89</v>
      </c>
      <c r="C666">
        <v>68</v>
      </c>
      <c r="D666">
        <v>25</v>
      </c>
      <c r="E666">
        <v>27.8</v>
      </c>
      <c r="F666">
        <v>0.55900000000000005</v>
      </c>
      <c r="G666">
        <v>21</v>
      </c>
      <c r="H666">
        <v>0</v>
      </c>
      <c r="M666">
        <v>19</v>
      </c>
      <c r="N666" s="1">
        <v>1</v>
      </c>
    </row>
    <row r="667" spans="2:14">
      <c r="B667">
        <v>90</v>
      </c>
      <c r="C667">
        <v>78</v>
      </c>
      <c r="D667">
        <v>0</v>
      </c>
      <c r="E667">
        <v>42.7</v>
      </c>
      <c r="F667">
        <v>0.55900000000000005</v>
      </c>
      <c r="G667">
        <v>21</v>
      </c>
      <c r="H667">
        <v>0</v>
      </c>
      <c r="M667">
        <v>0</v>
      </c>
      <c r="N667" s="1">
        <v>3</v>
      </c>
    </row>
    <row r="668" spans="2:14">
      <c r="B668">
        <v>99</v>
      </c>
      <c r="C668">
        <v>58</v>
      </c>
      <c r="D668">
        <v>0</v>
      </c>
      <c r="E668">
        <v>25.4</v>
      </c>
      <c r="F668">
        <v>0.55100000000000005</v>
      </c>
      <c r="G668">
        <v>21</v>
      </c>
      <c r="H668">
        <v>0</v>
      </c>
      <c r="M668">
        <v>10</v>
      </c>
      <c r="N668" s="1">
        <v>1</v>
      </c>
    </row>
    <row r="669" spans="2:14">
      <c r="B669">
        <v>84</v>
      </c>
      <c r="C669">
        <v>64</v>
      </c>
      <c r="D669">
        <v>66</v>
      </c>
      <c r="E669">
        <v>35.799999999999997</v>
      </c>
      <c r="F669">
        <v>0.54500000000000004</v>
      </c>
      <c r="G669">
        <v>21</v>
      </c>
      <c r="H669">
        <v>0</v>
      </c>
      <c r="M669">
        <v>22</v>
      </c>
      <c r="N669" s="1">
        <v>0</v>
      </c>
    </row>
    <row r="670" spans="2:14">
      <c r="B670">
        <v>113</v>
      </c>
      <c r="C670">
        <v>64</v>
      </c>
      <c r="D670">
        <v>0</v>
      </c>
      <c r="E670">
        <v>33.6</v>
      </c>
      <c r="F670">
        <v>0.54300000000000004</v>
      </c>
      <c r="G670">
        <v>21</v>
      </c>
      <c r="H670">
        <v>1</v>
      </c>
      <c r="M670">
        <v>35</v>
      </c>
      <c r="N670" s="1">
        <v>1</v>
      </c>
    </row>
    <row r="671" spans="2:14">
      <c r="B671">
        <v>138</v>
      </c>
      <c r="C671">
        <v>60</v>
      </c>
      <c r="D671">
        <v>167</v>
      </c>
      <c r="E671">
        <v>34.6</v>
      </c>
      <c r="F671">
        <v>0.53400000000000003</v>
      </c>
      <c r="G671">
        <v>21</v>
      </c>
      <c r="H671">
        <v>1</v>
      </c>
      <c r="M671">
        <v>35</v>
      </c>
      <c r="N671" s="1">
        <v>0</v>
      </c>
    </row>
    <row r="672" spans="2:14">
      <c r="B672">
        <v>126</v>
      </c>
      <c r="C672">
        <v>86</v>
      </c>
      <c r="D672">
        <v>120</v>
      </c>
      <c r="E672">
        <v>27.4</v>
      </c>
      <c r="F672">
        <v>0.51500000000000001</v>
      </c>
      <c r="G672">
        <v>21</v>
      </c>
      <c r="H672">
        <v>0</v>
      </c>
      <c r="M672">
        <v>27</v>
      </c>
      <c r="N672" s="1">
        <v>0</v>
      </c>
    </row>
    <row r="673" spans="2:14">
      <c r="B673">
        <v>124</v>
      </c>
      <c r="C673">
        <v>60</v>
      </c>
      <c r="D673">
        <v>0</v>
      </c>
      <c r="E673">
        <v>35.799999999999997</v>
      </c>
      <c r="F673">
        <v>0.51400000000000001</v>
      </c>
      <c r="G673">
        <v>21</v>
      </c>
      <c r="H673">
        <v>0</v>
      </c>
      <c r="M673">
        <v>32</v>
      </c>
      <c r="N673" s="1">
        <v>1</v>
      </c>
    </row>
    <row r="674" spans="2:14">
      <c r="B674">
        <v>102</v>
      </c>
      <c r="C674">
        <v>64</v>
      </c>
      <c r="D674">
        <v>78</v>
      </c>
      <c r="E674">
        <v>40.6</v>
      </c>
      <c r="F674">
        <v>0.496</v>
      </c>
      <c r="G674">
        <v>21</v>
      </c>
      <c r="H674">
        <v>0</v>
      </c>
      <c r="M674">
        <v>46</v>
      </c>
      <c r="N674" s="1">
        <v>0</v>
      </c>
    </row>
    <row r="675" spans="2:14">
      <c r="B675">
        <v>99</v>
      </c>
      <c r="C675">
        <v>60</v>
      </c>
      <c r="D675">
        <v>160</v>
      </c>
      <c r="E675">
        <v>36.6</v>
      </c>
      <c r="F675">
        <v>0.45300000000000001</v>
      </c>
      <c r="G675">
        <v>21</v>
      </c>
      <c r="H675">
        <v>0</v>
      </c>
      <c r="M675">
        <v>17</v>
      </c>
      <c r="N675" s="1">
        <v>2</v>
      </c>
    </row>
    <row r="676" spans="2:14">
      <c r="B676">
        <v>124</v>
      </c>
      <c r="C676">
        <v>56</v>
      </c>
      <c r="D676">
        <v>105</v>
      </c>
      <c r="E676">
        <v>21.8</v>
      </c>
      <c r="F676">
        <v>0.45200000000000001</v>
      </c>
      <c r="G676">
        <v>21</v>
      </c>
      <c r="H676">
        <v>0</v>
      </c>
      <c r="M676">
        <v>13</v>
      </c>
      <c r="N676" s="1">
        <v>0</v>
      </c>
    </row>
    <row r="677" spans="2:14">
      <c r="B677">
        <v>87</v>
      </c>
      <c r="C677">
        <v>60</v>
      </c>
      <c r="D677">
        <v>0</v>
      </c>
      <c r="E677">
        <v>21.8</v>
      </c>
      <c r="F677">
        <v>0.44400000000000001</v>
      </c>
      <c r="G677">
        <v>21</v>
      </c>
      <c r="H677">
        <v>0</v>
      </c>
      <c r="M677">
        <v>18</v>
      </c>
      <c r="N677" s="1">
        <v>3</v>
      </c>
    </row>
    <row r="678" spans="2:14">
      <c r="B678">
        <v>78</v>
      </c>
      <c r="C678">
        <v>88</v>
      </c>
      <c r="D678">
        <v>40</v>
      </c>
      <c r="E678">
        <v>36.9</v>
      </c>
      <c r="F678">
        <v>0.434</v>
      </c>
      <c r="G678">
        <v>21</v>
      </c>
      <c r="H678">
        <v>0</v>
      </c>
      <c r="M678">
        <v>29</v>
      </c>
      <c r="N678" s="1">
        <v>0</v>
      </c>
    </row>
    <row r="679" spans="2:14">
      <c r="B679">
        <v>71</v>
      </c>
      <c r="C679">
        <v>78</v>
      </c>
      <c r="D679">
        <v>45</v>
      </c>
      <c r="E679">
        <v>33.200000000000003</v>
      </c>
      <c r="F679">
        <v>0.42199999999999999</v>
      </c>
      <c r="G679">
        <v>21</v>
      </c>
      <c r="H679">
        <v>0</v>
      </c>
      <c r="M679">
        <v>50</v>
      </c>
      <c r="N679" s="1">
        <v>1</v>
      </c>
    </row>
    <row r="680" spans="2:14">
      <c r="B680">
        <v>115</v>
      </c>
      <c r="C680">
        <v>64</v>
      </c>
      <c r="D680">
        <v>0</v>
      </c>
      <c r="E680">
        <v>30.8</v>
      </c>
      <c r="F680">
        <v>0.42099999999999999</v>
      </c>
      <c r="G680">
        <v>21</v>
      </c>
      <c r="H680">
        <v>0</v>
      </c>
      <c r="M680">
        <v>22</v>
      </c>
      <c r="N680" s="1">
        <v>2</v>
      </c>
    </row>
    <row r="681" spans="2:14">
      <c r="B681">
        <v>99</v>
      </c>
      <c r="C681">
        <v>72</v>
      </c>
      <c r="D681">
        <v>18</v>
      </c>
      <c r="E681">
        <v>38.6</v>
      </c>
      <c r="F681">
        <v>0.41199999999999998</v>
      </c>
      <c r="G681">
        <v>21</v>
      </c>
      <c r="H681">
        <v>0</v>
      </c>
      <c r="L681">
        <f>AVERAGE(C2:C712)</f>
        <v>71.842475386779185</v>
      </c>
      <c r="M681">
        <v>30</v>
      </c>
      <c r="N681" s="1">
        <v>1</v>
      </c>
    </row>
    <row r="682" spans="2:14">
      <c r="B682">
        <v>132</v>
      </c>
      <c r="C682">
        <v>78</v>
      </c>
      <c r="D682">
        <v>0</v>
      </c>
      <c r="E682">
        <v>32.4</v>
      </c>
      <c r="F682">
        <v>0.39300000000000002</v>
      </c>
      <c r="G682">
        <v>21</v>
      </c>
      <c r="H682">
        <v>0</v>
      </c>
      <c r="M682">
        <v>0</v>
      </c>
      <c r="N682" s="1">
        <v>0</v>
      </c>
    </row>
    <row r="683" spans="2:14">
      <c r="B683">
        <v>151</v>
      </c>
      <c r="C683">
        <v>90</v>
      </c>
      <c r="D683">
        <v>0</v>
      </c>
      <c r="E683">
        <v>42.1</v>
      </c>
      <c r="F683">
        <v>0.371</v>
      </c>
      <c r="G683">
        <v>21</v>
      </c>
      <c r="H683">
        <v>1</v>
      </c>
      <c r="M683">
        <v>46</v>
      </c>
      <c r="N683" s="1">
        <v>0</v>
      </c>
    </row>
    <row r="684" spans="2:14">
      <c r="B684">
        <v>100</v>
      </c>
      <c r="C684">
        <v>64</v>
      </c>
      <c r="D684">
        <v>0</v>
      </c>
      <c r="E684">
        <v>29.7</v>
      </c>
      <c r="F684">
        <v>0.36799999999999999</v>
      </c>
      <c r="G684">
        <v>21</v>
      </c>
      <c r="H684">
        <v>0</v>
      </c>
      <c r="M684">
        <v>23</v>
      </c>
      <c r="N684" s="1">
        <v>2</v>
      </c>
    </row>
    <row r="685" spans="2:14">
      <c r="B685">
        <v>134</v>
      </c>
      <c r="C685">
        <v>58</v>
      </c>
      <c r="D685">
        <v>291</v>
      </c>
      <c r="E685">
        <v>26.4</v>
      </c>
      <c r="F685">
        <v>0.35199999999999998</v>
      </c>
      <c r="G685">
        <v>21</v>
      </c>
      <c r="H685">
        <v>0</v>
      </c>
      <c r="M685">
        <v>20</v>
      </c>
      <c r="N685" s="1">
        <v>0</v>
      </c>
    </row>
    <row r="686" spans="2:14">
      <c r="B686">
        <v>94</v>
      </c>
      <c r="C686">
        <v>70</v>
      </c>
      <c r="D686">
        <v>115</v>
      </c>
      <c r="E686">
        <v>43.5</v>
      </c>
      <c r="F686">
        <v>0.34699999999999998</v>
      </c>
      <c r="G686">
        <v>21</v>
      </c>
      <c r="H686">
        <v>0</v>
      </c>
      <c r="M686">
        <v>27</v>
      </c>
      <c r="N686" s="1">
        <v>0</v>
      </c>
    </row>
    <row r="687" spans="2:14">
      <c r="B687">
        <v>117</v>
      </c>
      <c r="C687">
        <v>90</v>
      </c>
      <c r="D687">
        <v>71</v>
      </c>
      <c r="E687">
        <v>25.2</v>
      </c>
      <c r="F687">
        <v>0.313</v>
      </c>
      <c r="G687">
        <v>21</v>
      </c>
      <c r="H687">
        <v>0</v>
      </c>
      <c r="M687">
        <v>19</v>
      </c>
      <c r="N687" s="1">
        <v>2</v>
      </c>
    </row>
    <row r="688" spans="2:14">
      <c r="B688">
        <v>97</v>
      </c>
      <c r="C688">
        <v>64</v>
      </c>
      <c r="D688">
        <v>82</v>
      </c>
      <c r="E688">
        <v>18.2</v>
      </c>
      <c r="F688">
        <v>0.29899999999999999</v>
      </c>
      <c r="G688">
        <v>21</v>
      </c>
      <c r="H688">
        <v>0</v>
      </c>
      <c r="M688">
        <v>19</v>
      </c>
      <c r="N688" s="1">
        <v>1</v>
      </c>
    </row>
    <row r="689" spans="2:14">
      <c r="B689">
        <v>0</v>
      </c>
      <c r="C689">
        <v>74</v>
      </c>
      <c r="D689">
        <v>23</v>
      </c>
      <c r="E689">
        <v>27.7</v>
      </c>
      <c r="F689">
        <v>0.29899999999999999</v>
      </c>
      <c r="G689">
        <v>21</v>
      </c>
      <c r="H689">
        <v>0</v>
      </c>
      <c r="M689">
        <v>20</v>
      </c>
      <c r="N689" s="1">
        <v>1</v>
      </c>
    </row>
    <row r="690" spans="2:14">
      <c r="B690">
        <v>96</v>
      </c>
      <c r="C690">
        <v>64</v>
      </c>
      <c r="D690">
        <v>87</v>
      </c>
      <c r="E690">
        <v>33.200000000000003</v>
      </c>
      <c r="F690">
        <v>0.28899999999999998</v>
      </c>
      <c r="G690">
        <v>21</v>
      </c>
      <c r="H690">
        <v>0</v>
      </c>
      <c r="M690">
        <v>27</v>
      </c>
      <c r="N690" s="1">
        <v>1</v>
      </c>
    </row>
    <row r="691" spans="2:14">
      <c r="B691">
        <v>114</v>
      </c>
      <c r="C691">
        <v>66</v>
      </c>
      <c r="D691">
        <v>200</v>
      </c>
      <c r="E691">
        <v>38.1</v>
      </c>
      <c r="F691">
        <v>0.28899999999999998</v>
      </c>
      <c r="G691">
        <v>21</v>
      </c>
      <c r="H691">
        <v>0</v>
      </c>
      <c r="M691">
        <v>36</v>
      </c>
      <c r="N691" s="1">
        <v>1</v>
      </c>
    </row>
    <row r="692" spans="2:14">
      <c r="B692">
        <v>130</v>
      </c>
      <c r="C692">
        <v>96</v>
      </c>
      <c r="D692">
        <v>0</v>
      </c>
      <c r="E692">
        <v>22.6</v>
      </c>
      <c r="F692">
        <v>0.26800000000000002</v>
      </c>
      <c r="G692">
        <v>21</v>
      </c>
      <c r="H692">
        <v>0</v>
      </c>
      <c r="M692">
        <v>0</v>
      </c>
      <c r="N692" s="1">
        <v>2</v>
      </c>
    </row>
    <row r="693" spans="2:14">
      <c r="B693">
        <v>125</v>
      </c>
      <c r="C693">
        <v>96</v>
      </c>
      <c r="D693">
        <v>0</v>
      </c>
      <c r="E693">
        <v>22.5</v>
      </c>
      <c r="F693">
        <v>0.26200000000000001</v>
      </c>
      <c r="G693">
        <v>21</v>
      </c>
      <c r="H693">
        <v>0</v>
      </c>
      <c r="M693">
        <v>0</v>
      </c>
      <c r="N693" s="1">
        <v>0</v>
      </c>
    </row>
    <row r="694" spans="2:14">
      <c r="B694">
        <v>80</v>
      </c>
      <c r="C694">
        <v>55</v>
      </c>
      <c r="D694">
        <v>0</v>
      </c>
      <c r="E694">
        <v>19.100000000000001</v>
      </c>
      <c r="F694">
        <v>0.25800000000000001</v>
      </c>
      <c r="G694">
        <v>21</v>
      </c>
      <c r="H694">
        <v>0</v>
      </c>
      <c r="M694">
        <v>0</v>
      </c>
      <c r="N694" s="1">
        <v>1</v>
      </c>
    </row>
    <row r="695" spans="2:14">
      <c r="B695">
        <v>143</v>
      </c>
      <c r="C695">
        <v>74</v>
      </c>
      <c r="D695">
        <v>61</v>
      </c>
      <c r="E695">
        <v>26.2</v>
      </c>
      <c r="F695">
        <v>0.25600000000000001</v>
      </c>
      <c r="G695">
        <v>21</v>
      </c>
      <c r="H695">
        <v>0</v>
      </c>
      <c r="M695">
        <v>22</v>
      </c>
      <c r="N695" s="1">
        <v>1</v>
      </c>
    </row>
    <row r="696" spans="2:14">
      <c r="B696">
        <v>101</v>
      </c>
      <c r="C696">
        <v>64</v>
      </c>
      <c r="D696">
        <v>0</v>
      </c>
      <c r="E696">
        <v>21</v>
      </c>
      <c r="F696">
        <v>0.252</v>
      </c>
      <c r="G696">
        <v>21</v>
      </c>
      <c r="H696">
        <v>0</v>
      </c>
      <c r="M696">
        <v>17</v>
      </c>
      <c r="N696" s="1">
        <v>0</v>
      </c>
    </row>
    <row r="697" spans="2:14">
      <c r="B697">
        <v>73</v>
      </c>
      <c r="C697">
        <v>50</v>
      </c>
      <c r="D697">
        <v>0</v>
      </c>
      <c r="E697">
        <v>23</v>
      </c>
      <c r="F697">
        <v>0.248</v>
      </c>
      <c r="G697">
        <v>21</v>
      </c>
      <c r="H697">
        <v>0</v>
      </c>
      <c r="M697">
        <v>10</v>
      </c>
      <c r="N697" s="1">
        <v>1</v>
      </c>
    </row>
    <row r="698" spans="2:14">
      <c r="B698">
        <v>99</v>
      </c>
      <c r="C698">
        <v>76</v>
      </c>
      <c r="D698">
        <v>51</v>
      </c>
      <c r="E698">
        <v>23.2</v>
      </c>
      <c r="F698">
        <v>0.223</v>
      </c>
      <c r="G698">
        <v>21</v>
      </c>
      <c r="H698">
        <v>0</v>
      </c>
      <c r="M698">
        <v>15</v>
      </c>
      <c r="N698" s="1">
        <v>4</v>
      </c>
    </row>
    <row r="699" spans="2:14">
      <c r="B699">
        <v>139</v>
      </c>
      <c r="C699">
        <v>62</v>
      </c>
      <c r="D699">
        <v>210</v>
      </c>
      <c r="E699">
        <v>22.1</v>
      </c>
      <c r="F699">
        <v>0.20699999999999999</v>
      </c>
      <c r="G699">
        <v>21</v>
      </c>
      <c r="H699">
        <v>0</v>
      </c>
      <c r="M699">
        <v>17</v>
      </c>
      <c r="N699" s="1">
        <v>0</v>
      </c>
    </row>
    <row r="700" spans="2:14">
      <c r="B700">
        <v>125</v>
      </c>
      <c r="C700">
        <v>68</v>
      </c>
      <c r="D700">
        <v>0</v>
      </c>
      <c r="E700">
        <v>24.7</v>
      </c>
      <c r="F700">
        <v>0.20599999999999999</v>
      </c>
      <c r="G700">
        <v>21</v>
      </c>
      <c r="H700">
        <v>0</v>
      </c>
      <c r="M700">
        <v>0</v>
      </c>
      <c r="N700" s="1">
        <v>0</v>
      </c>
    </row>
    <row r="701" spans="2:14">
      <c r="B701">
        <v>116</v>
      </c>
      <c r="C701">
        <v>70</v>
      </c>
      <c r="D701">
        <v>0</v>
      </c>
      <c r="E701">
        <v>27.4</v>
      </c>
      <c r="F701">
        <v>0.20399999999999999</v>
      </c>
      <c r="G701">
        <v>21</v>
      </c>
      <c r="H701">
        <v>0</v>
      </c>
      <c r="M701">
        <v>28</v>
      </c>
      <c r="N701" s="1">
        <v>1</v>
      </c>
    </row>
    <row r="702" spans="2:14">
      <c r="B702">
        <v>91</v>
      </c>
      <c r="C702">
        <v>64</v>
      </c>
      <c r="D702">
        <v>0</v>
      </c>
      <c r="E702">
        <v>29.2</v>
      </c>
      <c r="F702">
        <v>0.192</v>
      </c>
      <c r="G702">
        <v>21</v>
      </c>
      <c r="H702">
        <v>0</v>
      </c>
      <c r="M702">
        <v>24</v>
      </c>
      <c r="N702" s="1">
        <v>1</v>
      </c>
    </row>
    <row r="703" spans="2:14">
      <c r="B703">
        <v>105</v>
      </c>
      <c r="C703">
        <v>58</v>
      </c>
      <c r="D703">
        <v>0</v>
      </c>
      <c r="E703">
        <v>24.3</v>
      </c>
      <c r="F703">
        <v>0.187</v>
      </c>
      <c r="G703">
        <v>21</v>
      </c>
      <c r="H703">
        <v>0</v>
      </c>
      <c r="M703">
        <v>0</v>
      </c>
      <c r="N703" s="1">
        <v>1</v>
      </c>
    </row>
    <row r="704" spans="2:14">
      <c r="B704">
        <v>89</v>
      </c>
      <c r="C704">
        <v>66</v>
      </c>
      <c r="D704">
        <v>94</v>
      </c>
      <c r="E704">
        <v>28.1</v>
      </c>
      <c r="F704">
        <v>0.16700000000000001</v>
      </c>
      <c r="G704">
        <v>21</v>
      </c>
      <c r="H704">
        <v>0</v>
      </c>
      <c r="M704">
        <v>23</v>
      </c>
      <c r="N704" s="1">
        <v>1</v>
      </c>
    </row>
    <row r="705" spans="2:14">
      <c r="B705">
        <v>108</v>
      </c>
      <c r="C705">
        <v>64</v>
      </c>
      <c r="D705">
        <v>0</v>
      </c>
      <c r="E705">
        <v>30.8</v>
      </c>
      <c r="F705">
        <v>0.158</v>
      </c>
      <c r="G705">
        <v>21</v>
      </c>
      <c r="H705">
        <v>0</v>
      </c>
      <c r="M705">
        <v>0</v>
      </c>
      <c r="N705" s="1">
        <v>2</v>
      </c>
    </row>
    <row r="706" spans="2:14">
      <c r="B706">
        <v>94</v>
      </c>
      <c r="C706">
        <v>65</v>
      </c>
      <c r="D706">
        <v>0</v>
      </c>
      <c r="E706">
        <v>24.7</v>
      </c>
      <c r="F706">
        <v>0.14799999999999999</v>
      </c>
      <c r="G706">
        <v>21</v>
      </c>
      <c r="H706">
        <v>0</v>
      </c>
      <c r="M706">
        <v>22</v>
      </c>
      <c r="N706" s="1">
        <v>4</v>
      </c>
    </row>
    <row r="707" spans="2:14">
      <c r="B707">
        <v>112</v>
      </c>
      <c r="C707">
        <v>75</v>
      </c>
      <c r="D707">
        <v>0</v>
      </c>
      <c r="E707">
        <v>35.700000000000003</v>
      </c>
      <c r="F707">
        <v>0.14799999999999999</v>
      </c>
      <c r="G707">
        <v>21</v>
      </c>
      <c r="H707">
        <v>0</v>
      </c>
      <c r="M707">
        <v>32</v>
      </c>
      <c r="N707" s="1">
        <v>2</v>
      </c>
    </row>
    <row r="708" spans="2:14">
      <c r="B708">
        <v>97</v>
      </c>
      <c r="C708">
        <v>70</v>
      </c>
      <c r="D708">
        <v>0</v>
      </c>
      <c r="E708">
        <v>18.2</v>
      </c>
      <c r="F708">
        <v>0.14699999999999999</v>
      </c>
      <c r="G708">
        <v>21</v>
      </c>
      <c r="H708">
        <v>0</v>
      </c>
      <c r="M708">
        <v>15</v>
      </c>
      <c r="N708" s="1">
        <v>1</v>
      </c>
    </row>
    <row r="709" spans="2:14">
      <c r="B709">
        <v>137</v>
      </c>
      <c r="C709">
        <v>68</v>
      </c>
      <c r="D709">
        <v>148</v>
      </c>
      <c r="E709">
        <v>24.8</v>
      </c>
      <c r="F709">
        <v>0.14299999999999999</v>
      </c>
      <c r="G709">
        <v>21</v>
      </c>
      <c r="H709">
        <v>0</v>
      </c>
      <c r="M709">
        <v>14</v>
      </c>
      <c r="N709" s="1">
        <v>0</v>
      </c>
    </row>
    <row r="710" spans="2:14">
      <c r="B710">
        <v>111</v>
      </c>
      <c r="C710">
        <v>62</v>
      </c>
      <c r="D710">
        <v>0</v>
      </c>
      <c r="E710">
        <v>22.6</v>
      </c>
      <c r="F710">
        <v>0.14199999999999999</v>
      </c>
      <c r="G710">
        <v>21</v>
      </c>
      <c r="H710">
        <v>0</v>
      </c>
      <c r="M710">
        <v>0</v>
      </c>
      <c r="N710" s="1">
        <v>3</v>
      </c>
    </row>
    <row r="711" spans="2:14">
      <c r="B711">
        <v>108</v>
      </c>
      <c r="C711">
        <v>62</v>
      </c>
      <c r="D711">
        <v>56</v>
      </c>
      <c r="E711">
        <v>25.2</v>
      </c>
      <c r="F711">
        <v>0.128</v>
      </c>
      <c r="G711">
        <v>21</v>
      </c>
      <c r="H711">
        <v>0</v>
      </c>
      <c r="M711">
        <v>32</v>
      </c>
      <c r="N711" s="1">
        <v>2</v>
      </c>
    </row>
    <row r="712" spans="2:14">
      <c r="B712">
        <v>102</v>
      </c>
      <c r="C712">
        <v>52</v>
      </c>
      <c r="D712">
        <v>0</v>
      </c>
      <c r="E712">
        <v>25.1</v>
      </c>
      <c r="F712">
        <v>7.8E-2</v>
      </c>
      <c r="G712">
        <v>21</v>
      </c>
      <c r="H712">
        <v>0</v>
      </c>
      <c r="M712">
        <v>0</v>
      </c>
      <c r="N712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6930-7987-4663-843E-D073470CA421}">
  <dimension ref="A1"/>
  <sheetViews>
    <sheetView topLeftCell="A64" workbookViewId="0">
      <selection activeCell="P75" sqref="P75"/>
    </sheetView>
  </sheetViews>
  <sheetFormatPr defaultRowHeight="14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BCE4-55E4-4FB3-94E1-AA251D1D238E}">
  <dimension ref="A1"/>
  <sheetViews>
    <sheetView workbookViewId="0">
      <selection activeCell="D41" sqref="D41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Chandrika</dc:creator>
  <cp:keywords/>
  <dc:description/>
  <cp:lastModifiedBy/>
  <cp:revision/>
  <dcterms:created xsi:type="dcterms:W3CDTF">2021-07-04T15:25:39Z</dcterms:created>
  <dcterms:modified xsi:type="dcterms:W3CDTF">2023-04-13T18:27:19Z</dcterms:modified>
  <cp:category/>
  <cp:contentStatus/>
</cp:coreProperties>
</file>