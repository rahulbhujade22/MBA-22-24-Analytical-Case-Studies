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lo\OneDrive\Desktop\"/>
    </mc:Choice>
  </mc:AlternateContent>
  <xr:revisionPtr revIDLastSave="0" documentId="8_{ED60DE3E-0764-4786-AB4D-7DEBCDEA52E7}" xr6:coauthVersionLast="47" xr6:coauthVersionMax="47" xr10:uidLastSave="{00000000-0000-0000-0000-000000000000}"/>
  <bookViews>
    <workbookView xWindow="-108" yWindow="-108" windowWidth="23256" windowHeight="12456" xr2:uid="{B504806A-4301-4BA9-A658-4890E5B5C5BE}"/>
  </bookViews>
  <sheets>
    <sheet name="DHL(LSM)" sheetId="1" r:id="rId1"/>
    <sheet name="FEDEX(LSM)" sheetId="2" r:id="rId2"/>
    <sheet name="JITFIN (LSM)" sheetId="3" r:id="rId3"/>
  </sheets>
  <definedNames>
    <definedName name="_xlnm._FilterDatabase" localSheetId="0" hidden="1">'DHL(LSM)'!$A$8:$B$1191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  <c r="M1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8" i="1"/>
  <c r="I3" i="1"/>
  <c r="I2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8" i="1"/>
  <c r="M4" i="2"/>
  <c r="M3" i="2"/>
  <c r="M2" i="2"/>
  <c r="M1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9" i="2"/>
  <c r="I3" i="2"/>
  <c r="I2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9" i="2"/>
  <c r="I275" i="1"/>
  <c r="I276" i="1"/>
  <c r="I277" i="1"/>
  <c r="I278" i="1"/>
  <c r="I279" i="1"/>
  <c r="I280" i="1"/>
  <c r="I263" i="1"/>
  <c r="I264" i="1"/>
  <c r="I265" i="1"/>
  <c r="I266" i="1"/>
  <c r="I267" i="1"/>
  <c r="I268" i="1"/>
  <c r="I269" i="1"/>
  <c r="I270" i="1"/>
  <c r="I271" i="1"/>
  <c r="I272" i="1"/>
  <c r="I273" i="1"/>
  <c r="I251" i="1"/>
  <c r="I252" i="1"/>
  <c r="I253" i="1"/>
  <c r="I254" i="1"/>
  <c r="I255" i="1"/>
  <c r="I256" i="1"/>
  <c r="I257" i="1"/>
  <c r="I258" i="1"/>
  <c r="I259" i="1"/>
  <c r="I260" i="1"/>
  <c r="I261" i="1"/>
  <c r="I239" i="1"/>
  <c r="I240" i="1"/>
  <c r="I241" i="1"/>
  <c r="I242" i="1"/>
  <c r="I243" i="1"/>
  <c r="I244" i="1"/>
  <c r="I245" i="1"/>
  <c r="I246" i="1"/>
  <c r="I247" i="1"/>
  <c r="I248" i="1"/>
  <c r="I249" i="1"/>
  <c r="I227" i="1"/>
  <c r="I228" i="1"/>
  <c r="I229" i="1"/>
  <c r="I230" i="1"/>
  <c r="I231" i="1"/>
  <c r="I232" i="1"/>
  <c r="I233" i="1"/>
  <c r="I234" i="1"/>
  <c r="I235" i="1"/>
  <c r="I236" i="1"/>
  <c r="I237" i="1"/>
  <c r="I215" i="1"/>
  <c r="I216" i="1"/>
  <c r="I217" i="1"/>
  <c r="I218" i="1"/>
  <c r="I219" i="1"/>
  <c r="I220" i="1"/>
  <c r="I221" i="1"/>
  <c r="I222" i="1"/>
  <c r="I223" i="1"/>
  <c r="I224" i="1"/>
  <c r="I225" i="1"/>
  <c r="I203" i="1"/>
  <c r="I204" i="1"/>
  <c r="I205" i="1"/>
  <c r="I206" i="1"/>
  <c r="I207" i="1"/>
  <c r="I208" i="1"/>
  <c r="I209" i="1"/>
  <c r="I210" i="1"/>
  <c r="I211" i="1"/>
  <c r="I212" i="1"/>
  <c r="I213" i="1"/>
  <c r="I201" i="1"/>
  <c r="I191" i="1"/>
  <c r="I192" i="1"/>
  <c r="I193" i="1"/>
  <c r="I194" i="1"/>
  <c r="I195" i="1"/>
  <c r="I196" i="1"/>
  <c r="I197" i="1"/>
  <c r="I198" i="1"/>
  <c r="I199" i="1"/>
  <c r="I200" i="1"/>
  <c r="I179" i="1"/>
  <c r="I180" i="1"/>
  <c r="I181" i="1"/>
  <c r="I182" i="1"/>
  <c r="I183" i="1"/>
  <c r="I184" i="1"/>
  <c r="I185" i="1"/>
  <c r="I186" i="1"/>
  <c r="I187" i="1"/>
  <c r="I188" i="1"/>
  <c r="I189" i="1"/>
  <c r="I167" i="1"/>
  <c r="I168" i="1"/>
  <c r="I169" i="1"/>
  <c r="I170" i="1"/>
  <c r="I171" i="1"/>
  <c r="I172" i="1"/>
  <c r="I173" i="1"/>
  <c r="I174" i="1"/>
  <c r="I175" i="1"/>
  <c r="I176" i="1"/>
  <c r="I177" i="1"/>
  <c r="I155" i="1"/>
  <c r="I156" i="1"/>
  <c r="I157" i="1"/>
  <c r="I158" i="1"/>
  <c r="I159" i="1"/>
  <c r="I160" i="1"/>
  <c r="I161" i="1"/>
  <c r="I162" i="1"/>
  <c r="I163" i="1"/>
  <c r="I164" i="1"/>
  <c r="I165" i="1"/>
  <c r="I143" i="1"/>
  <c r="I144" i="1"/>
  <c r="I145" i="1"/>
  <c r="I146" i="1"/>
  <c r="I147" i="1"/>
  <c r="I148" i="1"/>
  <c r="I149" i="1"/>
  <c r="I150" i="1"/>
  <c r="I151" i="1"/>
  <c r="I152" i="1"/>
  <c r="I153" i="1"/>
  <c r="I131" i="1"/>
  <c r="I132" i="1"/>
  <c r="I133" i="1"/>
  <c r="I134" i="1"/>
  <c r="I135" i="1"/>
  <c r="I136" i="1"/>
  <c r="I137" i="1"/>
  <c r="I138" i="1"/>
  <c r="I139" i="1"/>
  <c r="I140" i="1"/>
  <c r="I141" i="1"/>
  <c r="I119" i="1"/>
  <c r="I120" i="1"/>
  <c r="I121" i="1"/>
  <c r="I122" i="1"/>
  <c r="I123" i="1"/>
  <c r="I124" i="1"/>
  <c r="I125" i="1"/>
  <c r="I126" i="1"/>
  <c r="I127" i="1"/>
  <c r="I128" i="1"/>
  <c r="I129" i="1"/>
  <c r="I107" i="1"/>
  <c r="I108" i="1"/>
  <c r="I109" i="1"/>
  <c r="I110" i="1"/>
  <c r="I111" i="1"/>
  <c r="I112" i="1"/>
  <c r="I113" i="1"/>
  <c r="I114" i="1"/>
  <c r="I115" i="1"/>
  <c r="I116" i="1"/>
  <c r="I117" i="1"/>
  <c r="I95" i="1"/>
  <c r="I96" i="1"/>
  <c r="I97" i="1"/>
  <c r="I98" i="1"/>
  <c r="I99" i="1"/>
  <c r="I100" i="1"/>
  <c r="I101" i="1"/>
  <c r="I102" i="1"/>
  <c r="I103" i="1"/>
  <c r="I104" i="1"/>
  <c r="I105" i="1"/>
  <c r="I83" i="1"/>
  <c r="I84" i="1"/>
  <c r="I85" i="1"/>
  <c r="I86" i="1"/>
  <c r="I87" i="1"/>
  <c r="I88" i="1"/>
  <c r="I89" i="1"/>
  <c r="I90" i="1"/>
  <c r="I91" i="1"/>
  <c r="I92" i="1"/>
  <c r="I93" i="1"/>
  <c r="I71" i="1"/>
  <c r="I72" i="1"/>
  <c r="I73" i="1"/>
  <c r="I74" i="1"/>
  <c r="I75" i="1"/>
  <c r="I76" i="1"/>
  <c r="I77" i="1"/>
  <c r="I78" i="1"/>
  <c r="I79" i="1"/>
  <c r="I80" i="1"/>
  <c r="I81" i="1"/>
  <c r="I59" i="1"/>
  <c r="I60" i="1"/>
  <c r="I61" i="1"/>
  <c r="I62" i="1"/>
  <c r="I63" i="1"/>
  <c r="I64" i="1"/>
  <c r="I65" i="1"/>
  <c r="I66" i="1"/>
  <c r="I67" i="1"/>
  <c r="I68" i="1"/>
  <c r="I69" i="1"/>
  <c r="I47" i="1"/>
  <c r="I48" i="1"/>
  <c r="I49" i="1"/>
  <c r="I50" i="1"/>
  <c r="I51" i="1"/>
  <c r="I52" i="1"/>
  <c r="I53" i="1"/>
  <c r="I54" i="1"/>
  <c r="I55" i="1"/>
  <c r="I56" i="1"/>
  <c r="I57" i="1"/>
  <c r="I35" i="1"/>
  <c r="I36" i="1"/>
  <c r="I37" i="1"/>
  <c r="I38" i="1"/>
  <c r="I39" i="1"/>
  <c r="I40" i="1"/>
  <c r="I41" i="1"/>
  <c r="I42" i="1"/>
  <c r="I43" i="1"/>
  <c r="I44" i="1"/>
  <c r="I45" i="1"/>
  <c r="I23" i="1"/>
  <c r="I24" i="1"/>
  <c r="I25" i="1"/>
  <c r="I26" i="1"/>
  <c r="I27" i="1"/>
  <c r="I28" i="1"/>
  <c r="I29" i="1"/>
  <c r="I30" i="1"/>
  <c r="I31" i="1"/>
  <c r="I32" i="1"/>
  <c r="I33" i="1"/>
  <c r="I11" i="1"/>
  <c r="I12" i="1"/>
  <c r="I13" i="1"/>
  <c r="I14" i="1"/>
  <c r="I15" i="1"/>
  <c r="I16" i="1"/>
  <c r="I17" i="1"/>
  <c r="I18" i="1"/>
  <c r="I19" i="1"/>
  <c r="I20" i="1"/>
  <c r="I21" i="1"/>
  <c r="I70" i="1"/>
  <c r="I82" i="1"/>
  <c r="I94" i="1"/>
  <c r="I106" i="1"/>
  <c r="I118" i="1"/>
  <c r="I130" i="1"/>
  <c r="I142" i="1"/>
  <c r="I154" i="1"/>
  <c r="I166" i="1"/>
  <c r="I178" i="1"/>
  <c r="I190" i="1"/>
  <c r="I202" i="1"/>
  <c r="I214" i="1"/>
  <c r="I226" i="1"/>
  <c r="I238" i="1"/>
  <c r="I250" i="1"/>
  <c r="I262" i="1"/>
  <c r="I274" i="1"/>
  <c r="I58" i="1"/>
  <c r="I46" i="1"/>
  <c r="I34" i="1"/>
  <c r="I22" i="1"/>
  <c r="I10" i="1"/>
  <c r="I9" i="1"/>
  <c r="I8" i="1"/>
  <c r="J148" i="2"/>
  <c r="J149" i="2"/>
  <c r="J150" i="2"/>
  <c r="J151" i="2"/>
  <c r="J152" i="2"/>
  <c r="J153" i="2"/>
  <c r="J154" i="2"/>
  <c r="J155" i="2"/>
  <c r="J156" i="2"/>
  <c r="J157" i="2"/>
  <c r="J158" i="2"/>
  <c r="J160" i="2"/>
  <c r="J161" i="2"/>
  <c r="J162" i="2"/>
  <c r="J163" i="2"/>
  <c r="J164" i="2"/>
  <c r="J165" i="2"/>
  <c r="J166" i="2"/>
  <c r="J167" i="2"/>
  <c r="J168" i="2"/>
  <c r="J169" i="2"/>
  <c r="J170" i="2"/>
  <c r="J172" i="2"/>
  <c r="J173" i="2"/>
  <c r="J174" i="2"/>
  <c r="J175" i="2"/>
  <c r="J176" i="2"/>
  <c r="J177" i="2"/>
  <c r="J178" i="2"/>
  <c r="J179" i="2"/>
  <c r="J180" i="2"/>
  <c r="J181" i="2"/>
  <c r="J182" i="2"/>
  <c r="J184" i="2"/>
  <c r="J185" i="2"/>
  <c r="J186" i="2"/>
  <c r="J187" i="2"/>
  <c r="J188" i="2"/>
  <c r="J189" i="2"/>
  <c r="J190" i="2"/>
  <c r="J191" i="2"/>
  <c r="J192" i="2"/>
  <c r="J193" i="2"/>
  <c r="J194" i="2"/>
  <c r="J196" i="2"/>
  <c r="J197" i="2"/>
  <c r="J198" i="2"/>
  <c r="J199" i="2"/>
  <c r="J200" i="2"/>
  <c r="J201" i="2"/>
  <c r="J202" i="2"/>
  <c r="J203" i="2"/>
  <c r="J204" i="2"/>
  <c r="J205" i="2"/>
  <c r="J206" i="2"/>
  <c r="J208" i="2"/>
  <c r="J209" i="2"/>
  <c r="J210" i="2"/>
  <c r="J211" i="2"/>
  <c r="J212" i="2"/>
  <c r="J213" i="2"/>
  <c r="J214" i="2"/>
  <c r="J215" i="2"/>
  <c r="J216" i="2"/>
  <c r="J217" i="2"/>
  <c r="J218" i="2"/>
  <c r="J220" i="2"/>
  <c r="J221" i="2"/>
  <c r="J222" i="2"/>
  <c r="J223" i="2"/>
  <c r="J224" i="2"/>
  <c r="J225" i="2"/>
  <c r="J226" i="2"/>
  <c r="J227" i="2"/>
  <c r="J228" i="2"/>
  <c r="J229" i="2"/>
  <c r="J230" i="2"/>
  <c r="J232" i="2"/>
  <c r="J233" i="2"/>
  <c r="J234" i="2"/>
  <c r="J235" i="2"/>
  <c r="J236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1" i="2"/>
  <c r="J252" i="2"/>
  <c r="J253" i="2"/>
  <c r="J254" i="2"/>
  <c r="J256" i="2"/>
  <c r="J257" i="2"/>
  <c r="J258" i="2"/>
  <c r="J259" i="2"/>
  <c r="J260" i="2"/>
  <c r="J261" i="2"/>
  <c r="J262" i="2"/>
  <c r="J263" i="2"/>
  <c r="J264" i="2"/>
  <c r="J265" i="2"/>
  <c r="J266" i="2"/>
  <c r="J268" i="2"/>
  <c r="J269" i="2"/>
  <c r="J270" i="2"/>
  <c r="J271" i="2"/>
  <c r="J272" i="2"/>
  <c r="J273" i="2"/>
  <c r="J274" i="2"/>
  <c r="J275" i="2"/>
  <c r="J276" i="2"/>
  <c r="J277" i="2"/>
  <c r="J278" i="2"/>
  <c r="J280" i="2"/>
  <c r="J281" i="2"/>
  <c r="J282" i="2"/>
  <c r="J283" i="2"/>
  <c r="J284" i="2"/>
  <c r="J285" i="2"/>
  <c r="J279" i="2"/>
  <c r="J267" i="2"/>
  <c r="J255" i="2"/>
  <c r="J243" i="2"/>
  <c r="J231" i="2"/>
  <c r="J219" i="2"/>
  <c r="J207" i="2"/>
  <c r="J195" i="2"/>
  <c r="J183" i="2"/>
  <c r="J171" i="2"/>
  <c r="J159" i="2"/>
  <c r="J147" i="2"/>
  <c r="J136" i="2"/>
  <c r="J137" i="2"/>
  <c r="J138" i="2"/>
  <c r="J139" i="2"/>
  <c r="J140" i="2"/>
  <c r="J141" i="2"/>
  <c r="J142" i="2"/>
  <c r="J143" i="2"/>
  <c r="J144" i="2"/>
  <c r="J145" i="2"/>
  <c r="J146" i="2"/>
  <c r="J135" i="2"/>
  <c r="J124" i="2"/>
  <c r="J125" i="2"/>
  <c r="J126" i="2"/>
  <c r="J127" i="2"/>
  <c r="J128" i="2"/>
  <c r="J129" i="2"/>
  <c r="J130" i="2"/>
  <c r="J131" i="2"/>
  <c r="J132" i="2"/>
  <c r="J133" i="2"/>
  <c r="J134" i="2"/>
  <c r="J123" i="2"/>
  <c r="J112" i="2"/>
  <c r="J113" i="2"/>
  <c r="J114" i="2"/>
  <c r="J115" i="2"/>
  <c r="J116" i="2"/>
  <c r="J117" i="2"/>
  <c r="J118" i="2"/>
  <c r="J119" i="2"/>
  <c r="J120" i="2"/>
  <c r="J121" i="2"/>
  <c r="J122" i="2"/>
  <c r="J111" i="2"/>
  <c r="J100" i="2"/>
  <c r="J101" i="2"/>
  <c r="J102" i="2"/>
  <c r="J103" i="2"/>
  <c r="J104" i="2"/>
  <c r="J105" i="2"/>
  <c r="J106" i="2"/>
  <c r="J107" i="2"/>
  <c r="J108" i="2"/>
  <c r="J109" i="2"/>
  <c r="J110" i="2"/>
  <c r="J99" i="2"/>
  <c r="J88" i="2"/>
  <c r="J89" i="2"/>
  <c r="J90" i="2"/>
  <c r="J91" i="2"/>
  <c r="J92" i="2"/>
  <c r="J93" i="2"/>
  <c r="J94" i="2"/>
  <c r="J95" i="2"/>
  <c r="J96" i="2"/>
  <c r="J97" i="2"/>
  <c r="J98" i="2"/>
  <c r="J87" i="2"/>
  <c r="J76" i="2"/>
  <c r="J77" i="2"/>
  <c r="J78" i="2"/>
  <c r="J79" i="2"/>
  <c r="J80" i="2"/>
  <c r="J81" i="2"/>
  <c r="J82" i="2"/>
  <c r="J83" i="2"/>
  <c r="J84" i="2"/>
  <c r="J85" i="2"/>
  <c r="J86" i="2"/>
  <c r="J75" i="2"/>
  <c r="J74" i="2"/>
  <c r="J64" i="2"/>
  <c r="J65" i="2"/>
  <c r="J66" i="2"/>
  <c r="J67" i="2"/>
  <c r="J68" i="2"/>
  <c r="J69" i="2"/>
  <c r="J70" i="2"/>
  <c r="J71" i="2"/>
  <c r="J72" i="2"/>
  <c r="J73" i="2"/>
  <c r="J63" i="2"/>
  <c r="J52" i="2"/>
  <c r="J53" i="2"/>
  <c r="J54" i="2"/>
  <c r="J55" i="2"/>
  <c r="J56" i="2"/>
  <c r="J57" i="2"/>
  <c r="J58" i="2"/>
  <c r="J59" i="2"/>
  <c r="J60" i="2"/>
  <c r="J61" i="2"/>
  <c r="J62" i="2"/>
  <c r="J51" i="2"/>
  <c r="J40" i="2"/>
  <c r="J41" i="2"/>
  <c r="J42" i="2"/>
  <c r="J43" i="2"/>
  <c r="J44" i="2"/>
  <c r="J45" i="2"/>
  <c r="J46" i="2"/>
  <c r="J47" i="2"/>
  <c r="J48" i="2"/>
  <c r="J49" i="2"/>
  <c r="J50" i="2"/>
  <c r="J39" i="2"/>
  <c r="J28" i="2"/>
  <c r="J29" i="2"/>
  <c r="J30" i="2"/>
  <c r="J31" i="2"/>
  <c r="J32" i="2"/>
  <c r="J33" i="2"/>
  <c r="J34" i="2"/>
  <c r="J35" i="2"/>
  <c r="J36" i="2"/>
  <c r="J37" i="2"/>
  <c r="J38" i="2"/>
  <c r="J27" i="2"/>
  <c r="J16" i="2"/>
  <c r="J17" i="2"/>
  <c r="J18" i="2"/>
  <c r="J19" i="2"/>
  <c r="J20" i="2"/>
  <c r="J21" i="2"/>
  <c r="J22" i="2"/>
  <c r="J23" i="2"/>
  <c r="J24" i="2"/>
  <c r="J25" i="2"/>
  <c r="J26" i="2"/>
  <c r="J15" i="2"/>
  <c r="J11" i="2"/>
  <c r="J12" i="2"/>
  <c r="J13" i="2"/>
  <c r="J14" i="2"/>
  <c r="J10" i="2"/>
  <c r="J9" i="2"/>
  <c r="J5" i="3"/>
  <c r="J4" i="3"/>
  <c r="J3" i="3"/>
  <c r="J2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8" i="3"/>
  <c r="G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8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G4" i="3" l="1"/>
  <c r="F338" i="3" s="1"/>
  <c r="G338" i="3" s="1"/>
  <c r="H338" i="3" s="1"/>
  <c r="F170" i="3"/>
  <c r="G170" i="3" s="1"/>
  <c r="H170" i="3" s="1"/>
  <c r="F248" i="3"/>
  <c r="G248" i="3" s="1"/>
  <c r="H248" i="3" s="1"/>
  <c r="F88" i="3"/>
  <c r="G88" i="3" s="1"/>
  <c r="H88" i="3" s="1"/>
  <c r="F56" i="3"/>
  <c r="G56" i="3" s="1"/>
  <c r="H56" i="3" s="1"/>
  <c r="F40" i="3"/>
  <c r="G40" i="3" s="1"/>
  <c r="H40" i="3" s="1"/>
  <c r="F239" i="3"/>
  <c r="G239" i="3" s="1"/>
  <c r="H239" i="3" s="1"/>
  <c r="F223" i="3"/>
  <c r="G223" i="3" s="1"/>
  <c r="H223" i="3" s="1"/>
  <c r="F191" i="3"/>
  <c r="G191" i="3" s="1"/>
  <c r="H191" i="3" s="1"/>
  <c r="F63" i="3"/>
  <c r="G63" i="3" s="1"/>
  <c r="H63" i="3" s="1"/>
  <c r="F47" i="3"/>
  <c r="G47" i="3" s="1"/>
  <c r="H47" i="3" s="1"/>
  <c r="F31" i="3"/>
  <c r="G31" i="3" s="1"/>
  <c r="H31" i="3" s="1"/>
  <c r="F86" i="3"/>
  <c r="G86" i="3" s="1"/>
  <c r="H86" i="3" s="1"/>
  <c r="F54" i="3"/>
  <c r="G54" i="3" s="1"/>
  <c r="H54" i="3" s="1"/>
  <c r="F38" i="3"/>
  <c r="G38" i="3" s="1"/>
  <c r="H38" i="3" s="1"/>
  <c r="F245" i="3"/>
  <c r="G245" i="3" s="1"/>
  <c r="H245" i="3" s="1"/>
  <c r="F229" i="3"/>
  <c r="G229" i="3" s="1"/>
  <c r="H229" i="3" s="1"/>
  <c r="F197" i="3"/>
  <c r="G197" i="3" s="1"/>
  <c r="H197" i="3" s="1"/>
  <c r="F69" i="3"/>
  <c r="G69" i="3" s="1"/>
  <c r="H69" i="3" s="1"/>
  <c r="F53" i="3"/>
  <c r="G53" i="3" s="1"/>
  <c r="H53" i="3" s="1"/>
  <c r="F37" i="3"/>
  <c r="G37" i="3" s="1"/>
  <c r="H37" i="3" s="1"/>
  <c r="F260" i="3"/>
  <c r="G260" i="3" s="1"/>
  <c r="H260" i="3" s="1"/>
  <c r="F244" i="3"/>
  <c r="G244" i="3" s="1"/>
  <c r="H244" i="3" s="1"/>
  <c r="F212" i="3"/>
  <c r="G212" i="3" s="1"/>
  <c r="H212" i="3" s="1"/>
  <c r="F196" i="3"/>
  <c r="G196" i="3" s="1"/>
  <c r="H196" i="3" s="1"/>
  <c r="F124" i="3"/>
  <c r="G124" i="3" s="1"/>
  <c r="H124" i="3" s="1"/>
  <c r="F116" i="3"/>
  <c r="G116" i="3" s="1"/>
  <c r="H116" i="3" s="1"/>
  <c r="F84" i="3"/>
  <c r="G84" i="3" s="1"/>
  <c r="H84" i="3" s="1"/>
  <c r="F68" i="3"/>
  <c r="G68" i="3" s="1"/>
  <c r="H68" i="3" s="1"/>
  <c r="F102" i="3" l="1"/>
  <c r="G102" i="3" s="1"/>
  <c r="H102" i="3" s="1"/>
  <c r="F95" i="3"/>
  <c r="G95" i="3" s="1"/>
  <c r="H95" i="3" s="1"/>
  <c r="F186" i="3"/>
  <c r="G186" i="3" s="1"/>
  <c r="H186" i="3" s="1"/>
  <c r="F132" i="3"/>
  <c r="G132" i="3" s="1"/>
  <c r="H132" i="3" s="1"/>
  <c r="F276" i="3"/>
  <c r="G276" i="3" s="1"/>
  <c r="H276" i="3" s="1"/>
  <c r="F117" i="3"/>
  <c r="G117" i="3" s="1"/>
  <c r="H117" i="3" s="1"/>
  <c r="F293" i="3"/>
  <c r="G293" i="3" s="1"/>
  <c r="H293" i="3" s="1"/>
  <c r="F118" i="3"/>
  <c r="G118" i="3" s="1"/>
  <c r="H118" i="3" s="1"/>
  <c r="F111" i="3"/>
  <c r="G111" i="3" s="1"/>
  <c r="H111" i="3" s="1"/>
  <c r="F287" i="3"/>
  <c r="G287" i="3" s="1"/>
  <c r="H287" i="3" s="1"/>
  <c r="F120" i="3"/>
  <c r="G120" i="3" s="1"/>
  <c r="H120" i="3" s="1"/>
  <c r="F42" i="3"/>
  <c r="G42" i="3" s="1"/>
  <c r="H42" i="3" s="1"/>
  <c r="F218" i="3"/>
  <c r="G218" i="3" s="1"/>
  <c r="H218" i="3" s="1"/>
  <c r="F261" i="3"/>
  <c r="G261" i="3" s="1"/>
  <c r="H261" i="3" s="1"/>
  <c r="F255" i="3"/>
  <c r="G255" i="3" s="1"/>
  <c r="H255" i="3" s="1"/>
  <c r="F26" i="3"/>
  <c r="G26" i="3" s="1"/>
  <c r="H26" i="3" s="1"/>
  <c r="F20" i="3"/>
  <c r="G20" i="3" s="1"/>
  <c r="H20" i="3" s="1"/>
  <c r="F148" i="3"/>
  <c r="G148" i="3" s="1"/>
  <c r="H148" i="3" s="1"/>
  <c r="F308" i="3"/>
  <c r="G308" i="3" s="1"/>
  <c r="H308" i="3" s="1"/>
  <c r="F133" i="3"/>
  <c r="G133" i="3" s="1"/>
  <c r="H133" i="3" s="1"/>
  <c r="F309" i="3"/>
  <c r="G309" i="3" s="1"/>
  <c r="H309" i="3" s="1"/>
  <c r="F150" i="3"/>
  <c r="G150" i="3" s="1"/>
  <c r="H150" i="3" s="1"/>
  <c r="F127" i="3"/>
  <c r="G127" i="3" s="1"/>
  <c r="H127" i="3" s="1"/>
  <c r="F303" i="3"/>
  <c r="G303" i="3" s="1"/>
  <c r="H303" i="3" s="1"/>
  <c r="F152" i="3"/>
  <c r="G152" i="3" s="1"/>
  <c r="H152" i="3" s="1"/>
  <c r="F58" i="3"/>
  <c r="G58" i="3" s="1"/>
  <c r="H58" i="3" s="1"/>
  <c r="F234" i="3"/>
  <c r="G234" i="3" s="1"/>
  <c r="H234" i="3" s="1"/>
  <c r="F101" i="3"/>
  <c r="G101" i="3" s="1"/>
  <c r="H101" i="3" s="1"/>
  <c r="F104" i="3"/>
  <c r="G104" i="3" s="1"/>
  <c r="H104" i="3" s="1"/>
  <c r="F52" i="3"/>
  <c r="G52" i="3" s="1"/>
  <c r="H52" i="3" s="1"/>
  <c r="F180" i="3"/>
  <c r="G180" i="3" s="1"/>
  <c r="H180" i="3" s="1"/>
  <c r="F324" i="3"/>
  <c r="G324" i="3" s="1"/>
  <c r="H324" i="3" s="1"/>
  <c r="F165" i="3"/>
  <c r="G165" i="3" s="1"/>
  <c r="H165" i="3" s="1"/>
  <c r="F325" i="3"/>
  <c r="G325" i="3" s="1"/>
  <c r="H325" i="3" s="1"/>
  <c r="F166" i="3"/>
  <c r="G166" i="3" s="1"/>
  <c r="H166" i="3" s="1"/>
  <c r="F159" i="3"/>
  <c r="G159" i="3" s="1"/>
  <c r="H159" i="3" s="1"/>
  <c r="F319" i="3"/>
  <c r="G319" i="3" s="1"/>
  <c r="H319" i="3" s="1"/>
  <c r="F168" i="3"/>
  <c r="G168" i="3" s="1"/>
  <c r="H168" i="3" s="1"/>
  <c r="F90" i="3"/>
  <c r="G90" i="3" s="1"/>
  <c r="H90" i="3" s="1"/>
  <c r="F250" i="3"/>
  <c r="G250" i="3" s="1"/>
  <c r="H250" i="3" s="1"/>
  <c r="F60" i="3"/>
  <c r="G60" i="3" s="1"/>
  <c r="H60" i="3" s="1"/>
  <c r="F188" i="3"/>
  <c r="G188" i="3" s="1"/>
  <c r="H188" i="3" s="1"/>
  <c r="F340" i="3"/>
  <c r="G340" i="3" s="1"/>
  <c r="H340" i="3" s="1"/>
  <c r="F181" i="3"/>
  <c r="G181" i="3" s="1"/>
  <c r="H181" i="3" s="1"/>
  <c r="F22" i="3"/>
  <c r="G22" i="3" s="1"/>
  <c r="H22" i="3" s="1"/>
  <c r="F182" i="3"/>
  <c r="G182" i="3" s="1"/>
  <c r="H182" i="3" s="1"/>
  <c r="F175" i="3"/>
  <c r="G175" i="3" s="1"/>
  <c r="H175" i="3" s="1"/>
  <c r="F24" i="3"/>
  <c r="G24" i="3" s="1"/>
  <c r="H24" i="3" s="1"/>
  <c r="F184" i="3"/>
  <c r="G184" i="3" s="1"/>
  <c r="H184" i="3" s="1"/>
  <c r="F106" i="3"/>
  <c r="G106" i="3" s="1"/>
  <c r="H106" i="3" s="1"/>
  <c r="F282" i="3"/>
  <c r="G282" i="3" s="1"/>
  <c r="H282" i="3" s="1"/>
  <c r="F216" i="3"/>
  <c r="G216" i="3" s="1"/>
  <c r="H216" i="3" s="1"/>
  <c r="F122" i="3"/>
  <c r="G122" i="3" s="1"/>
  <c r="H122" i="3" s="1"/>
  <c r="F298" i="3"/>
  <c r="G298" i="3" s="1"/>
  <c r="H298" i="3" s="1"/>
  <c r="F232" i="3"/>
  <c r="G232" i="3" s="1"/>
  <c r="H232" i="3" s="1"/>
  <c r="F154" i="3"/>
  <c r="G154" i="3" s="1"/>
  <c r="H154" i="3" s="1"/>
  <c r="F314" i="3"/>
  <c r="G314" i="3" s="1"/>
  <c r="H314" i="3" s="1"/>
  <c r="F76" i="3"/>
  <c r="G76" i="3" s="1"/>
  <c r="H76" i="3" s="1"/>
  <c r="F140" i="3"/>
  <c r="G140" i="3" s="1"/>
  <c r="H140" i="3" s="1"/>
  <c r="F204" i="3"/>
  <c r="G204" i="3" s="1"/>
  <c r="H204" i="3" s="1"/>
  <c r="F268" i="3"/>
  <c r="G268" i="3" s="1"/>
  <c r="H268" i="3" s="1"/>
  <c r="F332" i="3"/>
  <c r="G332" i="3" s="1"/>
  <c r="H332" i="3" s="1"/>
  <c r="F61" i="3"/>
  <c r="G61" i="3" s="1"/>
  <c r="H61" i="3" s="1"/>
  <c r="F125" i="3"/>
  <c r="G125" i="3" s="1"/>
  <c r="H125" i="3" s="1"/>
  <c r="F189" i="3"/>
  <c r="G189" i="3" s="1"/>
  <c r="H189" i="3" s="1"/>
  <c r="F253" i="3"/>
  <c r="G253" i="3" s="1"/>
  <c r="H253" i="3" s="1"/>
  <c r="F317" i="3"/>
  <c r="G317" i="3" s="1"/>
  <c r="H317" i="3" s="1"/>
  <c r="F46" i="3"/>
  <c r="G46" i="3" s="1"/>
  <c r="H46" i="3" s="1"/>
  <c r="F110" i="3"/>
  <c r="G110" i="3" s="1"/>
  <c r="H110" i="3" s="1"/>
  <c r="F174" i="3"/>
  <c r="G174" i="3" s="1"/>
  <c r="H174" i="3" s="1"/>
  <c r="F55" i="3"/>
  <c r="G55" i="3" s="1"/>
  <c r="H55" i="3" s="1"/>
  <c r="F119" i="3"/>
  <c r="G119" i="3" s="1"/>
  <c r="H119" i="3" s="1"/>
  <c r="F183" i="3"/>
  <c r="G183" i="3" s="1"/>
  <c r="H183" i="3" s="1"/>
  <c r="F247" i="3"/>
  <c r="G247" i="3" s="1"/>
  <c r="H247" i="3" s="1"/>
  <c r="F311" i="3"/>
  <c r="G311" i="3" s="1"/>
  <c r="H311" i="3" s="1"/>
  <c r="F48" i="3"/>
  <c r="G48" i="3" s="1"/>
  <c r="H48" i="3" s="1"/>
  <c r="F112" i="3"/>
  <c r="G112" i="3" s="1"/>
  <c r="H112" i="3" s="1"/>
  <c r="F176" i="3"/>
  <c r="G176" i="3" s="1"/>
  <c r="H176" i="3" s="1"/>
  <c r="F240" i="3"/>
  <c r="G240" i="3" s="1"/>
  <c r="H240" i="3" s="1"/>
  <c r="F50" i="3"/>
  <c r="G50" i="3" s="1"/>
  <c r="H50" i="3" s="1"/>
  <c r="F114" i="3"/>
  <c r="G114" i="3" s="1"/>
  <c r="H114" i="3" s="1"/>
  <c r="F178" i="3"/>
  <c r="G178" i="3" s="1"/>
  <c r="H178" i="3" s="1"/>
  <c r="F242" i="3"/>
  <c r="G242" i="3" s="1"/>
  <c r="H242" i="3" s="1"/>
  <c r="F306" i="3"/>
  <c r="G306" i="3" s="1"/>
  <c r="H306" i="3" s="1"/>
  <c r="F28" i="3"/>
  <c r="G28" i="3" s="1"/>
  <c r="H28" i="3" s="1"/>
  <c r="F92" i="3"/>
  <c r="G92" i="3" s="1"/>
  <c r="H92" i="3" s="1"/>
  <c r="F156" i="3"/>
  <c r="G156" i="3" s="1"/>
  <c r="H156" i="3" s="1"/>
  <c r="F220" i="3"/>
  <c r="G220" i="3" s="1"/>
  <c r="H220" i="3" s="1"/>
  <c r="F284" i="3"/>
  <c r="G284" i="3" s="1"/>
  <c r="H284" i="3" s="1"/>
  <c r="F13" i="3"/>
  <c r="G13" i="3" s="1"/>
  <c r="H13" i="3" s="1"/>
  <c r="F77" i="3"/>
  <c r="G77" i="3" s="1"/>
  <c r="H77" i="3" s="1"/>
  <c r="F141" i="3"/>
  <c r="G141" i="3" s="1"/>
  <c r="H141" i="3" s="1"/>
  <c r="F205" i="3"/>
  <c r="G205" i="3" s="1"/>
  <c r="H205" i="3" s="1"/>
  <c r="F269" i="3"/>
  <c r="G269" i="3" s="1"/>
  <c r="H269" i="3" s="1"/>
  <c r="F333" i="3"/>
  <c r="G333" i="3" s="1"/>
  <c r="H333" i="3" s="1"/>
  <c r="F62" i="3"/>
  <c r="G62" i="3" s="1"/>
  <c r="H62" i="3" s="1"/>
  <c r="F126" i="3"/>
  <c r="G126" i="3" s="1"/>
  <c r="H126" i="3" s="1"/>
  <c r="F190" i="3"/>
  <c r="G190" i="3" s="1"/>
  <c r="H190" i="3" s="1"/>
  <c r="F71" i="3"/>
  <c r="G71" i="3" s="1"/>
  <c r="H71" i="3" s="1"/>
  <c r="F135" i="3"/>
  <c r="G135" i="3" s="1"/>
  <c r="H135" i="3" s="1"/>
  <c r="F199" i="3"/>
  <c r="G199" i="3" s="1"/>
  <c r="H199" i="3" s="1"/>
  <c r="F263" i="3"/>
  <c r="G263" i="3" s="1"/>
  <c r="H263" i="3" s="1"/>
  <c r="F327" i="3"/>
  <c r="G327" i="3" s="1"/>
  <c r="H327" i="3" s="1"/>
  <c r="F64" i="3"/>
  <c r="G64" i="3" s="1"/>
  <c r="H64" i="3" s="1"/>
  <c r="F128" i="3"/>
  <c r="G128" i="3" s="1"/>
  <c r="H128" i="3" s="1"/>
  <c r="F192" i="3"/>
  <c r="G192" i="3" s="1"/>
  <c r="H192" i="3" s="1"/>
  <c r="F256" i="3"/>
  <c r="G256" i="3" s="1"/>
  <c r="H256" i="3" s="1"/>
  <c r="F66" i="3"/>
  <c r="G66" i="3" s="1"/>
  <c r="H66" i="3" s="1"/>
  <c r="F130" i="3"/>
  <c r="G130" i="3" s="1"/>
  <c r="H130" i="3" s="1"/>
  <c r="F194" i="3"/>
  <c r="G194" i="3" s="1"/>
  <c r="H194" i="3" s="1"/>
  <c r="F258" i="3"/>
  <c r="G258" i="3" s="1"/>
  <c r="H258" i="3" s="1"/>
  <c r="F322" i="3"/>
  <c r="G322" i="3" s="1"/>
  <c r="H322" i="3" s="1"/>
  <c r="F36" i="3"/>
  <c r="G36" i="3" s="1"/>
  <c r="H36" i="3" s="1"/>
  <c r="F100" i="3"/>
  <c r="G100" i="3" s="1"/>
  <c r="H100" i="3" s="1"/>
  <c r="F164" i="3"/>
  <c r="G164" i="3" s="1"/>
  <c r="H164" i="3" s="1"/>
  <c r="F228" i="3"/>
  <c r="G228" i="3" s="1"/>
  <c r="H228" i="3" s="1"/>
  <c r="F292" i="3"/>
  <c r="G292" i="3" s="1"/>
  <c r="H292" i="3" s="1"/>
  <c r="F21" i="3"/>
  <c r="G21" i="3" s="1"/>
  <c r="H21" i="3" s="1"/>
  <c r="F85" i="3"/>
  <c r="G85" i="3" s="1"/>
  <c r="H85" i="3" s="1"/>
  <c r="F149" i="3"/>
  <c r="G149" i="3" s="1"/>
  <c r="H149" i="3" s="1"/>
  <c r="F213" i="3"/>
  <c r="G213" i="3" s="1"/>
  <c r="H213" i="3" s="1"/>
  <c r="F277" i="3"/>
  <c r="G277" i="3" s="1"/>
  <c r="H277" i="3" s="1"/>
  <c r="F8" i="3"/>
  <c r="G8" i="3" s="1"/>
  <c r="H8" i="3" s="1"/>
  <c r="F70" i="3"/>
  <c r="G70" i="3" s="1"/>
  <c r="H70" i="3" s="1"/>
  <c r="F134" i="3"/>
  <c r="G134" i="3" s="1"/>
  <c r="H134" i="3" s="1"/>
  <c r="F15" i="3"/>
  <c r="G15" i="3" s="1"/>
  <c r="H15" i="3" s="1"/>
  <c r="F79" i="3"/>
  <c r="G79" i="3" s="1"/>
  <c r="H79" i="3" s="1"/>
  <c r="F143" i="3"/>
  <c r="G143" i="3" s="1"/>
  <c r="H143" i="3" s="1"/>
  <c r="F207" i="3"/>
  <c r="G207" i="3" s="1"/>
  <c r="H207" i="3" s="1"/>
  <c r="F271" i="3"/>
  <c r="G271" i="3" s="1"/>
  <c r="H271" i="3" s="1"/>
  <c r="F335" i="3"/>
  <c r="G335" i="3" s="1"/>
  <c r="H335" i="3" s="1"/>
  <c r="F72" i="3"/>
  <c r="G72" i="3" s="1"/>
  <c r="H72" i="3" s="1"/>
  <c r="F136" i="3"/>
  <c r="G136" i="3" s="1"/>
  <c r="H136" i="3" s="1"/>
  <c r="F200" i="3"/>
  <c r="G200" i="3" s="1"/>
  <c r="H200" i="3" s="1"/>
  <c r="F10" i="3"/>
  <c r="G10" i="3" s="1"/>
  <c r="H10" i="3" s="1"/>
  <c r="F74" i="3"/>
  <c r="G74" i="3" s="1"/>
  <c r="H74" i="3" s="1"/>
  <c r="F138" i="3"/>
  <c r="G138" i="3" s="1"/>
  <c r="H138" i="3" s="1"/>
  <c r="F202" i="3"/>
  <c r="G202" i="3" s="1"/>
  <c r="H202" i="3" s="1"/>
  <c r="F266" i="3"/>
  <c r="G266" i="3" s="1"/>
  <c r="H266" i="3" s="1"/>
  <c r="F330" i="3"/>
  <c r="G330" i="3" s="1"/>
  <c r="H330" i="3" s="1"/>
  <c r="F44" i="3"/>
  <c r="G44" i="3" s="1"/>
  <c r="H44" i="3" s="1"/>
  <c r="F108" i="3"/>
  <c r="G108" i="3" s="1"/>
  <c r="H108" i="3" s="1"/>
  <c r="F172" i="3"/>
  <c r="G172" i="3" s="1"/>
  <c r="H172" i="3" s="1"/>
  <c r="F236" i="3"/>
  <c r="G236" i="3" s="1"/>
  <c r="H236" i="3" s="1"/>
  <c r="F300" i="3"/>
  <c r="G300" i="3" s="1"/>
  <c r="H300" i="3" s="1"/>
  <c r="F29" i="3"/>
  <c r="G29" i="3" s="1"/>
  <c r="H29" i="3" s="1"/>
  <c r="F93" i="3"/>
  <c r="G93" i="3" s="1"/>
  <c r="H93" i="3" s="1"/>
  <c r="F157" i="3"/>
  <c r="G157" i="3" s="1"/>
  <c r="H157" i="3" s="1"/>
  <c r="F221" i="3"/>
  <c r="G221" i="3" s="1"/>
  <c r="H221" i="3" s="1"/>
  <c r="F285" i="3"/>
  <c r="G285" i="3" s="1"/>
  <c r="H285" i="3" s="1"/>
  <c r="F14" i="3"/>
  <c r="G14" i="3" s="1"/>
  <c r="H14" i="3" s="1"/>
  <c r="F78" i="3"/>
  <c r="G78" i="3" s="1"/>
  <c r="H78" i="3" s="1"/>
  <c r="F142" i="3"/>
  <c r="G142" i="3" s="1"/>
  <c r="H142" i="3" s="1"/>
  <c r="F23" i="3"/>
  <c r="G23" i="3" s="1"/>
  <c r="H23" i="3" s="1"/>
  <c r="F87" i="3"/>
  <c r="G87" i="3" s="1"/>
  <c r="H87" i="3" s="1"/>
  <c r="F151" i="3"/>
  <c r="G151" i="3" s="1"/>
  <c r="H151" i="3" s="1"/>
  <c r="F215" i="3"/>
  <c r="G215" i="3" s="1"/>
  <c r="H215" i="3" s="1"/>
  <c r="F279" i="3"/>
  <c r="G279" i="3" s="1"/>
  <c r="H279" i="3" s="1"/>
  <c r="F16" i="3"/>
  <c r="G16" i="3" s="1"/>
  <c r="H16" i="3" s="1"/>
  <c r="F80" i="3"/>
  <c r="G80" i="3" s="1"/>
  <c r="H80" i="3" s="1"/>
  <c r="F144" i="3"/>
  <c r="G144" i="3" s="1"/>
  <c r="H144" i="3" s="1"/>
  <c r="F208" i="3"/>
  <c r="G208" i="3" s="1"/>
  <c r="H208" i="3" s="1"/>
  <c r="F18" i="3"/>
  <c r="G18" i="3" s="1"/>
  <c r="H18" i="3" s="1"/>
  <c r="F82" i="3"/>
  <c r="G82" i="3" s="1"/>
  <c r="H82" i="3" s="1"/>
  <c r="F146" i="3"/>
  <c r="G146" i="3" s="1"/>
  <c r="H146" i="3" s="1"/>
  <c r="F210" i="3"/>
  <c r="G210" i="3" s="1"/>
  <c r="H210" i="3" s="1"/>
  <c r="F274" i="3"/>
  <c r="G274" i="3" s="1"/>
  <c r="H274" i="3" s="1"/>
  <c r="F206" i="3"/>
  <c r="G206" i="3" s="1"/>
  <c r="H206" i="3" s="1"/>
  <c r="F318" i="3"/>
  <c r="G318" i="3" s="1"/>
  <c r="H318" i="3" s="1"/>
  <c r="F310" i="3"/>
  <c r="G310" i="3" s="1"/>
  <c r="H310" i="3" s="1"/>
  <c r="F198" i="3"/>
  <c r="G198" i="3" s="1"/>
  <c r="H198" i="3" s="1"/>
  <c r="F214" i="3"/>
  <c r="G214" i="3" s="1"/>
  <c r="H214" i="3" s="1"/>
  <c r="F222" i="3"/>
  <c r="G222" i="3" s="1"/>
  <c r="H222" i="3" s="1"/>
  <c r="F230" i="3"/>
  <c r="G230" i="3" s="1"/>
  <c r="H230" i="3" s="1"/>
  <c r="F238" i="3"/>
  <c r="G238" i="3" s="1"/>
  <c r="H238" i="3" s="1"/>
  <c r="F246" i="3"/>
  <c r="G246" i="3" s="1"/>
  <c r="H246" i="3" s="1"/>
  <c r="F254" i="3"/>
  <c r="G254" i="3" s="1"/>
  <c r="H254" i="3" s="1"/>
  <c r="F262" i="3"/>
  <c r="G262" i="3" s="1"/>
  <c r="H262" i="3" s="1"/>
  <c r="F270" i="3"/>
  <c r="G270" i="3" s="1"/>
  <c r="H270" i="3" s="1"/>
  <c r="F278" i="3"/>
  <c r="G278" i="3" s="1"/>
  <c r="H278" i="3" s="1"/>
  <c r="F286" i="3"/>
  <c r="G286" i="3" s="1"/>
  <c r="H286" i="3" s="1"/>
  <c r="F294" i="3"/>
  <c r="G294" i="3" s="1"/>
  <c r="H294" i="3" s="1"/>
  <c r="F302" i="3"/>
  <c r="G302" i="3" s="1"/>
  <c r="H302" i="3" s="1"/>
  <c r="F326" i="3"/>
  <c r="G326" i="3" s="1"/>
  <c r="H326" i="3" s="1"/>
  <c r="F334" i="3"/>
  <c r="G334" i="3" s="1"/>
  <c r="H334" i="3" s="1"/>
  <c r="F17" i="3"/>
  <c r="G17" i="3" s="1"/>
  <c r="H17" i="3" s="1"/>
  <c r="F33" i="3"/>
  <c r="G33" i="3" s="1"/>
  <c r="H33" i="3" s="1"/>
  <c r="F49" i="3"/>
  <c r="G49" i="3" s="1"/>
  <c r="H49" i="3" s="1"/>
  <c r="F65" i="3"/>
  <c r="G65" i="3" s="1"/>
  <c r="H65" i="3" s="1"/>
  <c r="F81" i="3"/>
  <c r="G81" i="3" s="1"/>
  <c r="H81" i="3" s="1"/>
  <c r="F97" i="3"/>
  <c r="G97" i="3" s="1"/>
  <c r="H97" i="3" s="1"/>
  <c r="F113" i="3"/>
  <c r="G113" i="3" s="1"/>
  <c r="H113" i="3" s="1"/>
  <c r="F129" i="3"/>
  <c r="G129" i="3" s="1"/>
  <c r="H129" i="3" s="1"/>
  <c r="F145" i="3"/>
  <c r="G145" i="3" s="1"/>
  <c r="H145" i="3" s="1"/>
  <c r="F161" i="3"/>
  <c r="G161" i="3" s="1"/>
  <c r="H161" i="3" s="1"/>
  <c r="F177" i="3"/>
  <c r="G177" i="3" s="1"/>
  <c r="H177" i="3" s="1"/>
  <c r="F193" i="3"/>
  <c r="G193" i="3" s="1"/>
  <c r="H193" i="3" s="1"/>
  <c r="F209" i="3"/>
  <c r="G209" i="3" s="1"/>
  <c r="H209" i="3" s="1"/>
  <c r="F225" i="3"/>
  <c r="G225" i="3" s="1"/>
  <c r="H225" i="3" s="1"/>
  <c r="F241" i="3"/>
  <c r="G241" i="3" s="1"/>
  <c r="H241" i="3" s="1"/>
  <c r="F257" i="3"/>
  <c r="G257" i="3" s="1"/>
  <c r="H257" i="3" s="1"/>
  <c r="F264" i="3"/>
  <c r="G264" i="3" s="1"/>
  <c r="H264" i="3" s="1"/>
  <c r="F272" i="3"/>
  <c r="G272" i="3" s="1"/>
  <c r="H272" i="3" s="1"/>
  <c r="F280" i="3"/>
  <c r="G280" i="3" s="1"/>
  <c r="H280" i="3" s="1"/>
  <c r="F288" i="3"/>
  <c r="G288" i="3" s="1"/>
  <c r="H288" i="3" s="1"/>
  <c r="F296" i="3"/>
  <c r="G296" i="3" s="1"/>
  <c r="H296" i="3" s="1"/>
  <c r="F304" i="3"/>
  <c r="G304" i="3" s="1"/>
  <c r="H304" i="3" s="1"/>
  <c r="F312" i="3"/>
  <c r="G312" i="3" s="1"/>
  <c r="H312" i="3" s="1"/>
  <c r="F320" i="3"/>
  <c r="G320" i="3" s="1"/>
  <c r="H320" i="3" s="1"/>
  <c r="F328" i="3"/>
  <c r="G328" i="3" s="1"/>
  <c r="H328" i="3" s="1"/>
  <c r="F336" i="3"/>
  <c r="G336" i="3" s="1"/>
  <c r="H336" i="3" s="1"/>
  <c r="F9" i="3"/>
  <c r="G9" i="3" s="1"/>
  <c r="H9" i="3" s="1"/>
  <c r="F25" i="3"/>
  <c r="G25" i="3" s="1"/>
  <c r="H25" i="3" s="1"/>
  <c r="F41" i="3"/>
  <c r="G41" i="3" s="1"/>
  <c r="H41" i="3" s="1"/>
  <c r="F57" i="3"/>
  <c r="G57" i="3" s="1"/>
  <c r="H57" i="3" s="1"/>
  <c r="F73" i="3"/>
  <c r="G73" i="3" s="1"/>
  <c r="H73" i="3" s="1"/>
  <c r="F89" i="3"/>
  <c r="G89" i="3" s="1"/>
  <c r="H89" i="3" s="1"/>
  <c r="F105" i="3"/>
  <c r="G105" i="3" s="1"/>
  <c r="H105" i="3" s="1"/>
  <c r="F121" i="3"/>
  <c r="G121" i="3" s="1"/>
  <c r="H121" i="3" s="1"/>
  <c r="F137" i="3"/>
  <c r="G137" i="3" s="1"/>
  <c r="H137" i="3" s="1"/>
  <c r="F153" i="3"/>
  <c r="G153" i="3" s="1"/>
  <c r="H153" i="3" s="1"/>
  <c r="F169" i="3"/>
  <c r="G169" i="3" s="1"/>
  <c r="H169" i="3" s="1"/>
  <c r="F185" i="3"/>
  <c r="G185" i="3" s="1"/>
  <c r="H185" i="3" s="1"/>
  <c r="F201" i="3"/>
  <c r="G201" i="3" s="1"/>
  <c r="H201" i="3" s="1"/>
  <c r="F217" i="3"/>
  <c r="G217" i="3" s="1"/>
  <c r="H217" i="3" s="1"/>
  <c r="F233" i="3"/>
  <c r="G233" i="3" s="1"/>
  <c r="H233" i="3" s="1"/>
  <c r="F249" i="3"/>
  <c r="G249" i="3" s="1"/>
  <c r="H249" i="3" s="1"/>
  <c r="F265" i="3"/>
  <c r="G265" i="3" s="1"/>
  <c r="H265" i="3" s="1"/>
  <c r="F273" i="3"/>
  <c r="G273" i="3" s="1"/>
  <c r="H273" i="3" s="1"/>
  <c r="F11" i="3"/>
  <c r="G11" i="3" s="1"/>
  <c r="H11" i="3" s="1"/>
  <c r="F19" i="3"/>
  <c r="G19" i="3" s="1"/>
  <c r="H19" i="3" s="1"/>
  <c r="F27" i="3"/>
  <c r="G27" i="3" s="1"/>
  <c r="H27" i="3" s="1"/>
  <c r="F35" i="3"/>
  <c r="G35" i="3" s="1"/>
  <c r="H35" i="3" s="1"/>
  <c r="F43" i="3"/>
  <c r="G43" i="3" s="1"/>
  <c r="H43" i="3" s="1"/>
  <c r="F51" i="3"/>
  <c r="G51" i="3" s="1"/>
  <c r="H51" i="3" s="1"/>
  <c r="F59" i="3"/>
  <c r="G59" i="3" s="1"/>
  <c r="H59" i="3" s="1"/>
  <c r="F67" i="3"/>
  <c r="G67" i="3" s="1"/>
  <c r="H67" i="3" s="1"/>
  <c r="F75" i="3"/>
  <c r="G75" i="3" s="1"/>
  <c r="H75" i="3" s="1"/>
  <c r="F83" i="3"/>
  <c r="G83" i="3" s="1"/>
  <c r="H83" i="3" s="1"/>
  <c r="F91" i="3"/>
  <c r="G91" i="3" s="1"/>
  <c r="H91" i="3" s="1"/>
  <c r="F99" i="3"/>
  <c r="G99" i="3" s="1"/>
  <c r="H99" i="3" s="1"/>
  <c r="F107" i="3"/>
  <c r="G107" i="3" s="1"/>
  <c r="H107" i="3" s="1"/>
  <c r="F115" i="3"/>
  <c r="G115" i="3" s="1"/>
  <c r="H115" i="3" s="1"/>
  <c r="F179" i="3"/>
  <c r="G179" i="3" s="1"/>
  <c r="H179" i="3" s="1"/>
  <c r="F243" i="3"/>
  <c r="G243" i="3" s="1"/>
  <c r="H243" i="3" s="1"/>
  <c r="F291" i="3"/>
  <c r="G291" i="3" s="1"/>
  <c r="H291" i="3" s="1"/>
  <c r="F323" i="3"/>
  <c r="G323" i="3" s="1"/>
  <c r="H323" i="3" s="1"/>
  <c r="F321" i="3"/>
  <c r="G321" i="3" s="1"/>
  <c r="H321" i="3" s="1"/>
  <c r="F123" i="3"/>
  <c r="G123" i="3" s="1"/>
  <c r="H123" i="3" s="1"/>
  <c r="F187" i="3"/>
  <c r="G187" i="3" s="1"/>
  <c r="H187" i="3" s="1"/>
  <c r="F251" i="3"/>
  <c r="G251" i="3" s="1"/>
  <c r="H251" i="3" s="1"/>
  <c r="F297" i="3"/>
  <c r="G297" i="3" s="1"/>
  <c r="H297" i="3" s="1"/>
  <c r="F329" i="3"/>
  <c r="G329" i="3" s="1"/>
  <c r="H329" i="3" s="1"/>
  <c r="F131" i="3"/>
  <c r="G131" i="3" s="1"/>
  <c r="H131" i="3" s="1"/>
  <c r="F195" i="3"/>
  <c r="G195" i="3" s="1"/>
  <c r="H195" i="3" s="1"/>
  <c r="F259" i="3"/>
  <c r="G259" i="3" s="1"/>
  <c r="H259" i="3" s="1"/>
  <c r="F299" i="3"/>
  <c r="G299" i="3" s="1"/>
  <c r="H299" i="3" s="1"/>
  <c r="F331" i="3"/>
  <c r="G331" i="3" s="1"/>
  <c r="H331" i="3" s="1"/>
  <c r="F289" i="3"/>
  <c r="G289" i="3" s="1"/>
  <c r="H289" i="3" s="1"/>
  <c r="F139" i="3"/>
  <c r="G139" i="3" s="1"/>
  <c r="H139" i="3" s="1"/>
  <c r="F203" i="3"/>
  <c r="G203" i="3" s="1"/>
  <c r="H203" i="3" s="1"/>
  <c r="F267" i="3"/>
  <c r="G267" i="3" s="1"/>
  <c r="H267" i="3" s="1"/>
  <c r="F305" i="3"/>
  <c r="G305" i="3" s="1"/>
  <c r="H305" i="3" s="1"/>
  <c r="F337" i="3"/>
  <c r="G337" i="3" s="1"/>
  <c r="H337" i="3" s="1"/>
  <c r="F147" i="3"/>
  <c r="G147" i="3" s="1"/>
  <c r="H147" i="3" s="1"/>
  <c r="F211" i="3"/>
  <c r="G211" i="3" s="1"/>
  <c r="H211" i="3" s="1"/>
  <c r="F275" i="3"/>
  <c r="G275" i="3" s="1"/>
  <c r="H275" i="3" s="1"/>
  <c r="F307" i="3"/>
  <c r="G307" i="3" s="1"/>
  <c r="H307" i="3" s="1"/>
  <c r="F339" i="3"/>
  <c r="G339" i="3" s="1"/>
  <c r="H339" i="3" s="1"/>
  <c r="F155" i="3"/>
  <c r="G155" i="3" s="1"/>
  <c r="H155" i="3" s="1"/>
  <c r="F219" i="3"/>
  <c r="G219" i="3" s="1"/>
  <c r="H219" i="3" s="1"/>
  <c r="F281" i="3"/>
  <c r="G281" i="3" s="1"/>
  <c r="H281" i="3" s="1"/>
  <c r="F313" i="3"/>
  <c r="G313" i="3" s="1"/>
  <c r="H313" i="3" s="1"/>
  <c r="F171" i="3"/>
  <c r="G171" i="3" s="1"/>
  <c r="H171" i="3" s="1"/>
  <c r="F163" i="3"/>
  <c r="G163" i="3" s="1"/>
  <c r="H163" i="3" s="1"/>
  <c r="F227" i="3"/>
  <c r="G227" i="3" s="1"/>
  <c r="H227" i="3" s="1"/>
  <c r="F283" i="3"/>
  <c r="G283" i="3" s="1"/>
  <c r="H283" i="3" s="1"/>
  <c r="F315" i="3"/>
  <c r="G315" i="3" s="1"/>
  <c r="H315" i="3" s="1"/>
  <c r="F235" i="3"/>
  <c r="G235" i="3" s="1"/>
  <c r="H235" i="3" s="1"/>
  <c r="F252" i="3"/>
  <c r="G252" i="3" s="1"/>
  <c r="H252" i="3" s="1"/>
  <c r="F316" i="3"/>
  <c r="G316" i="3" s="1"/>
  <c r="H316" i="3" s="1"/>
  <c r="F45" i="3"/>
  <c r="G45" i="3" s="1"/>
  <c r="H45" i="3" s="1"/>
  <c r="F109" i="3"/>
  <c r="G109" i="3" s="1"/>
  <c r="H109" i="3" s="1"/>
  <c r="F173" i="3"/>
  <c r="G173" i="3" s="1"/>
  <c r="H173" i="3" s="1"/>
  <c r="F237" i="3"/>
  <c r="G237" i="3" s="1"/>
  <c r="H237" i="3" s="1"/>
  <c r="F301" i="3"/>
  <c r="G301" i="3" s="1"/>
  <c r="H301" i="3" s="1"/>
  <c r="F30" i="3"/>
  <c r="G30" i="3" s="1"/>
  <c r="H30" i="3" s="1"/>
  <c r="F94" i="3"/>
  <c r="G94" i="3" s="1"/>
  <c r="H94" i="3" s="1"/>
  <c r="F158" i="3"/>
  <c r="G158" i="3" s="1"/>
  <c r="H158" i="3" s="1"/>
  <c r="F39" i="3"/>
  <c r="G39" i="3" s="1"/>
  <c r="H39" i="3" s="1"/>
  <c r="F103" i="3"/>
  <c r="G103" i="3" s="1"/>
  <c r="H103" i="3" s="1"/>
  <c r="F167" i="3"/>
  <c r="G167" i="3" s="1"/>
  <c r="H167" i="3" s="1"/>
  <c r="F231" i="3"/>
  <c r="G231" i="3" s="1"/>
  <c r="H231" i="3" s="1"/>
  <c r="F295" i="3"/>
  <c r="G295" i="3" s="1"/>
  <c r="H295" i="3" s="1"/>
  <c r="F32" i="3"/>
  <c r="G32" i="3" s="1"/>
  <c r="H32" i="3" s="1"/>
  <c r="F96" i="3"/>
  <c r="G96" i="3" s="1"/>
  <c r="H96" i="3" s="1"/>
  <c r="F160" i="3"/>
  <c r="G160" i="3" s="1"/>
  <c r="H160" i="3" s="1"/>
  <c r="F224" i="3"/>
  <c r="G224" i="3" s="1"/>
  <c r="H224" i="3" s="1"/>
  <c r="F34" i="3"/>
  <c r="G34" i="3" s="1"/>
  <c r="H34" i="3" s="1"/>
  <c r="F98" i="3"/>
  <c r="G98" i="3" s="1"/>
  <c r="H98" i="3" s="1"/>
  <c r="F162" i="3"/>
  <c r="G162" i="3" s="1"/>
  <c r="H162" i="3" s="1"/>
  <c r="F226" i="3"/>
  <c r="G226" i="3" s="1"/>
  <c r="H226" i="3" s="1"/>
  <c r="F290" i="3"/>
  <c r="G290" i="3" s="1"/>
  <c r="H290" i="3" s="1"/>
  <c r="F12" i="3"/>
  <c r="G12" i="3" s="1"/>
  <c r="H12" i="3" s="1"/>
</calcChain>
</file>

<file path=xl/sharedStrings.xml><?xml version="1.0" encoding="utf-8"?>
<sst xmlns="http://schemas.openxmlformats.org/spreadsheetml/2006/main" count="1898" uniqueCount="1280">
  <si>
    <t>Security</t>
  </si>
  <si>
    <t>DHL GR Equity</t>
  </si>
  <si>
    <t>Start Date</t>
  </si>
  <si>
    <t>End Date</t>
  </si>
  <si>
    <t>Period</t>
  </si>
  <si>
    <t>W</t>
  </si>
  <si>
    <t>Currency</t>
  </si>
  <si>
    <t>USD</t>
  </si>
  <si>
    <t>Date</t>
  </si>
  <si>
    <t>PX_LAST</t>
  </si>
  <si>
    <t>FDX US Equity</t>
  </si>
  <si>
    <t>JITFIN IN Equity</t>
  </si>
  <si>
    <t>Row Labels</t>
  </si>
  <si>
    <t>Grand Total</t>
  </si>
  <si>
    <t>X</t>
  </si>
  <si>
    <t>X^2</t>
  </si>
  <si>
    <t>XY</t>
  </si>
  <si>
    <t>Average of PX_LAST</t>
  </si>
  <si>
    <t>2017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</si>
  <si>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</si>
  <si>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</si>
  <si>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</si>
  <si>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</si>
  <si>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</si>
  <si>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</si>
  <si>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</si>
  <si>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</si>
  <si>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</si>
  <si>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</si>
  <si>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2018</t>
  </si>
  <si>
    <t>Jan</t>
  </si>
  <si>
    <t>Feb</t>
  </si>
  <si>
    <t>2019</t>
  </si>
  <si>
    <t>2020</t>
  </si>
  <si>
    <t>2021</t>
  </si>
  <si>
    <t>2022</t>
  </si>
  <si>
    <t>2023</t>
  </si>
  <si>
    <t>Y^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</si>
  <si>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</si>
  <si>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</si>
  <si>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</si>
  <si>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</si>
  <si>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</si>
  <si>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</si>
  <si>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</si>
  <si>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</si>
  <si>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</si>
  <si>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</si>
  <si>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</si>
  <si>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</si>
  <si>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</si>
  <si>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</si>
  <si>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</si>
  <si>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</si>
  <si>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</si>
  <si>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a+bx</t>
  </si>
  <si>
    <t>Y^ =</t>
  </si>
  <si>
    <t>a =</t>
  </si>
  <si>
    <t>sum Y/n</t>
  </si>
  <si>
    <t>b =</t>
  </si>
  <si>
    <t>sum xy / sum x^2</t>
  </si>
  <si>
    <t>E</t>
  </si>
  <si>
    <t>E^2</t>
  </si>
  <si>
    <t>MSE</t>
  </si>
  <si>
    <t>RMSE</t>
  </si>
  <si>
    <t>MAPE</t>
  </si>
  <si>
    <t xml:space="preserve">|e|/n </t>
  </si>
  <si>
    <t>*100</t>
  </si>
  <si>
    <t>Accuracy</t>
  </si>
  <si>
    <t>LSM</t>
  </si>
  <si>
    <t>21-07-2023</t>
  </si>
  <si>
    <t>14-07-2023</t>
  </si>
  <si>
    <t>07-07-2023</t>
  </si>
  <si>
    <t>30-06-2023</t>
  </si>
  <si>
    <t>23-06-2023</t>
  </si>
  <si>
    <t>16-06-2023</t>
  </si>
  <si>
    <t>09-06-2023</t>
  </si>
  <si>
    <t>02-06-2023</t>
  </si>
  <si>
    <t>26-05-2023</t>
  </si>
  <si>
    <t>19-05-2023</t>
  </si>
  <si>
    <t>12-05-2023</t>
  </si>
  <si>
    <t>05-05-2023</t>
  </si>
  <si>
    <t>28-04-2023</t>
  </si>
  <si>
    <t>21-04-2023</t>
  </si>
  <si>
    <t>14-04-2023</t>
  </si>
  <si>
    <t>07-04-2023</t>
  </si>
  <si>
    <t>31-03-2023</t>
  </si>
  <si>
    <t>24-03-2023</t>
  </si>
  <si>
    <t>17-03-2023</t>
  </si>
  <si>
    <t>10-03-2023</t>
  </si>
  <si>
    <t>03-03-2023</t>
  </si>
  <si>
    <t>24-02-2023</t>
  </si>
  <si>
    <t>17-02-2023</t>
  </si>
  <si>
    <t>10-02-2023</t>
  </si>
  <si>
    <t>03-02-2023</t>
  </si>
  <si>
    <t>27-01-2023</t>
  </si>
  <si>
    <t>20-01-2023</t>
  </si>
  <si>
    <t>13-01-2023</t>
  </si>
  <si>
    <t>06-01-2023</t>
  </si>
  <si>
    <t>30-12-2022</t>
  </si>
  <si>
    <t>23-12-2022</t>
  </si>
  <si>
    <t>16-12-2022</t>
  </si>
  <si>
    <t>09-12-2022</t>
  </si>
  <si>
    <t>02-12-2022</t>
  </si>
  <si>
    <t>25-11-2022</t>
  </si>
  <si>
    <t>18-11-2022</t>
  </si>
  <si>
    <t>11-11-2022</t>
  </si>
  <si>
    <t>04-11-2022</t>
  </si>
  <si>
    <t>28-10-2022</t>
  </si>
  <si>
    <t>21-10-2022</t>
  </si>
  <si>
    <t>14-10-2022</t>
  </si>
  <si>
    <t>07-10-2022</t>
  </si>
  <si>
    <t>30-09-2022</t>
  </si>
  <si>
    <t>23-09-2022</t>
  </si>
  <si>
    <t>16-09-2022</t>
  </si>
  <si>
    <t>09-09-2022</t>
  </si>
  <si>
    <t>02-09-2022</t>
  </si>
  <si>
    <t>26-08-2022</t>
  </si>
  <si>
    <t>19-08-2022</t>
  </si>
  <si>
    <t>12-08-2022</t>
  </si>
  <si>
    <t>05-08-2022</t>
  </si>
  <si>
    <t>29-07-2022</t>
  </si>
  <si>
    <t>22-07-2022</t>
  </si>
  <si>
    <t>15-07-2022</t>
  </si>
  <si>
    <t>08-07-2022</t>
  </si>
  <si>
    <t>01-07-2022</t>
  </si>
  <si>
    <t>24-06-2022</t>
  </si>
  <si>
    <t>17-06-2022</t>
  </si>
  <si>
    <t>10-06-2022</t>
  </si>
  <si>
    <t>03-06-2022</t>
  </si>
  <si>
    <t>27-05-2022</t>
  </si>
  <si>
    <t>20-05-2022</t>
  </si>
  <si>
    <t>13-05-2022</t>
  </si>
  <si>
    <t>06-05-2022</t>
  </si>
  <si>
    <t>29-04-2022</t>
  </si>
  <si>
    <t>22-04-2022</t>
  </si>
  <si>
    <t>15-04-2022</t>
  </si>
  <si>
    <t>08-04-2022</t>
  </si>
  <si>
    <t>01-04-2022</t>
  </si>
  <si>
    <t>25-03-2022</t>
  </si>
  <si>
    <t>18-03-2022</t>
  </si>
  <si>
    <t>11-03-2022</t>
  </si>
  <si>
    <t>04-03-2022</t>
  </si>
  <si>
    <t>25-02-2022</t>
  </si>
  <si>
    <t>18-02-2022</t>
  </si>
  <si>
    <t>11-02-2022</t>
  </si>
  <si>
    <t>04-02-2022</t>
  </si>
  <si>
    <t>28-01-2022</t>
  </si>
  <si>
    <t>21-01-2022</t>
  </si>
  <si>
    <t>14-01-2022</t>
  </si>
  <si>
    <t>07-01-2022</t>
  </si>
  <si>
    <t>31-12-2021</t>
  </si>
  <si>
    <t>24-12-2021</t>
  </si>
  <si>
    <t>17-12-2021</t>
  </si>
  <si>
    <t>10-12-2021</t>
  </si>
  <si>
    <t>03-12-2021</t>
  </si>
  <si>
    <t>26-11-2021</t>
  </si>
  <si>
    <t>19-11-2021</t>
  </si>
  <si>
    <t>12-11-2021</t>
  </si>
  <si>
    <t>05-11-2021</t>
  </si>
  <si>
    <t>29-10-2021</t>
  </si>
  <si>
    <t>22-10-2021</t>
  </si>
  <si>
    <t>15-10-2021</t>
  </si>
  <si>
    <t>08-10-2021</t>
  </si>
  <si>
    <t>01-10-2021</t>
  </si>
  <si>
    <t>24-09-2021</t>
  </si>
  <si>
    <t>17-09-2021</t>
  </si>
  <si>
    <t>10-09-2021</t>
  </si>
  <si>
    <t>03-09-2021</t>
  </si>
  <si>
    <t>27-08-2021</t>
  </si>
  <si>
    <t>20-08-2021</t>
  </si>
  <si>
    <t>13-08-2021</t>
  </si>
  <si>
    <t>06-08-2021</t>
  </si>
  <si>
    <t>30-07-2021</t>
  </si>
  <si>
    <t>23-07-2021</t>
  </si>
  <si>
    <t>16-07-2021</t>
  </si>
  <si>
    <t>09-07-2021</t>
  </si>
  <si>
    <t>02-07-2021</t>
  </si>
  <si>
    <t>25-06-2021</t>
  </si>
  <si>
    <t>18-06-2021</t>
  </si>
  <si>
    <t>11-06-2021</t>
  </si>
  <si>
    <t>04-06-2021</t>
  </si>
  <si>
    <t>28-05-2021</t>
  </si>
  <si>
    <t>21-05-2021</t>
  </si>
  <si>
    <t>14-05-2021</t>
  </si>
  <si>
    <t>07-05-2021</t>
  </si>
  <si>
    <t>30-04-2021</t>
  </si>
  <si>
    <t>23-04-2021</t>
  </si>
  <si>
    <t>16-04-2021</t>
  </si>
  <si>
    <t>09-04-2021</t>
  </si>
  <si>
    <t>02-04-2021</t>
  </si>
  <si>
    <t>26-03-2021</t>
  </si>
  <si>
    <t>19-03-2021</t>
  </si>
  <si>
    <t>12-03-2021</t>
  </si>
  <si>
    <t>05-03-2021</t>
  </si>
  <si>
    <t>26-02-2021</t>
  </si>
  <si>
    <t>19-02-2021</t>
  </si>
  <si>
    <t>12-02-2021</t>
  </si>
  <si>
    <t>05-02-2021</t>
  </si>
  <si>
    <t>29-01-2021</t>
  </si>
  <si>
    <t>22-01-2021</t>
  </si>
  <si>
    <t>15-01-2021</t>
  </si>
  <si>
    <t>08-01-2021</t>
  </si>
  <si>
    <t>01-01-2021</t>
  </si>
  <si>
    <t>25-12-2020</t>
  </si>
  <si>
    <t>18-12-2020</t>
  </si>
  <si>
    <t>11-12-2020</t>
  </si>
  <si>
    <t>04-12-2020</t>
  </si>
  <si>
    <t>27-11-2020</t>
  </si>
  <si>
    <t>20-11-2020</t>
  </si>
  <si>
    <t>13-11-2020</t>
  </si>
  <si>
    <t>06-11-2020</t>
  </si>
  <si>
    <t>30-10-2020</t>
  </si>
  <si>
    <t>23-10-2020</t>
  </si>
  <si>
    <t>16-10-2020</t>
  </si>
  <si>
    <t>09-10-2020</t>
  </si>
  <si>
    <t>02-10-2020</t>
  </si>
  <si>
    <t>25-09-2020</t>
  </si>
  <si>
    <t>18-09-2020</t>
  </si>
  <si>
    <t>11-09-2020</t>
  </si>
  <si>
    <t>04-09-2020</t>
  </si>
  <si>
    <t>28-08-2020</t>
  </si>
  <si>
    <t>21-08-2020</t>
  </si>
  <si>
    <t>14-08-2020</t>
  </si>
  <si>
    <t>07-08-2020</t>
  </si>
  <si>
    <t>31-07-2020</t>
  </si>
  <si>
    <t>24-07-2020</t>
  </si>
  <si>
    <t>17-07-2020</t>
  </si>
  <si>
    <t>10-07-2020</t>
  </si>
  <si>
    <t>03-07-2020</t>
  </si>
  <si>
    <t>26-06-2020</t>
  </si>
  <si>
    <t>19-06-2020</t>
  </si>
  <si>
    <t>12-06-2020</t>
  </si>
  <si>
    <t>05-06-2020</t>
  </si>
  <si>
    <t>29-05-2020</t>
  </si>
  <si>
    <t>22-05-2020</t>
  </si>
  <si>
    <t>15-05-2020</t>
  </si>
  <si>
    <t>08-05-2020</t>
  </si>
  <si>
    <t>01-05-2020</t>
  </si>
  <si>
    <t>24-04-2020</t>
  </si>
  <si>
    <t>17-04-2020</t>
  </si>
  <si>
    <t>10-04-2020</t>
  </si>
  <si>
    <t>03-04-2020</t>
  </si>
  <si>
    <t>27-03-2020</t>
  </si>
  <si>
    <t>20-03-2020</t>
  </si>
  <si>
    <t>13-03-2020</t>
  </si>
  <si>
    <t>06-03-2020</t>
  </si>
  <si>
    <t>28-02-2020</t>
  </si>
  <si>
    <t>21-02-2020</t>
  </si>
  <si>
    <t>14-02-2020</t>
  </si>
  <si>
    <t>07-02-2020</t>
  </si>
  <si>
    <t>31-01-2020</t>
  </si>
  <si>
    <t>24-01-2020</t>
  </si>
  <si>
    <t>17-01-2020</t>
  </si>
  <si>
    <t>10-01-2020</t>
  </si>
  <si>
    <t>03-01-2020</t>
  </si>
  <si>
    <t>27-12-2019</t>
  </si>
  <si>
    <t>20-12-2019</t>
  </si>
  <si>
    <t>13-12-2019</t>
  </si>
  <si>
    <t>06-12-2019</t>
  </si>
  <si>
    <t>29-11-2019</t>
  </si>
  <si>
    <t>22-11-2019</t>
  </si>
  <si>
    <t>15-11-2019</t>
  </si>
  <si>
    <t>08-11-2019</t>
  </si>
  <si>
    <t>01-11-2019</t>
  </si>
  <si>
    <t>25-10-2019</t>
  </si>
  <si>
    <t>18-10-2019</t>
  </si>
  <si>
    <t>11-10-2019</t>
  </si>
  <si>
    <t>04-10-2019</t>
  </si>
  <si>
    <t>27-09-2019</t>
  </si>
  <si>
    <t>20-09-2019</t>
  </si>
  <si>
    <t>13-09-2019</t>
  </si>
  <si>
    <t>06-09-2019</t>
  </si>
  <si>
    <t>30-08-2019</t>
  </si>
  <si>
    <t>23-08-2019</t>
  </si>
  <si>
    <t>16-08-2019</t>
  </si>
  <si>
    <t>09-08-2019</t>
  </si>
  <si>
    <t>02-08-2019</t>
  </si>
  <si>
    <t>26-07-2019</t>
  </si>
  <si>
    <t>19-07-2019</t>
  </si>
  <si>
    <t>12-07-2019</t>
  </si>
  <si>
    <t>05-07-2019</t>
  </si>
  <si>
    <t>28-06-2019</t>
  </si>
  <si>
    <t>21-06-2019</t>
  </si>
  <si>
    <t>14-06-2019</t>
  </si>
  <si>
    <t>07-06-2019</t>
  </si>
  <si>
    <t>31-05-2019</t>
  </si>
  <si>
    <t>24-05-2019</t>
  </si>
  <si>
    <t>17-05-2019</t>
  </si>
  <si>
    <t>10-05-2019</t>
  </si>
  <si>
    <t>03-05-2019</t>
  </si>
  <si>
    <t>26-04-2019</t>
  </si>
  <si>
    <t>19-04-2019</t>
  </si>
  <si>
    <t>12-04-2019</t>
  </si>
  <si>
    <t>05-04-2019</t>
  </si>
  <si>
    <t>29-03-2019</t>
  </si>
  <si>
    <t>22-03-2019</t>
  </si>
  <si>
    <t>15-03-2019</t>
  </si>
  <si>
    <t>08-03-2019</t>
  </si>
  <si>
    <t>01-03-2019</t>
  </si>
  <si>
    <t>22-02-2019</t>
  </si>
  <si>
    <t>15-02-2019</t>
  </si>
  <si>
    <t>08-02-2019</t>
  </si>
  <si>
    <t>01-02-2019</t>
  </si>
  <si>
    <t>25-01-2019</t>
  </si>
  <si>
    <t>18-01-2019</t>
  </si>
  <si>
    <t>11-01-2019</t>
  </si>
  <si>
    <t>04-01-2019</t>
  </si>
  <si>
    <t>28-12-2018</t>
  </si>
  <si>
    <t>21-12-2018</t>
  </si>
  <si>
    <t>14-12-2018</t>
  </si>
  <si>
    <t>07-12-2018</t>
  </si>
  <si>
    <t>30-11-2018</t>
  </si>
  <si>
    <t>23-11-2018</t>
  </si>
  <si>
    <t>16-11-2018</t>
  </si>
  <si>
    <t>09-11-2018</t>
  </si>
  <si>
    <t>02-11-2018</t>
  </si>
  <si>
    <t>26-10-2018</t>
  </si>
  <si>
    <t>19-10-2018</t>
  </si>
  <si>
    <t>12-10-2018</t>
  </si>
  <si>
    <t>05-10-2018</t>
  </si>
  <si>
    <t>28-09-2018</t>
  </si>
  <si>
    <t>21-09-2018</t>
  </si>
  <si>
    <t>14-09-2018</t>
  </si>
  <si>
    <t>07-09-2018</t>
  </si>
  <si>
    <t>31-08-2018</t>
  </si>
  <si>
    <t>24-08-2018</t>
  </si>
  <si>
    <t>17-08-2018</t>
  </si>
  <si>
    <t>10-08-2018</t>
  </si>
  <si>
    <t>03-08-2018</t>
  </si>
  <si>
    <t>27-07-2018</t>
  </si>
  <si>
    <t>20-07-2018</t>
  </si>
  <si>
    <t>13-07-2018</t>
  </si>
  <si>
    <t>06-07-2018</t>
  </si>
  <si>
    <t>29-06-2018</t>
  </si>
  <si>
    <t>22-06-2018</t>
  </si>
  <si>
    <t>15-06-2018</t>
  </si>
  <si>
    <t>08-06-2018</t>
  </si>
  <si>
    <t>01-06-2018</t>
  </si>
  <si>
    <t>25-05-2018</t>
  </si>
  <si>
    <t>18-05-2018</t>
  </si>
  <si>
    <t>11-05-2018</t>
  </si>
  <si>
    <t>04-05-2018</t>
  </si>
  <si>
    <t>27-04-2018</t>
  </si>
  <si>
    <t>20-04-2018</t>
  </si>
  <si>
    <t>13-04-2018</t>
  </si>
  <si>
    <t>06-04-2018</t>
  </si>
  <si>
    <t>30-03-2018</t>
  </si>
  <si>
    <t>23-03-2018</t>
  </si>
  <si>
    <t>16-03-2018</t>
  </si>
  <si>
    <t>09-03-2018</t>
  </si>
  <si>
    <t>02-03-2018</t>
  </si>
  <si>
    <t>23-02-2018</t>
  </si>
  <si>
    <t>16-02-2018</t>
  </si>
  <si>
    <t>09-02-2018</t>
  </si>
  <si>
    <t>02-02-2018</t>
  </si>
  <si>
    <t>26-01-2018</t>
  </si>
  <si>
    <t>19-01-2018</t>
  </si>
  <si>
    <t>12-01-2018</t>
  </si>
  <si>
    <t>05-01-2018</t>
  </si>
  <si>
    <t>29-12-2017</t>
  </si>
  <si>
    <t>22-12-2017</t>
  </si>
  <si>
    <t>15-12-2017</t>
  </si>
  <si>
    <t>08-12-2017</t>
  </si>
  <si>
    <t>01-12-2017</t>
  </si>
  <si>
    <t>24-11-2017</t>
  </si>
  <si>
    <t>17-11-2017</t>
  </si>
  <si>
    <t>10-11-2017</t>
  </si>
  <si>
    <t>03-11-2017</t>
  </si>
  <si>
    <t>27-10-2017</t>
  </si>
  <si>
    <t>20-10-2017</t>
  </si>
  <si>
    <t>13-10-2017</t>
  </si>
  <si>
    <t>06-10-2017</t>
  </si>
  <si>
    <t>29-09-2017</t>
  </si>
  <si>
    <t>22-09-2017</t>
  </si>
  <si>
    <t>15-09-2017</t>
  </si>
  <si>
    <t>08-09-2017</t>
  </si>
  <si>
    <t>01-09-2017</t>
  </si>
  <si>
    <t>25-08-2017</t>
  </si>
  <si>
    <t>18-08-2017</t>
  </si>
  <si>
    <t>11-08-2017</t>
  </si>
  <si>
    <t>04-08-2017</t>
  </si>
  <si>
    <t>28-07-2017</t>
  </si>
  <si>
    <t>21-07-2017</t>
  </si>
  <si>
    <t>14-07-2017</t>
  </si>
  <si>
    <t>07-07-2017</t>
  </si>
  <si>
    <t>30-06-2017</t>
  </si>
  <si>
    <t>23-06-2017</t>
  </si>
  <si>
    <t>16-06-2017</t>
  </si>
  <si>
    <t>09-06-2017</t>
  </si>
  <si>
    <t>02-06-2017</t>
  </si>
  <si>
    <t>26-05-2017</t>
  </si>
  <si>
    <t>19-05-2017</t>
  </si>
  <si>
    <t>12-05-2017</t>
  </si>
  <si>
    <t>05-05-2017</t>
  </si>
  <si>
    <t>28-04-2017</t>
  </si>
  <si>
    <t>21-04-2017</t>
  </si>
  <si>
    <t>14-04-2017</t>
  </si>
  <si>
    <t>07-04-2017</t>
  </si>
  <si>
    <t>31-03-2017</t>
  </si>
  <si>
    <t>24-03-2017</t>
  </si>
  <si>
    <t>17-03-2017</t>
  </si>
  <si>
    <t>10-03-2017</t>
  </si>
  <si>
    <t>03-03-2017</t>
  </si>
  <si>
    <t>24-02-2017</t>
  </si>
  <si>
    <t>17-02-2017</t>
  </si>
  <si>
    <t>10-02-2017</t>
  </si>
  <si>
    <t>03-02-2017</t>
  </si>
  <si>
    <t>27-01-2017</t>
  </si>
  <si>
    <t>20-01-2017</t>
  </si>
  <si>
    <t>13-01-2017</t>
  </si>
  <si>
    <t>06-01-2017</t>
  </si>
  <si>
    <t>30-12-2016</t>
  </si>
  <si>
    <t>23-12-2016</t>
  </si>
  <si>
    <t>16-12-2016</t>
  </si>
  <si>
    <t>09-12-2016</t>
  </si>
  <si>
    <t>02-12-2016</t>
  </si>
  <si>
    <t>25-11-2016</t>
  </si>
  <si>
    <t>18-11-2016</t>
  </si>
  <si>
    <t>11-11-2016</t>
  </si>
  <si>
    <t>04-11-2016</t>
  </si>
  <si>
    <t>28-10-2016</t>
  </si>
  <si>
    <t>21-10-2016</t>
  </si>
  <si>
    <t>14-10-2016</t>
  </si>
  <si>
    <t>07-10-2016</t>
  </si>
  <si>
    <t>30-09-2016</t>
  </si>
  <si>
    <t>23-09-2016</t>
  </si>
  <si>
    <t>16-09-2016</t>
  </si>
  <si>
    <t>09-09-2016</t>
  </si>
  <si>
    <t>02-09-2016</t>
  </si>
  <si>
    <t>26-08-2016</t>
  </si>
  <si>
    <t>19-08-2016</t>
  </si>
  <si>
    <t>12-08-2016</t>
  </si>
  <si>
    <t>05-08-2016</t>
  </si>
  <si>
    <t>29-07-2016</t>
  </si>
  <si>
    <t>22-07-2016</t>
  </si>
  <si>
    <t>15-07-2016</t>
  </si>
  <si>
    <t>08-07-2016</t>
  </si>
  <si>
    <t>01-07-2016</t>
  </si>
  <si>
    <t>24-06-2016</t>
  </si>
  <si>
    <t>17-06-2016</t>
  </si>
  <si>
    <t>10-06-2016</t>
  </si>
  <si>
    <t>03-06-2016</t>
  </si>
  <si>
    <t>27-05-2016</t>
  </si>
  <si>
    <t>20-05-2016</t>
  </si>
  <si>
    <t>13-05-2016</t>
  </si>
  <si>
    <t>06-05-2016</t>
  </si>
  <si>
    <t>29-04-2016</t>
  </si>
  <si>
    <t>22-04-2016</t>
  </si>
  <si>
    <t>15-04-2016</t>
  </si>
  <si>
    <t>08-04-2016</t>
  </si>
  <si>
    <t>01-04-2016</t>
  </si>
  <si>
    <t>25-03-2016</t>
  </si>
  <si>
    <t>18-03-2016</t>
  </si>
  <si>
    <t>11-03-2016</t>
  </si>
  <si>
    <t>04-03-2016</t>
  </si>
  <si>
    <t>26-02-2016</t>
  </si>
  <si>
    <t>19-02-2016</t>
  </si>
  <si>
    <t>12-02-2016</t>
  </si>
  <si>
    <t>05-02-2016</t>
  </si>
  <si>
    <t>29-01-2016</t>
  </si>
  <si>
    <t>22-01-2016</t>
  </si>
  <si>
    <t>15-01-2016</t>
  </si>
  <si>
    <t>08-01-2016</t>
  </si>
  <si>
    <t>01-01-2016</t>
  </si>
  <si>
    <t>25-12-2015</t>
  </si>
  <si>
    <t>18-12-2015</t>
  </si>
  <si>
    <t>11-12-2015</t>
  </si>
  <si>
    <t>04-12-2015</t>
  </si>
  <si>
    <t>27-11-2015</t>
  </si>
  <si>
    <t>20-11-2015</t>
  </si>
  <si>
    <t>13-11-2015</t>
  </si>
  <si>
    <t>06-11-2015</t>
  </si>
  <si>
    <t>30-10-2015</t>
  </si>
  <si>
    <t>23-10-2015</t>
  </si>
  <si>
    <t>16-10-2015</t>
  </si>
  <si>
    <t>09-10-2015</t>
  </si>
  <si>
    <t>02-10-2015</t>
  </si>
  <si>
    <t>25-09-2015</t>
  </si>
  <si>
    <t>18-09-2015</t>
  </si>
  <si>
    <t>11-09-2015</t>
  </si>
  <si>
    <t>04-09-2015</t>
  </si>
  <si>
    <t>28-08-2015</t>
  </si>
  <si>
    <t>21-08-2015</t>
  </si>
  <si>
    <t>14-08-2015</t>
  </si>
  <si>
    <t>07-08-2015</t>
  </si>
  <si>
    <t>31-07-2015</t>
  </si>
  <si>
    <t>24-07-2015</t>
  </si>
  <si>
    <t>17-07-2015</t>
  </si>
  <si>
    <t>10-07-2015</t>
  </si>
  <si>
    <t>03-07-2015</t>
  </si>
  <si>
    <t>26-06-2015</t>
  </si>
  <si>
    <t>19-06-2015</t>
  </si>
  <si>
    <t>12-06-2015</t>
  </si>
  <si>
    <t>05-06-2015</t>
  </si>
  <si>
    <t>29-05-2015</t>
  </si>
  <si>
    <t>22-05-2015</t>
  </si>
  <si>
    <t>15-05-2015</t>
  </si>
  <si>
    <t>08-05-2015</t>
  </si>
  <si>
    <t>01-05-2015</t>
  </si>
  <si>
    <t>24-04-2015</t>
  </si>
  <si>
    <t>17-04-2015</t>
  </si>
  <si>
    <t>10-04-2015</t>
  </si>
  <si>
    <t>03-04-2015</t>
  </si>
  <si>
    <t>27-03-2015</t>
  </si>
  <si>
    <t>20-03-2015</t>
  </si>
  <si>
    <t>13-03-2015</t>
  </si>
  <si>
    <t>06-03-2015</t>
  </si>
  <si>
    <t>27-02-2015</t>
  </si>
  <si>
    <t>20-02-2015</t>
  </si>
  <si>
    <t>13-02-2015</t>
  </si>
  <si>
    <t>06-02-2015</t>
  </si>
  <si>
    <t>30-01-2015</t>
  </si>
  <si>
    <t>23-01-2015</t>
  </si>
  <si>
    <t>16-01-2015</t>
  </si>
  <si>
    <t>09-01-2015</t>
  </si>
  <si>
    <t>02-01-2015</t>
  </si>
  <si>
    <t>26-12-2014</t>
  </si>
  <si>
    <t>19-12-2014</t>
  </si>
  <si>
    <t>12-12-2014</t>
  </si>
  <si>
    <t>05-12-2014</t>
  </si>
  <si>
    <t>28-11-2014</t>
  </si>
  <si>
    <t>21-11-2014</t>
  </si>
  <si>
    <t>14-11-2014</t>
  </si>
  <si>
    <t>07-11-2014</t>
  </si>
  <si>
    <t>31-10-2014</t>
  </si>
  <si>
    <t>24-10-2014</t>
  </si>
  <si>
    <t>17-10-2014</t>
  </si>
  <si>
    <t>10-10-2014</t>
  </si>
  <si>
    <t>03-10-2014</t>
  </si>
  <si>
    <t>26-09-2014</t>
  </si>
  <si>
    <t>19-09-2014</t>
  </si>
  <si>
    <t>12-09-2014</t>
  </si>
  <si>
    <t>05-09-2014</t>
  </si>
  <si>
    <t>29-08-2014</t>
  </si>
  <si>
    <t>22-08-2014</t>
  </si>
  <si>
    <t>15-08-2014</t>
  </si>
  <si>
    <t>08-08-2014</t>
  </si>
  <si>
    <t>01-08-2014</t>
  </si>
  <si>
    <t>25-07-2014</t>
  </si>
  <si>
    <t>18-07-2014</t>
  </si>
  <si>
    <t>11-07-2014</t>
  </si>
  <si>
    <t>04-07-2014</t>
  </si>
  <si>
    <t>27-06-2014</t>
  </si>
  <si>
    <t>20-06-2014</t>
  </si>
  <si>
    <t>13-06-2014</t>
  </si>
  <si>
    <t>06-06-2014</t>
  </si>
  <si>
    <t>30-05-2014</t>
  </si>
  <si>
    <t>23-05-2014</t>
  </si>
  <si>
    <t>16-05-2014</t>
  </si>
  <si>
    <t>09-05-2014</t>
  </si>
  <si>
    <t>02-05-2014</t>
  </si>
  <si>
    <t>25-04-2014</t>
  </si>
  <si>
    <t>18-04-2014</t>
  </si>
  <si>
    <t>11-04-2014</t>
  </si>
  <si>
    <t>04-04-2014</t>
  </si>
  <si>
    <t>28-03-2014</t>
  </si>
  <si>
    <t>21-03-2014</t>
  </si>
  <si>
    <t>14-03-2014</t>
  </si>
  <si>
    <t>07-03-2014</t>
  </si>
  <si>
    <t>28-02-2014</t>
  </si>
  <si>
    <t>21-02-2014</t>
  </si>
  <si>
    <t>14-02-2014</t>
  </si>
  <si>
    <t>07-02-2014</t>
  </si>
  <si>
    <t>31-01-2014</t>
  </si>
  <si>
    <t>24-01-2014</t>
  </si>
  <si>
    <t>17-01-2014</t>
  </si>
  <si>
    <t>10-01-2014</t>
  </si>
  <si>
    <t>03-01-2014</t>
  </si>
  <si>
    <t>27-12-2013</t>
  </si>
  <si>
    <t>20-12-2013</t>
  </si>
  <si>
    <t>13-12-2013</t>
  </si>
  <si>
    <t>06-12-2013</t>
  </si>
  <si>
    <t>29-11-2013</t>
  </si>
  <si>
    <t>22-11-2013</t>
  </si>
  <si>
    <t>15-11-2013</t>
  </si>
  <si>
    <t>08-11-2013</t>
  </si>
  <si>
    <t>01-11-2013</t>
  </si>
  <si>
    <t>25-10-2013</t>
  </si>
  <si>
    <t>18-10-2013</t>
  </si>
  <si>
    <t>11-10-2013</t>
  </si>
  <si>
    <t>04-10-2013</t>
  </si>
  <si>
    <t>27-09-2013</t>
  </si>
  <si>
    <t>20-09-2013</t>
  </si>
  <si>
    <t>13-09-2013</t>
  </si>
  <si>
    <t>06-09-2013</t>
  </si>
  <si>
    <t>30-08-2013</t>
  </si>
  <si>
    <t>23-08-2013</t>
  </si>
  <si>
    <t>16-08-2013</t>
  </si>
  <si>
    <t>09-08-2013</t>
  </si>
  <si>
    <t>02-08-2013</t>
  </si>
  <si>
    <t>26-07-2013</t>
  </si>
  <si>
    <t>19-07-2013</t>
  </si>
  <si>
    <t>12-07-2013</t>
  </si>
  <si>
    <t>05-07-2013</t>
  </si>
  <si>
    <t>28-06-2013</t>
  </si>
  <si>
    <t>21-06-2013</t>
  </si>
  <si>
    <t>14-06-2013</t>
  </si>
  <si>
    <t>07-06-2013</t>
  </si>
  <si>
    <t>31-05-2013</t>
  </si>
  <si>
    <t>24-05-2013</t>
  </si>
  <si>
    <t>17-05-2013</t>
  </si>
  <si>
    <t>10-05-2013</t>
  </si>
  <si>
    <t>03-05-2013</t>
  </si>
  <si>
    <t>26-04-2013</t>
  </si>
  <si>
    <t>19-04-2013</t>
  </si>
  <si>
    <t>12-04-2013</t>
  </si>
  <si>
    <t>05-04-2013</t>
  </si>
  <si>
    <t>29-03-2013</t>
  </si>
  <si>
    <t>22-03-2013</t>
  </si>
  <si>
    <t>15-03-2013</t>
  </si>
  <si>
    <t>08-03-2013</t>
  </si>
  <si>
    <t>01-03-2013</t>
  </si>
  <si>
    <t>22-02-2013</t>
  </si>
  <si>
    <t>15-02-2013</t>
  </si>
  <si>
    <t>08-02-2013</t>
  </si>
  <si>
    <t>01-02-2013</t>
  </si>
  <si>
    <t>25-01-2013</t>
  </si>
  <si>
    <t>18-01-2013</t>
  </si>
  <si>
    <t>11-01-2013</t>
  </si>
  <si>
    <t>04-01-2013</t>
  </si>
  <si>
    <t>28-12-2012</t>
  </si>
  <si>
    <t>21-12-2012</t>
  </si>
  <si>
    <t>14-12-2012</t>
  </si>
  <si>
    <t>07-12-2012</t>
  </si>
  <si>
    <t>30-11-2012</t>
  </si>
  <si>
    <t>23-11-2012</t>
  </si>
  <si>
    <t>16-11-2012</t>
  </si>
  <si>
    <t>09-11-2012</t>
  </si>
  <si>
    <t>02-11-2012</t>
  </si>
  <si>
    <t>26-10-2012</t>
  </si>
  <si>
    <t>19-10-2012</t>
  </si>
  <si>
    <t>12-10-2012</t>
  </si>
  <si>
    <t>05-10-2012</t>
  </si>
  <si>
    <t>28-09-2012</t>
  </si>
  <si>
    <t>21-09-2012</t>
  </si>
  <si>
    <t>14-09-2012</t>
  </si>
  <si>
    <t>07-09-2012</t>
  </si>
  <si>
    <t>31-08-2012</t>
  </si>
  <si>
    <t>24-08-2012</t>
  </si>
  <si>
    <t>17-08-2012</t>
  </si>
  <si>
    <t>10-08-2012</t>
  </si>
  <si>
    <t>03-08-2012</t>
  </si>
  <si>
    <t>27-07-2012</t>
  </si>
  <si>
    <t>20-07-2012</t>
  </si>
  <si>
    <t>13-07-2012</t>
  </si>
  <si>
    <t>06-07-2012</t>
  </si>
  <si>
    <t>29-06-2012</t>
  </si>
  <si>
    <t>22-06-2012</t>
  </si>
  <si>
    <t>15-06-2012</t>
  </si>
  <si>
    <t>08-06-2012</t>
  </si>
  <si>
    <t>01-06-2012</t>
  </si>
  <si>
    <t>25-05-2012</t>
  </si>
  <si>
    <t>18-05-2012</t>
  </si>
  <si>
    <t>11-05-2012</t>
  </si>
  <si>
    <t>04-05-2012</t>
  </si>
  <si>
    <t>27-04-2012</t>
  </si>
  <si>
    <t>20-04-2012</t>
  </si>
  <si>
    <t>13-04-2012</t>
  </si>
  <si>
    <t>06-04-2012</t>
  </si>
  <si>
    <t>30-03-2012</t>
  </si>
  <si>
    <t>23-03-2012</t>
  </si>
  <si>
    <t>16-03-2012</t>
  </si>
  <si>
    <t>09-03-2012</t>
  </si>
  <si>
    <t>02-03-2012</t>
  </si>
  <si>
    <t>24-02-2012</t>
  </si>
  <si>
    <t>17-02-2012</t>
  </si>
  <si>
    <t>10-02-2012</t>
  </si>
  <si>
    <t>03-02-2012</t>
  </si>
  <si>
    <t>27-01-2012</t>
  </si>
  <si>
    <t>20-01-2012</t>
  </si>
  <si>
    <t>13-01-2012</t>
  </si>
  <si>
    <t>06-01-2012</t>
  </si>
  <si>
    <t>30-12-2011</t>
  </si>
  <si>
    <t>23-12-2011</t>
  </si>
  <si>
    <t>16-12-2011</t>
  </si>
  <si>
    <t>09-12-2011</t>
  </si>
  <si>
    <t>02-12-2011</t>
  </si>
  <si>
    <t>25-11-2011</t>
  </si>
  <si>
    <t>18-11-2011</t>
  </si>
  <si>
    <t>11-11-2011</t>
  </si>
  <si>
    <t>04-11-2011</t>
  </si>
  <si>
    <t>28-10-2011</t>
  </si>
  <si>
    <t>21-10-2011</t>
  </si>
  <si>
    <t>14-10-2011</t>
  </si>
  <si>
    <t>07-10-2011</t>
  </si>
  <si>
    <t>30-09-2011</t>
  </si>
  <si>
    <t>23-09-2011</t>
  </si>
  <si>
    <t>16-09-2011</t>
  </si>
  <si>
    <t>09-09-2011</t>
  </si>
  <si>
    <t>02-09-2011</t>
  </si>
  <si>
    <t>26-08-2011</t>
  </si>
  <si>
    <t>19-08-2011</t>
  </si>
  <si>
    <t>12-08-2011</t>
  </si>
  <si>
    <t>05-08-2011</t>
  </si>
  <si>
    <t>29-07-2011</t>
  </si>
  <si>
    <t>22-07-2011</t>
  </si>
  <si>
    <t>15-07-2011</t>
  </si>
  <si>
    <t>08-07-2011</t>
  </si>
  <si>
    <t>01-07-2011</t>
  </si>
  <si>
    <t>24-06-2011</t>
  </si>
  <si>
    <t>17-06-2011</t>
  </si>
  <si>
    <t>10-06-2011</t>
  </si>
  <si>
    <t>03-06-2011</t>
  </si>
  <si>
    <t>27-05-2011</t>
  </si>
  <si>
    <t>20-05-2011</t>
  </si>
  <si>
    <t>13-05-2011</t>
  </si>
  <si>
    <t>06-05-2011</t>
  </si>
  <si>
    <t>29-04-2011</t>
  </si>
  <si>
    <t>22-04-2011</t>
  </si>
  <si>
    <t>15-04-2011</t>
  </si>
  <si>
    <t>08-04-2011</t>
  </si>
  <si>
    <t>01-04-2011</t>
  </si>
  <si>
    <t>25-03-2011</t>
  </si>
  <si>
    <t>18-03-2011</t>
  </si>
  <si>
    <t>11-03-2011</t>
  </si>
  <si>
    <t>04-03-2011</t>
  </si>
  <si>
    <t>25-02-2011</t>
  </si>
  <si>
    <t>18-02-2011</t>
  </si>
  <si>
    <t>11-02-2011</t>
  </si>
  <si>
    <t>04-02-2011</t>
  </si>
  <si>
    <t>28-01-2011</t>
  </si>
  <si>
    <t>21-01-2011</t>
  </si>
  <si>
    <t>14-01-2011</t>
  </si>
  <si>
    <t>07-01-2011</t>
  </si>
  <si>
    <t>31-12-2010</t>
  </si>
  <si>
    <t>24-12-2010</t>
  </si>
  <si>
    <t>17-12-2010</t>
  </si>
  <si>
    <t>10-12-2010</t>
  </si>
  <si>
    <t>03-12-2010</t>
  </si>
  <si>
    <t>26-11-2010</t>
  </si>
  <si>
    <t>19-11-2010</t>
  </si>
  <si>
    <t>12-11-2010</t>
  </si>
  <si>
    <t>05-11-2010</t>
  </si>
  <si>
    <t>29-10-2010</t>
  </si>
  <si>
    <t>22-10-2010</t>
  </si>
  <si>
    <t>15-10-2010</t>
  </si>
  <si>
    <t>08-10-2010</t>
  </si>
  <si>
    <t>01-10-2010</t>
  </si>
  <si>
    <t>24-09-2010</t>
  </si>
  <si>
    <t>17-09-2010</t>
  </si>
  <si>
    <t>10-09-2010</t>
  </si>
  <si>
    <t>03-09-2010</t>
  </si>
  <si>
    <t>27-08-2010</t>
  </si>
  <si>
    <t>20-08-2010</t>
  </si>
  <si>
    <t>13-08-2010</t>
  </si>
  <si>
    <t>06-08-2010</t>
  </si>
  <si>
    <t>30-07-2010</t>
  </si>
  <si>
    <t>23-07-2010</t>
  </si>
  <si>
    <t>16-07-2010</t>
  </si>
  <si>
    <t>09-07-2010</t>
  </si>
  <si>
    <t>02-07-2010</t>
  </si>
  <si>
    <t>25-06-2010</t>
  </si>
  <si>
    <t>18-06-2010</t>
  </si>
  <si>
    <t>11-06-2010</t>
  </si>
  <si>
    <t>04-06-2010</t>
  </si>
  <si>
    <t>28-05-2010</t>
  </si>
  <si>
    <t>21-05-2010</t>
  </si>
  <si>
    <t>14-05-2010</t>
  </si>
  <si>
    <t>07-05-2010</t>
  </si>
  <si>
    <t>30-04-2010</t>
  </si>
  <si>
    <t>23-04-2010</t>
  </si>
  <si>
    <t>16-04-2010</t>
  </si>
  <si>
    <t>09-04-2010</t>
  </si>
  <si>
    <t>02-04-2010</t>
  </si>
  <si>
    <t>26-03-2010</t>
  </si>
  <si>
    <t>19-03-2010</t>
  </si>
  <si>
    <t>12-03-2010</t>
  </si>
  <si>
    <t>05-03-2010</t>
  </si>
  <si>
    <t>26-02-2010</t>
  </si>
  <si>
    <t>19-02-2010</t>
  </si>
  <si>
    <t>12-02-2010</t>
  </si>
  <si>
    <t>05-02-2010</t>
  </si>
  <si>
    <t>29-01-2010</t>
  </si>
  <si>
    <t>22-01-2010</t>
  </si>
  <si>
    <t>15-01-2010</t>
  </si>
  <si>
    <t>08-01-2010</t>
  </si>
  <si>
    <t>01-01-2010</t>
  </si>
  <si>
    <t>25-12-2009</t>
  </si>
  <si>
    <t>18-12-2009</t>
  </si>
  <si>
    <t>11-12-2009</t>
  </si>
  <si>
    <t>04-12-2009</t>
  </si>
  <si>
    <t>27-11-2009</t>
  </si>
  <si>
    <t>20-11-2009</t>
  </si>
  <si>
    <t>13-11-2009</t>
  </si>
  <si>
    <t>06-11-2009</t>
  </si>
  <si>
    <t>30-10-2009</t>
  </si>
  <si>
    <t>23-10-2009</t>
  </si>
  <si>
    <t>16-10-2009</t>
  </si>
  <si>
    <t>09-10-2009</t>
  </si>
  <si>
    <t>02-10-2009</t>
  </si>
  <si>
    <t>25-09-2009</t>
  </si>
  <si>
    <t>18-09-2009</t>
  </si>
  <si>
    <t>11-09-2009</t>
  </si>
  <si>
    <t>04-09-2009</t>
  </si>
  <si>
    <t>28-08-2009</t>
  </si>
  <si>
    <t>21-08-2009</t>
  </si>
  <si>
    <t>14-08-2009</t>
  </si>
  <si>
    <t>07-08-2009</t>
  </si>
  <si>
    <t>31-07-2009</t>
  </si>
  <si>
    <t>24-07-2009</t>
  </si>
  <si>
    <t>17-07-2009</t>
  </si>
  <si>
    <t>10-07-2009</t>
  </si>
  <si>
    <t>03-07-2009</t>
  </si>
  <si>
    <t>26-06-2009</t>
  </si>
  <si>
    <t>19-06-2009</t>
  </si>
  <si>
    <t>12-06-2009</t>
  </si>
  <si>
    <t>05-06-2009</t>
  </si>
  <si>
    <t>29-05-2009</t>
  </si>
  <si>
    <t>22-05-2009</t>
  </si>
  <si>
    <t>15-05-2009</t>
  </si>
  <si>
    <t>08-05-2009</t>
  </si>
  <si>
    <t>01-05-2009</t>
  </si>
  <si>
    <t>24-04-2009</t>
  </si>
  <si>
    <t>17-04-2009</t>
  </si>
  <si>
    <t>10-04-2009</t>
  </si>
  <si>
    <t>03-04-2009</t>
  </si>
  <si>
    <t>27-03-2009</t>
  </si>
  <si>
    <t>20-03-2009</t>
  </si>
  <si>
    <t>13-03-2009</t>
  </si>
  <si>
    <t>06-03-2009</t>
  </si>
  <si>
    <t>27-02-2009</t>
  </si>
  <si>
    <t>20-02-2009</t>
  </si>
  <si>
    <t>13-02-2009</t>
  </si>
  <si>
    <t>06-02-2009</t>
  </si>
  <si>
    <t>30-01-2009</t>
  </si>
  <si>
    <t>23-01-2009</t>
  </si>
  <si>
    <t>16-01-2009</t>
  </si>
  <si>
    <t>09-01-2009</t>
  </si>
  <si>
    <t>02-01-2009</t>
  </si>
  <si>
    <t>26-12-2008</t>
  </si>
  <si>
    <t>19-12-2008</t>
  </si>
  <si>
    <t>12-12-2008</t>
  </si>
  <si>
    <t>05-12-2008</t>
  </si>
  <si>
    <t>28-11-2008</t>
  </si>
  <si>
    <t>21-11-2008</t>
  </si>
  <si>
    <t>14-11-2008</t>
  </si>
  <si>
    <t>07-11-2008</t>
  </si>
  <si>
    <t>31-10-2008</t>
  </si>
  <si>
    <t>24-10-2008</t>
  </si>
  <si>
    <t>17-10-2008</t>
  </si>
  <si>
    <t>10-10-2008</t>
  </si>
  <si>
    <t>03-10-2008</t>
  </si>
  <si>
    <t>26-09-2008</t>
  </si>
  <si>
    <t>19-09-2008</t>
  </si>
  <si>
    <t>12-09-2008</t>
  </si>
  <si>
    <t>05-09-2008</t>
  </si>
  <si>
    <t>29-08-2008</t>
  </si>
  <si>
    <t>22-08-2008</t>
  </si>
  <si>
    <t>15-08-2008</t>
  </si>
  <si>
    <t>08-08-2008</t>
  </si>
  <si>
    <t>01-08-2008</t>
  </si>
  <si>
    <t>25-07-2008</t>
  </si>
  <si>
    <t>18-07-2008</t>
  </si>
  <si>
    <t>11-07-2008</t>
  </si>
  <si>
    <t>04-07-2008</t>
  </si>
  <si>
    <t>27-06-2008</t>
  </si>
  <si>
    <t>20-06-2008</t>
  </si>
  <si>
    <t>13-06-2008</t>
  </si>
  <si>
    <t>06-06-2008</t>
  </si>
  <si>
    <t>30-05-2008</t>
  </si>
  <si>
    <t>23-05-2008</t>
  </si>
  <si>
    <t>16-05-2008</t>
  </si>
  <si>
    <t>09-05-2008</t>
  </si>
  <si>
    <t>02-05-2008</t>
  </si>
  <si>
    <t>25-04-2008</t>
  </si>
  <si>
    <t>18-04-2008</t>
  </si>
  <si>
    <t>11-04-2008</t>
  </si>
  <si>
    <t>04-04-2008</t>
  </si>
  <si>
    <t>28-03-2008</t>
  </si>
  <si>
    <t>21-03-2008</t>
  </si>
  <si>
    <t>14-03-2008</t>
  </si>
  <si>
    <t>07-03-2008</t>
  </si>
  <si>
    <t>29-02-2008</t>
  </si>
  <si>
    <t>22-02-2008</t>
  </si>
  <si>
    <t>15-02-2008</t>
  </si>
  <si>
    <t>08-02-2008</t>
  </si>
  <si>
    <t>01-02-2008</t>
  </si>
  <si>
    <t>25-01-2008</t>
  </si>
  <si>
    <t>18-01-2008</t>
  </si>
  <si>
    <t>11-01-2008</t>
  </si>
  <si>
    <t>04-01-2008</t>
  </si>
  <si>
    <t>28-12-2007</t>
  </si>
  <si>
    <t>21-12-2007</t>
  </si>
  <si>
    <t>14-12-2007</t>
  </si>
  <si>
    <t>07-12-2007</t>
  </si>
  <si>
    <t>30-11-2007</t>
  </si>
  <si>
    <t>23-11-2007</t>
  </si>
  <si>
    <t>16-11-2007</t>
  </si>
  <si>
    <t>09-11-2007</t>
  </si>
  <si>
    <t>02-11-2007</t>
  </si>
  <si>
    <t>26-10-2007</t>
  </si>
  <si>
    <t>19-10-2007</t>
  </si>
  <si>
    <t>12-10-2007</t>
  </si>
  <si>
    <t>05-10-2007</t>
  </si>
  <si>
    <t>28-09-2007</t>
  </si>
  <si>
    <t>21-09-2007</t>
  </si>
  <si>
    <t>14-09-2007</t>
  </si>
  <si>
    <t>07-09-2007</t>
  </si>
  <si>
    <t>31-08-2007</t>
  </si>
  <si>
    <t>24-08-2007</t>
  </si>
  <si>
    <t>17-08-2007</t>
  </si>
  <si>
    <t>10-08-2007</t>
  </si>
  <si>
    <t>03-08-2007</t>
  </si>
  <si>
    <t>27-07-2007</t>
  </si>
  <si>
    <t>20-07-2007</t>
  </si>
  <si>
    <t>13-07-2007</t>
  </si>
  <si>
    <t>06-07-2007</t>
  </si>
  <si>
    <t>29-06-2007</t>
  </si>
  <si>
    <t>22-06-2007</t>
  </si>
  <si>
    <t>15-06-2007</t>
  </si>
  <si>
    <t>08-06-2007</t>
  </si>
  <si>
    <t>01-06-2007</t>
  </si>
  <si>
    <t>25-05-2007</t>
  </si>
  <si>
    <t>18-05-2007</t>
  </si>
  <si>
    <t>11-05-2007</t>
  </si>
  <si>
    <t>04-05-2007</t>
  </si>
  <si>
    <t>27-04-2007</t>
  </si>
  <si>
    <t>20-04-2007</t>
  </si>
  <si>
    <t>13-04-2007</t>
  </si>
  <si>
    <t>06-04-2007</t>
  </si>
  <si>
    <t>30-03-2007</t>
  </si>
  <si>
    <t>23-03-2007</t>
  </si>
  <si>
    <t>16-03-2007</t>
  </si>
  <si>
    <t>09-03-2007</t>
  </si>
  <si>
    <t>02-03-2007</t>
  </si>
  <si>
    <t>23-02-2007</t>
  </si>
  <si>
    <t>16-02-2007</t>
  </si>
  <si>
    <t>09-02-2007</t>
  </si>
  <si>
    <t>02-02-2007</t>
  </si>
  <si>
    <t>26-01-2007</t>
  </si>
  <si>
    <t>19-01-2007</t>
  </si>
  <si>
    <t>12-01-2007</t>
  </si>
  <si>
    <t>05-01-2007</t>
  </si>
  <si>
    <t>29-12-2006</t>
  </si>
  <si>
    <t>22-12-2006</t>
  </si>
  <si>
    <t>15-12-2006</t>
  </si>
  <si>
    <t>08-12-2006</t>
  </si>
  <si>
    <t>01-12-2006</t>
  </si>
  <si>
    <t>24-11-2006</t>
  </si>
  <si>
    <t>17-11-2006</t>
  </si>
  <si>
    <t>10-11-2006</t>
  </si>
  <si>
    <t>03-11-2006</t>
  </si>
  <si>
    <t>27-10-2006</t>
  </si>
  <si>
    <t>20-10-2006</t>
  </si>
  <si>
    <t>13-10-2006</t>
  </si>
  <si>
    <t>06-10-2006</t>
  </si>
  <si>
    <t>29-09-2006</t>
  </si>
  <si>
    <t>22-09-2006</t>
  </si>
  <si>
    <t>15-09-2006</t>
  </si>
  <si>
    <t>08-09-2006</t>
  </si>
  <si>
    <t>01-09-2006</t>
  </si>
  <si>
    <t>25-08-2006</t>
  </si>
  <si>
    <t>18-08-2006</t>
  </si>
  <si>
    <t>11-08-2006</t>
  </si>
  <si>
    <t>04-08-2006</t>
  </si>
  <si>
    <t>28-07-2006</t>
  </si>
  <si>
    <t>21-07-2006</t>
  </si>
  <si>
    <t>14-07-2006</t>
  </si>
  <si>
    <t>07-07-2006</t>
  </si>
  <si>
    <t>30-06-2006</t>
  </si>
  <si>
    <t>23-06-2006</t>
  </si>
  <si>
    <t>16-06-2006</t>
  </si>
  <si>
    <t>09-06-2006</t>
  </si>
  <si>
    <t>02-06-2006</t>
  </si>
  <si>
    <t>26-05-2006</t>
  </si>
  <si>
    <t>19-05-2006</t>
  </si>
  <si>
    <t>12-05-2006</t>
  </si>
  <si>
    <t>05-05-2006</t>
  </si>
  <si>
    <t>28-04-2006</t>
  </si>
  <si>
    <t>21-04-2006</t>
  </si>
  <si>
    <t>14-04-2006</t>
  </si>
  <si>
    <t>07-04-2006</t>
  </si>
  <si>
    <t>31-03-2006</t>
  </si>
  <si>
    <t>24-03-2006</t>
  </si>
  <si>
    <t>17-03-2006</t>
  </si>
  <si>
    <t>10-03-2006</t>
  </si>
  <si>
    <t>03-03-2006</t>
  </si>
  <si>
    <t>24-02-2006</t>
  </si>
  <si>
    <t>17-02-2006</t>
  </si>
  <si>
    <t>10-02-2006</t>
  </si>
  <si>
    <t>03-02-2006</t>
  </si>
  <si>
    <t>27-01-2006</t>
  </si>
  <si>
    <t>20-01-2006</t>
  </si>
  <si>
    <t>13-01-2006</t>
  </si>
  <si>
    <t>06-01-2006</t>
  </si>
  <si>
    <t>30-12-2005</t>
  </si>
  <si>
    <t>23-12-2005</t>
  </si>
  <si>
    <t>16-12-2005</t>
  </si>
  <si>
    <t>09-12-2005</t>
  </si>
  <si>
    <t>02-12-2005</t>
  </si>
  <si>
    <t>25-11-2005</t>
  </si>
  <si>
    <t>18-11-2005</t>
  </si>
  <si>
    <t>11-11-2005</t>
  </si>
  <si>
    <t>04-11-2005</t>
  </si>
  <si>
    <t>28-10-2005</t>
  </si>
  <si>
    <t>21-10-2005</t>
  </si>
  <si>
    <t>14-10-2005</t>
  </si>
  <si>
    <t>07-10-2005</t>
  </si>
  <si>
    <t>30-09-2005</t>
  </si>
  <si>
    <t>23-09-2005</t>
  </si>
  <si>
    <t>16-09-2005</t>
  </si>
  <si>
    <t>09-09-2005</t>
  </si>
  <si>
    <t>02-09-2005</t>
  </si>
  <si>
    <t>26-08-2005</t>
  </si>
  <si>
    <t>19-08-2005</t>
  </si>
  <si>
    <t>12-08-2005</t>
  </si>
  <si>
    <t>05-08-2005</t>
  </si>
  <si>
    <t>29-07-2005</t>
  </si>
  <si>
    <t>22-07-2005</t>
  </si>
  <si>
    <t>15-07-2005</t>
  </si>
  <si>
    <t>08-07-2005</t>
  </si>
  <si>
    <t>01-07-2005</t>
  </si>
  <si>
    <t>24-06-2005</t>
  </si>
  <si>
    <t>17-06-2005</t>
  </si>
  <si>
    <t>10-06-2005</t>
  </si>
  <si>
    <t>03-06-2005</t>
  </si>
  <si>
    <t>27-05-2005</t>
  </si>
  <si>
    <t>20-05-2005</t>
  </si>
  <si>
    <t>13-05-2005</t>
  </si>
  <si>
    <t>06-05-2005</t>
  </si>
  <si>
    <t>29-04-2005</t>
  </si>
  <si>
    <t>22-04-2005</t>
  </si>
  <si>
    <t>15-04-2005</t>
  </si>
  <si>
    <t>08-04-2005</t>
  </si>
  <si>
    <t>01-04-2005</t>
  </si>
  <si>
    <t>25-03-2005</t>
  </si>
  <si>
    <t>18-03-2005</t>
  </si>
  <si>
    <t>11-03-2005</t>
  </si>
  <si>
    <t>04-03-2005</t>
  </si>
  <si>
    <t>25-02-2005</t>
  </si>
  <si>
    <t>18-02-2005</t>
  </si>
  <si>
    <t>11-02-2005</t>
  </si>
  <si>
    <t>04-02-2005</t>
  </si>
  <si>
    <t>28-01-2005</t>
  </si>
  <si>
    <t>21-01-2005</t>
  </si>
  <si>
    <t>14-01-2005</t>
  </si>
  <si>
    <t>07-01-2005</t>
  </si>
  <si>
    <t>31-12-2004</t>
  </si>
  <si>
    <t>24-12-2004</t>
  </si>
  <si>
    <t>17-12-2004</t>
  </si>
  <si>
    <t>10-12-2004</t>
  </si>
  <si>
    <t>03-12-2004</t>
  </si>
  <si>
    <t>26-11-2004</t>
  </si>
  <si>
    <t>19-11-2004</t>
  </si>
  <si>
    <t>12-11-2004</t>
  </si>
  <si>
    <t>05-11-2004</t>
  </si>
  <si>
    <t>29-10-2004</t>
  </si>
  <si>
    <t>22-10-2004</t>
  </si>
  <si>
    <t>15-10-2004</t>
  </si>
  <si>
    <t>08-10-2004</t>
  </si>
  <si>
    <t>01-10-2004</t>
  </si>
  <si>
    <t>24-09-2004</t>
  </si>
  <si>
    <t>17-09-2004</t>
  </si>
  <si>
    <t>10-09-2004</t>
  </si>
  <si>
    <t>03-09-2004</t>
  </si>
  <si>
    <t>27-08-2004</t>
  </si>
  <si>
    <t>20-08-2004</t>
  </si>
  <si>
    <t>13-08-2004</t>
  </si>
  <si>
    <t>06-08-2004</t>
  </si>
  <si>
    <t>30-07-2004</t>
  </si>
  <si>
    <t>23-07-2004</t>
  </si>
  <si>
    <t>16-07-2004</t>
  </si>
  <si>
    <t>09-07-2004</t>
  </si>
  <si>
    <t>02-07-2004</t>
  </si>
  <si>
    <t>25-06-2004</t>
  </si>
  <si>
    <t>18-06-2004</t>
  </si>
  <si>
    <t>11-06-2004</t>
  </si>
  <si>
    <t>04-06-2004</t>
  </si>
  <si>
    <t>28-05-2004</t>
  </si>
  <si>
    <t>21-05-2004</t>
  </si>
  <si>
    <t>14-05-2004</t>
  </si>
  <si>
    <t>07-05-2004</t>
  </si>
  <si>
    <t>30-04-2004</t>
  </si>
  <si>
    <t>23-04-2004</t>
  </si>
  <si>
    <t>16-04-2004</t>
  </si>
  <si>
    <t>09-04-2004</t>
  </si>
  <si>
    <t>02-04-2004</t>
  </si>
  <si>
    <t>26-03-2004</t>
  </si>
  <si>
    <t>19-03-2004</t>
  </si>
  <si>
    <t>12-03-2004</t>
  </si>
  <si>
    <t>05-03-2004</t>
  </si>
  <si>
    <t>27-02-2004</t>
  </si>
  <si>
    <t>20-02-2004</t>
  </si>
  <si>
    <t>13-02-2004</t>
  </si>
  <si>
    <t>06-02-2004</t>
  </si>
  <si>
    <t>30-01-2004</t>
  </si>
  <si>
    <t>23-01-2004</t>
  </si>
  <si>
    <t>16-01-2004</t>
  </si>
  <si>
    <t>09-01-2004</t>
  </si>
  <si>
    <t>02-01-2004</t>
  </si>
  <si>
    <t>26-12-2003</t>
  </si>
  <si>
    <t>19-12-2003</t>
  </si>
  <si>
    <t>12-12-2003</t>
  </si>
  <si>
    <t>05-12-2003</t>
  </si>
  <si>
    <t>28-11-2003</t>
  </si>
  <si>
    <t>21-11-2003</t>
  </si>
  <si>
    <t>14-11-2003</t>
  </si>
  <si>
    <t>07-11-2003</t>
  </si>
  <si>
    <t>31-10-2003</t>
  </si>
  <si>
    <t>24-10-2003</t>
  </si>
  <si>
    <t>17-10-2003</t>
  </si>
  <si>
    <t>10-10-2003</t>
  </si>
  <si>
    <t>03-10-2003</t>
  </si>
  <si>
    <t>26-09-2003</t>
  </si>
  <si>
    <t>19-09-2003</t>
  </si>
  <si>
    <t>12-09-2003</t>
  </si>
  <si>
    <t>05-09-2003</t>
  </si>
  <si>
    <t>29-08-2003</t>
  </si>
  <si>
    <t>22-08-2003</t>
  </si>
  <si>
    <t>15-08-2003</t>
  </si>
  <si>
    <t>08-08-2003</t>
  </si>
  <si>
    <t>01-08-2003</t>
  </si>
  <si>
    <t>25-07-2003</t>
  </si>
  <si>
    <t>18-07-2003</t>
  </si>
  <si>
    <t>11-07-2003</t>
  </si>
  <si>
    <t>04-07-2003</t>
  </si>
  <si>
    <t>27-06-2003</t>
  </si>
  <si>
    <t>20-06-2003</t>
  </si>
  <si>
    <t>13-06-2003</t>
  </si>
  <si>
    <t>06-06-2003</t>
  </si>
  <si>
    <t>30-05-2003</t>
  </si>
  <si>
    <t>23-05-2003</t>
  </si>
  <si>
    <t>16-05-2003</t>
  </si>
  <si>
    <t>09-05-2003</t>
  </si>
  <si>
    <t>02-05-2003</t>
  </si>
  <si>
    <t>25-04-2003</t>
  </si>
  <si>
    <t>18-04-2003</t>
  </si>
  <si>
    <t>11-04-2003</t>
  </si>
  <si>
    <t>04-04-2003</t>
  </si>
  <si>
    <t>28-03-2003</t>
  </si>
  <si>
    <t>21-03-2003</t>
  </si>
  <si>
    <t>14-03-2003</t>
  </si>
  <si>
    <t>07-03-2003</t>
  </si>
  <si>
    <t>28-02-2003</t>
  </si>
  <si>
    <t>21-02-2003</t>
  </si>
  <si>
    <t>14-02-2003</t>
  </si>
  <si>
    <t>07-02-2003</t>
  </si>
  <si>
    <t>31-01-2003</t>
  </si>
  <si>
    <t>24-01-2003</t>
  </si>
  <si>
    <t>17-01-2003</t>
  </si>
  <si>
    <t>10-01-2003</t>
  </si>
  <si>
    <t>03-01-2003</t>
  </si>
  <si>
    <t>27-12-2002</t>
  </si>
  <si>
    <t>20-12-2002</t>
  </si>
  <si>
    <t>13-12-2002</t>
  </si>
  <si>
    <t>06-12-2002</t>
  </si>
  <si>
    <t>29-11-2002</t>
  </si>
  <si>
    <t>22-11-2002</t>
  </si>
  <si>
    <t>15-11-2002</t>
  </si>
  <si>
    <t>08-11-2002</t>
  </si>
  <si>
    <t>01-11-2002</t>
  </si>
  <si>
    <t>25-10-2002</t>
  </si>
  <si>
    <t>18-10-2002</t>
  </si>
  <si>
    <t>11-10-2002</t>
  </si>
  <si>
    <t>04-10-2002</t>
  </si>
  <si>
    <t>27-09-2002</t>
  </si>
  <si>
    <t>20-09-2002</t>
  </si>
  <si>
    <t>13-09-2002</t>
  </si>
  <si>
    <t>06-09-2002</t>
  </si>
  <si>
    <t>30-08-2002</t>
  </si>
  <si>
    <t>23-08-2002</t>
  </si>
  <si>
    <t>16-08-2002</t>
  </si>
  <si>
    <t>09-08-2002</t>
  </si>
  <si>
    <t>02-08-2002</t>
  </si>
  <si>
    <t>26-07-2002</t>
  </si>
  <si>
    <t>19-07-2002</t>
  </si>
  <si>
    <t>12-07-2002</t>
  </si>
  <si>
    <t>05-07-2002</t>
  </si>
  <si>
    <t>28-06-2002</t>
  </si>
  <si>
    <t>21-06-2002</t>
  </si>
  <si>
    <t>14-06-2002</t>
  </si>
  <si>
    <t>07-06-2002</t>
  </si>
  <si>
    <t>31-05-2002</t>
  </si>
  <si>
    <t>24-05-2002</t>
  </si>
  <si>
    <t>17-05-2002</t>
  </si>
  <si>
    <t>10-05-2002</t>
  </si>
  <si>
    <t>03-05-2002</t>
  </si>
  <si>
    <t>26-04-2002</t>
  </si>
  <si>
    <t>19-04-2002</t>
  </si>
  <si>
    <t>12-04-2002</t>
  </si>
  <si>
    <t>05-04-2002</t>
  </si>
  <si>
    <t>29-03-2002</t>
  </si>
  <si>
    <t>22-03-2002</t>
  </si>
  <si>
    <t>15-03-2002</t>
  </si>
  <si>
    <t>08-03-2002</t>
  </si>
  <si>
    <t>01-03-2002</t>
  </si>
  <si>
    <t>22-02-2002</t>
  </si>
  <si>
    <t>15-02-2002</t>
  </si>
  <si>
    <t>08-02-2002</t>
  </si>
  <si>
    <t>01-02-2002</t>
  </si>
  <si>
    <t>25-01-2002</t>
  </si>
  <si>
    <t>18-01-2002</t>
  </si>
  <si>
    <t>11-01-2002</t>
  </si>
  <si>
    <t>04-01-2002</t>
  </si>
  <si>
    <t>28-12-2001</t>
  </si>
  <si>
    <t>21-12-2001</t>
  </si>
  <si>
    <t>14-12-2001</t>
  </si>
  <si>
    <t>07-12-2001</t>
  </si>
  <si>
    <t>30-11-2001</t>
  </si>
  <si>
    <t>23-11-2001</t>
  </si>
  <si>
    <t>16-11-2001</t>
  </si>
  <si>
    <t>09-11-2001</t>
  </si>
  <si>
    <t>02-11-2001</t>
  </si>
  <si>
    <t>26-10-2001</t>
  </si>
  <si>
    <t>19-10-2001</t>
  </si>
  <si>
    <t>12-10-2001</t>
  </si>
  <si>
    <t>05-10-2001</t>
  </si>
  <si>
    <t>28-09-2001</t>
  </si>
  <si>
    <t>21-09-2001</t>
  </si>
  <si>
    <t>14-09-2001</t>
  </si>
  <si>
    <t>07-09-2001</t>
  </si>
  <si>
    <t>31-08-2001</t>
  </si>
  <si>
    <t>24-08-2001</t>
  </si>
  <si>
    <t>17-08-2001</t>
  </si>
  <si>
    <t>10-08-2001</t>
  </si>
  <si>
    <t>03-08-2001</t>
  </si>
  <si>
    <t>27-07-2001</t>
  </si>
  <si>
    <t>20-07-2001</t>
  </si>
  <si>
    <t>13-07-2001</t>
  </si>
  <si>
    <t>06-07-2001</t>
  </si>
  <si>
    <t>29-06-2001</t>
  </si>
  <si>
    <t>22-06-2001</t>
  </si>
  <si>
    <t>15-06-2001</t>
  </si>
  <si>
    <t>08-06-2001</t>
  </si>
  <si>
    <t>01-06-2001</t>
  </si>
  <si>
    <t>25-05-2001</t>
  </si>
  <si>
    <t>18-05-2001</t>
  </si>
  <si>
    <t>11-05-2001</t>
  </si>
  <si>
    <t>04-05-2001</t>
  </si>
  <si>
    <t>27-04-2001</t>
  </si>
  <si>
    <t>20-04-2001</t>
  </si>
  <si>
    <t>13-04-2001</t>
  </si>
  <si>
    <t>06-04-2001</t>
  </si>
  <si>
    <t>30-03-2001</t>
  </si>
  <si>
    <t>23-03-2001</t>
  </si>
  <si>
    <t>16-03-2001</t>
  </si>
  <si>
    <t>09-03-2001</t>
  </si>
  <si>
    <t>02-03-2001</t>
  </si>
  <si>
    <t>23-02-2001</t>
  </si>
  <si>
    <t>16-02-2001</t>
  </si>
  <si>
    <t>09-02-2001</t>
  </si>
  <si>
    <t>02-02-2001</t>
  </si>
  <si>
    <t>26-01-2001</t>
  </si>
  <si>
    <t>19-01-2001</t>
  </si>
  <si>
    <t>12-01-2001</t>
  </si>
  <si>
    <t>05-01-2001</t>
  </si>
  <si>
    <t>29-12-2000</t>
  </si>
  <si>
    <t>22-12-2000</t>
  </si>
  <si>
    <t>15-12-2000</t>
  </si>
  <si>
    <t>08-12-2000</t>
  </si>
  <si>
    <t>01-12-2000</t>
  </si>
  <si>
    <t>24-11-2000</t>
  </si>
  <si>
    <t>17-11-2000</t>
  </si>
  <si>
    <t>10-11-2000</t>
  </si>
  <si>
    <t>03-11-2000</t>
  </si>
  <si>
    <t>27-10-2000</t>
  </si>
  <si>
    <t>20-10-2000</t>
  </si>
  <si>
    <t>13-10-2000</t>
  </si>
  <si>
    <t>06-10-2000</t>
  </si>
  <si>
    <t>29-09-2000</t>
  </si>
  <si>
    <t>22-09-2000</t>
  </si>
  <si>
    <t>15-09-2000</t>
  </si>
  <si>
    <t>08-09-2000</t>
  </si>
  <si>
    <t>01-09-2000</t>
  </si>
  <si>
    <t>25-08-2000</t>
  </si>
  <si>
    <t>18-08-2000</t>
  </si>
  <si>
    <t>11-08-2000</t>
  </si>
  <si>
    <t>04-08-2000</t>
  </si>
  <si>
    <t>28-07-2000</t>
  </si>
  <si>
    <t>21-07-2000</t>
  </si>
  <si>
    <t>14-07-2000</t>
  </si>
  <si>
    <t>07-07-2000</t>
  </si>
  <si>
    <t>|e|/n</t>
  </si>
  <si>
    <t xml:space="preserve"> n =</t>
  </si>
  <si>
    <t>MSE =</t>
  </si>
  <si>
    <t>RMSE =</t>
  </si>
  <si>
    <t xml:space="preserve"> MAPE =</t>
  </si>
  <si>
    <t>Accuracy =</t>
  </si>
  <si>
    <t>MAPE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</si>
</sst>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22" fontId="1" fillId="0" borderId="0"/>
  </cellStyleXfs>
  <cellXfs count="21">
    <xf numFmtId="0" fontId="0" fillId="0" borderId="0" xfId="0"/>
    <xf numFmtId="22" fontId="1" fillId="0" borderId="0" xfId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2" xfId="0" applyBorder="1"/>
    <xf numFmtId="0" fontId="2" fillId="0" borderId="2" xfId="0" applyFont="1" applyBorder="1"/>
    <xf numFmtId="49" fontId="0" fillId="0" borderId="0" xfId="0" applyNumberFormat="1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/>
    <xf numFmtId="0" fontId="0" fillId="0" borderId="2" xfId="0" applyBorder="1" applyAlignment="1"/>
    <xf numFmtId="0" fontId="2" fillId="0" borderId="3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2">
    <cellStyle name="blp_datetime" xfId="1" xr:uid="{6DCD9460-112B-4B0A-B30D-B98A40799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llon O'Connor" refreshedDate="45146.73662708333" createdVersion="8" refreshedVersion="8" minRefreshableVersion="3" recordCount="1203" xr:uid="{CE3DF376-1C22-4BAE-AD71-A3D75056DA8D}">
  <cacheSource type="worksheet">
    <worksheetSource ref="A8:C1211" sheet="FEDEX(LSM)"/>
  </cacheSource>
  <cacheFields count="6">
    <cacheField name="Date" numFmtId="164">
      <sharedItems containsSemiMixedTypes="0" containsNonDate="0" containsDate="1" containsString="0" minDate="2000-07-07T00:00:00" maxDate="2023-07-22T00:00:00" count="1203">
        <d v="2023-07-21T00:00:00"/>
        <d v="2023-07-14T00:00:00"/>
        <d v="2023-07-07T00:00:00"/>
        <d v="2023-06-30T00:00:00"/>
        <d v="2023-06-23T00:00:00"/>
        <d v="2023-06-16T00:00:00"/>
        <d v="2023-06-09T00:00:00"/>
        <d v="2023-06-02T00:00:00"/>
        <d v="2023-05-26T00:00:00"/>
        <d v="2023-05-19T00:00:00"/>
        <d v="2023-05-12T00:00:00"/>
        <d v="2023-05-05T00:00:00"/>
        <d v="2023-04-28T00:00:00"/>
        <d v="2023-04-21T00:00:00"/>
        <d v="2023-04-14T00:00:00"/>
        <d v="2023-04-07T00:00:00"/>
        <d v="2023-03-31T00:00:00"/>
        <d v="2023-03-24T00:00:00"/>
        <d v="2023-03-17T00:00:00"/>
        <d v="2023-03-10T00:00:00"/>
        <d v="2023-03-03T00:00:00"/>
        <d v="2023-02-24T00:00:00"/>
        <d v="2023-02-17T00:00:00"/>
        <d v="2023-02-10T00:00:00"/>
        <d v="2023-02-03T00:00:00"/>
        <d v="2023-01-27T00:00:00"/>
        <d v="2023-01-20T00:00:00"/>
        <d v="2023-01-13T00:00:00"/>
        <d v="2023-01-06T00:00:00"/>
        <d v="2022-12-30T00:00:00"/>
        <d v="2022-12-23T00:00:00"/>
        <d v="2022-12-16T00:00:00"/>
        <d v="2022-12-09T00:00:00"/>
        <d v="2022-12-02T00:00:00"/>
        <d v="2022-11-25T00:00:00"/>
        <d v="2022-11-18T00:00:00"/>
        <d v="2022-11-11T00:00:00"/>
        <d v="2022-11-04T00:00:00"/>
        <d v="2022-10-28T00:00:00"/>
        <d v="2022-10-21T00:00:00"/>
        <d v="2022-10-14T00:00:00"/>
        <d v="2022-10-07T00:00:00"/>
        <d v="2022-09-30T00:00:00"/>
        <d v="2022-09-23T00:00:00"/>
        <d v="2022-09-16T00:00:00"/>
        <d v="2022-09-09T00:00:00"/>
        <d v="2022-09-02T00:00:00"/>
        <d v="2022-08-26T00:00:00"/>
        <d v="2022-08-19T00:00:00"/>
        <d v="2022-08-12T00:00:00"/>
        <d v="2022-08-05T00:00:00"/>
        <d v="2022-07-29T00:00:00"/>
        <d v="2022-07-22T00:00:00"/>
        <d v="2022-07-15T00:00:00"/>
        <d v="2022-07-08T00:00:00"/>
        <d v="2022-07-01T00:00:00"/>
        <d v="2022-06-24T00:00:00"/>
        <d v="2022-06-17T00:00:00"/>
        <d v="2022-06-10T00:00:00"/>
        <d v="2022-06-03T00:00:00"/>
        <d v="2022-05-27T00:00:00"/>
        <d v="2022-05-20T00:00:00"/>
        <d v="2022-05-13T00:00:00"/>
        <d v="2022-05-06T00:00:00"/>
        <d v="2022-04-29T00:00:00"/>
        <d v="2022-04-22T00:00:00"/>
        <d v="2022-04-15T00:00:00"/>
        <d v="2022-04-08T00:00:00"/>
        <d v="2022-04-01T00:00:00"/>
        <d v="2022-03-25T00:00:00"/>
        <d v="2022-03-18T00:00:00"/>
        <d v="2022-03-11T00:00:00"/>
        <d v="2022-03-04T00:00:00"/>
        <d v="2022-02-25T00:00:00"/>
        <d v="2022-02-18T00:00:00"/>
        <d v="2022-02-11T00:00:00"/>
        <d v="2022-02-04T00:00:00"/>
        <d v="2022-01-28T00:00:00"/>
        <d v="2022-01-21T00:00:00"/>
        <d v="2022-01-14T00:00:00"/>
        <d v="2022-01-07T00:00:00"/>
        <d v="2021-12-31T00:00:00"/>
        <d v="2021-12-24T00:00:00"/>
        <d v="2021-12-17T00:00:00"/>
        <d v="2021-12-10T00:00:00"/>
        <d v="2021-12-03T00:00:00"/>
        <d v="2021-11-26T00:00:00"/>
        <d v="2021-11-19T00:00:00"/>
        <d v="2021-11-12T00:00:00"/>
        <d v="2021-11-05T00:00:00"/>
        <d v="2021-10-29T00:00:00"/>
        <d v="2021-10-22T00:00:00"/>
        <d v="2021-10-15T00:00:00"/>
        <d v="2021-10-08T00:00:00"/>
        <d v="2021-10-01T00:00:00"/>
        <d v="2021-09-24T00:00:00"/>
        <d v="2021-09-17T00:00:00"/>
        <d v="2021-09-10T00:00:00"/>
        <d v="2021-09-03T00:00:00"/>
        <d v="2021-08-27T00:00:00"/>
        <d v="2021-08-20T00:00:00"/>
        <d v="2021-08-13T00:00:00"/>
        <d v="2021-08-06T00:00:00"/>
        <d v="2021-07-30T00:00:00"/>
        <d v="2021-07-23T00:00:00"/>
        <d v="2021-07-16T00:00:00"/>
        <d v="2021-07-09T00:00:00"/>
        <d v="2021-07-02T00:00:00"/>
        <d v="2021-06-25T00:00:00"/>
        <d v="2021-06-18T00:00:00"/>
        <d v="2021-06-11T00:00:00"/>
        <d v="2021-06-04T00:00:00"/>
        <d v="2021-05-28T00:00:00"/>
        <d v="2021-05-21T00:00:00"/>
        <d v="2021-05-14T00:00:00"/>
        <d v="2021-05-07T00:00:00"/>
        <d v="2021-04-30T00:00:00"/>
        <d v="2021-04-23T00:00:00"/>
        <d v="2021-04-16T00:00:00"/>
        <d v="2021-04-09T00:00:00"/>
        <d v="2021-04-02T00:00:00"/>
        <d v="2021-03-26T00:00:00"/>
        <d v="2021-03-19T00:00:00"/>
        <d v="2021-03-12T00:00:00"/>
        <d v="2021-03-05T00:00:00"/>
        <d v="2021-02-26T00:00:00"/>
        <d v="2021-02-19T00:00:00"/>
        <d v="2021-02-12T00:00:00"/>
        <d v="2021-02-05T00:00:00"/>
        <d v="2021-01-29T00:00:00"/>
        <d v="2021-01-22T00:00:00"/>
        <d v="2021-01-15T00:00:00"/>
        <d v="2021-01-08T00:00:00"/>
        <d v="2021-01-01T00:00:00"/>
        <d v="2020-12-25T00:00:00"/>
        <d v="2020-12-18T00:00:00"/>
        <d v="2020-12-11T00:00:00"/>
        <d v="2020-12-04T00:00:00"/>
        <d v="2020-11-27T00:00:00"/>
        <d v="2020-11-20T00:00:00"/>
        <d v="2020-11-13T00:00:00"/>
        <d v="2020-11-06T00:00:00"/>
        <d v="2020-10-30T00:00:00"/>
        <d v="2020-10-23T00:00:00"/>
        <d v="2020-10-16T00:00:00"/>
        <d v="2020-10-09T00:00:00"/>
        <d v="2020-10-02T00:00:00"/>
        <d v="2020-09-25T00:00:00"/>
        <d v="2020-09-18T00:00:00"/>
        <d v="2020-09-11T00:00:00"/>
        <d v="2020-09-04T00:00:00"/>
        <d v="2020-08-28T00:00:00"/>
        <d v="2020-08-21T00:00:00"/>
        <d v="2020-08-14T00:00:00"/>
        <d v="2020-08-07T00:00:00"/>
        <d v="2020-07-31T00:00:00"/>
        <d v="2020-07-24T00:00:00"/>
        <d v="2020-07-17T00:00:00"/>
        <d v="2020-07-10T00:00:00"/>
        <d v="2020-07-03T00:00:00"/>
        <d v="2020-06-26T00:00:00"/>
        <d v="2020-06-19T00:00:00"/>
        <d v="2020-06-12T00:00:00"/>
        <d v="2020-06-05T00:00:00"/>
        <d v="2020-05-29T00:00:00"/>
        <d v="2020-05-22T00:00:00"/>
        <d v="2020-05-15T00:00:00"/>
        <d v="2020-05-08T00:00:00"/>
        <d v="2020-05-01T00:00:00"/>
        <d v="2020-04-24T00:00:00"/>
        <d v="2020-04-17T00:00:00"/>
        <d v="2020-04-10T00:00:00"/>
        <d v="2020-04-03T00:00:00"/>
        <d v="2020-03-27T00:00:00"/>
        <d v="2020-03-20T00:00:00"/>
        <d v="2020-03-13T00:00:00"/>
        <d v="2020-03-06T00:00:00"/>
        <d v="2020-02-28T00:00:00"/>
        <d v="2020-02-21T00:00:00"/>
        <d v="2020-02-14T00:00:00"/>
        <d v="2020-02-07T00:00:00"/>
        <d v="2020-01-31T00:00:00"/>
        <d v="2020-01-24T00:00:00"/>
        <d v="2020-01-17T00:00:00"/>
        <d v="2020-01-10T00:00:00"/>
        <d v="2020-01-03T00:00:00"/>
        <d v="2019-12-27T00:00:00"/>
        <d v="2019-12-20T00:00:00"/>
        <d v="2019-12-13T00:00:00"/>
        <d v="2019-12-06T00:00:00"/>
        <d v="2019-11-29T00:00:00"/>
        <d v="2019-11-22T00:00:00"/>
        <d v="2019-11-15T00:00:00"/>
        <d v="2019-11-08T00:00:00"/>
        <d v="2019-11-01T00:00:00"/>
        <d v="2019-10-25T00:00:00"/>
        <d v="2019-10-18T00:00:00"/>
        <d v="2019-10-11T00:00:00"/>
        <d v="2019-10-04T00:00:00"/>
        <d v="2019-09-27T00:00:00"/>
        <d v="2019-09-20T00:00:00"/>
        <d v="2019-09-13T00:00:00"/>
        <d v="2019-09-06T00:00:00"/>
        <d v="2019-08-30T00:00:00"/>
        <d v="2019-08-23T00:00:00"/>
        <d v="2019-08-16T00:00:00"/>
        <d v="2019-08-09T00:00:00"/>
        <d v="2019-08-02T00:00:00"/>
        <d v="2019-07-26T00:00:00"/>
        <d v="2019-07-19T00:00:00"/>
        <d v="2019-07-12T00:00:00"/>
        <d v="2019-07-05T00:00:00"/>
        <d v="2019-06-28T00:00:00"/>
        <d v="2019-06-21T00:00:00"/>
        <d v="2019-06-14T00:00:00"/>
        <d v="2019-06-07T00:00:00"/>
        <d v="2019-05-31T00:00:00"/>
        <d v="2019-05-24T00:00:00"/>
        <d v="2019-05-17T00:00:00"/>
        <d v="2019-05-10T00:00:00"/>
        <d v="2019-05-03T00:00:00"/>
        <d v="2019-04-26T00:00:00"/>
        <d v="2019-04-19T00:00:00"/>
        <d v="2019-04-12T00:00:00"/>
        <d v="2019-04-05T00:00:00"/>
        <d v="2019-03-29T00:00:00"/>
        <d v="2019-03-22T00:00:00"/>
        <d v="2019-03-15T00:00:00"/>
        <d v="2019-03-08T00:00:00"/>
        <d v="2019-03-01T00:00:00"/>
        <d v="2019-02-22T00:00:00"/>
        <d v="2019-02-15T00:00:00"/>
        <d v="2019-02-08T00:00:00"/>
        <d v="2019-02-01T00:00:00"/>
        <d v="2019-01-25T00:00:00"/>
        <d v="2019-01-18T00:00:00"/>
        <d v="2019-01-11T00:00:00"/>
        <d v="2019-01-04T00:00:00"/>
        <d v="2018-12-28T00:00:00"/>
        <d v="2018-12-21T00:00:00"/>
        <d v="2018-12-14T00:00:00"/>
        <d v="2018-12-07T00:00:00"/>
        <d v="2018-11-30T00:00:00"/>
        <d v="2018-11-23T00:00:00"/>
        <d v="2018-11-16T00:00:00"/>
        <d v="2018-11-09T00:00:00"/>
        <d v="2018-11-02T00:00:00"/>
        <d v="2018-10-26T00:00:00"/>
        <d v="2018-10-19T00:00:00"/>
        <d v="2018-10-12T00:00:00"/>
        <d v="2018-10-05T00:00:00"/>
        <d v="2018-09-28T00:00:00"/>
        <d v="2018-09-21T00:00:00"/>
        <d v="2018-09-14T00:00:00"/>
        <d v="2018-09-07T00:00:00"/>
        <d v="2018-08-31T00:00:00"/>
        <d v="2018-08-24T00:00:00"/>
        <d v="2018-08-17T00:00:00"/>
        <d v="2018-08-10T00:00:00"/>
        <d v="2018-08-03T00:00:00"/>
        <d v="2018-07-27T00:00:00"/>
        <d v="2018-07-20T00:00:00"/>
        <d v="2018-07-13T00:00:00"/>
        <d v="2018-07-06T00:00:00"/>
        <d v="2018-06-29T00:00:00"/>
        <d v="2018-06-22T00:00:00"/>
        <d v="2018-06-15T00:00:00"/>
        <d v="2018-06-08T00:00:00"/>
        <d v="2018-06-01T00:00:00"/>
        <d v="2018-05-25T00:00:00"/>
        <d v="2018-05-18T00:00:00"/>
        <d v="2018-05-11T00:00:00"/>
        <d v="2018-05-04T00:00:00"/>
        <d v="2018-04-27T00:00:00"/>
        <d v="2018-04-20T00:00:00"/>
        <d v="2018-04-13T00:00:00"/>
        <d v="2018-04-06T00:00:00"/>
        <d v="2018-03-30T00:00:00"/>
        <d v="2018-03-23T00:00:00"/>
        <d v="2018-03-16T00:00:00"/>
        <d v="2018-03-09T00:00:00"/>
        <d v="2018-03-02T00:00:00"/>
        <d v="2018-02-23T00:00:00"/>
        <d v="2018-02-16T00:00:00"/>
        <d v="2018-02-09T00:00:00"/>
        <d v="2018-02-02T00:00:00"/>
        <d v="2018-01-26T00:00:00"/>
        <d v="2018-01-19T00:00:00"/>
        <d v="2018-01-12T00:00:00"/>
        <d v="2018-01-05T00:00:00"/>
        <d v="2017-12-29T00:00:00"/>
        <d v="2017-12-22T00:00:00"/>
        <d v="2017-12-15T00:00:00"/>
        <d v="2017-12-08T00:00:00"/>
        <d v="2017-12-01T00:00:00"/>
        <d v="2017-11-24T00:00:00"/>
        <d v="2017-11-17T00:00:00"/>
        <d v="2017-11-10T00:00:00"/>
        <d v="2017-11-03T00:00:00"/>
        <d v="2017-10-27T00:00:00"/>
        <d v="2017-10-20T00:00:00"/>
        <d v="2017-10-13T00:00:00"/>
        <d v="2017-10-06T00:00:00"/>
        <d v="2017-09-29T00:00:00"/>
        <d v="2017-09-22T00:00:00"/>
        <d v="2017-09-15T00:00:00"/>
        <d v="2017-09-08T00:00:00"/>
        <d v="2017-09-01T00:00:00"/>
        <d v="2017-08-25T00:00:00"/>
        <d v="2017-08-18T00:00:00"/>
        <d v="2017-08-11T00:00:00"/>
        <d v="2017-08-04T00:00:00"/>
        <d v="2017-07-28T00:00:00"/>
        <d v="2017-07-21T00:00:00"/>
        <d v="2017-07-14T00:00:00"/>
        <d v="2017-07-07T00:00:00"/>
        <d v="2017-06-30T00:00:00"/>
        <d v="2017-06-23T00:00:00"/>
        <d v="2017-06-16T00:00:00"/>
        <d v="2017-06-09T00:00:00"/>
        <d v="2017-06-02T00:00:00"/>
        <d v="2017-05-26T00:00:00"/>
        <d v="2017-05-19T00:00:00"/>
        <d v="2017-05-12T00:00:00"/>
        <d v="2017-05-05T00:00:00"/>
        <d v="2017-04-28T00:00:00"/>
        <d v="2017-04-21T00:00:00"/>
        <d v="2017-04-14T00:00:00"/>
        <d v="2017-04-07T00:00:00"/>
        <d v="2017-03-31T00:00:00"/>
        <d v="2017-03-24T00:00:00"/>
        <d v="2017-03-17T00:00:00"/>
        <d v="2017-03-10T00:00:00"/>
        <d v="2017-03-03T00:00:00"/>
        <d v="2017-02-24T00:00:00"/>
        <d v="2017-02-17T00:00:00"/>
        <d v="2017-02-10T00:00:00"/>
        <d v="2017-02-03T00:00:00"/>
        <d v="2017-01-27T00:00:00"/>
        <d v="2017-01-20T00:00:00"/>
        <d v="2017-01-13T00:00:00"/>
        <d v="2017-01-06T00:00:00"/>
        <d v="2016-12-30T00:00:00"/>
        <d v="2016-12-23T00:00:00"/>
        <d v="2016-12-16T00:00:00"/>
        <d v="2016-12-09T00:00:00"/>
        <d v="2016-12-02T00:00:00"/>
        <d v="2016-11-25T00:00:00"/>
        <d v="2016-11-18T00:00:00"/>
        <d v="2016-11-11T00:00:00"/>
        <d v="2016-11-04T00:00:00"/>
        <d v="2016-10-28T00:00:00"/>
        <d v="2016-10-21T00:00:00"/>
        <d v="2016-10-14T00:00:00"/>
        <d v="2016-10-07T00:00:00"/>
        <d v="2016-09-30T00:00:00"/>
        <d v="2016-09-23T00:00:00"/>
        <d v="2016-09-16T00:00:00"/>
        <d v="2016-09-09T00:00:00"/>
        <d v="2016-09-02T00:00:00"/>
        <d v="2016-08-26T00:00:00"/>
        <d v="2016-08-19T00:00:00"/>
        <d v="2016-08-12T00:00:00"/>
        <d v="2016-08-05T00:00:00"/>
        <d v="2016-07-29T00:00:00"/>
        <d v="2016-07-22T00:00:00"/>
        <d v="2016-07-15T00:00:00"/>
        <d v="2016-07-08T00:00:00"/>
        <d v="2016-07-01T00:00:00"/>
        <d v="2016-06-24T00:00:00"/>
        <d v="2016-06-17T00:00:00"/>
        <d v="2016-06-10T00:00:00"/>
        <d v="2016-06-03T00:00:00"/>
        <d v="2016-05-27T00:00:00"/>
        <d v="2016-05-20T00:00:00"/>
        <d v="2016-05-13T00:00:00"/>
        <d v="2016-05-06T00:00:00"/>
        <d v="2016-04-29T00:00:00"/>
        <d v="2016-04-22T00:00:00"/>
        <d v="2016-04-15T00:00:00"/>
        <d v="2016-04-08T00:00:00"/>
        <d v="2016-04-01T00:00:00"/>
        <d v="2016-03-25T00:00:00"/>
        <d v="2016-03-18T00:00:00"/>
        <d v="2016-03-11T00:00:00"/>
        <d v="2016-03-04T00:00:00"/>
        <d v="2016-02-26T00:00:00"/>
        <d v="2016-02-19T00:00:00"/>
        <d v="2016-02-12T00:00:00"/>
        <d v="2016-02-05T00:00:00"/>
        <d v="2016-01-29T00:00:00"/>
        <d v="2016-01-22T00:00:00"/>
        <d v="2016-01-15T00:00:00"/>
        <d v="2016-01-08T00:00:00"/>
        <d v="2016-01-01T00:00:00"/>
        <d v="2015-12-25T00:00:00"/>
        <d v="2015-12-18T00:00:00"/>
        <d v="2015-12-11T00:00:00"/>
        <d v="2015-12-04T00:00:00"/>
        <d v="2015-11-27T00:00:00"/>
        <d v="2015-11-20T00:00:00"/>
        <d v="2015-11-13T00:00:00"/>
        <d v="2015-11-06T00:00:00"/>
        <d v="2015-10-30T00:00:00"/>
        <d v="2015-10-23T00:00:00"/>
        <d v="2015-10-16T00:00:00"/>
        <d v="2015-10-09T00:00:00"/>
        <d v="2015-10-02T00:00:00"/>
        <d v="2015-09-25T00:00:00"/>
        <d v="2015-09-18T00:00:00"/>
        <d v="2015-09-11T00:00:00"/>
        <d v="2015-09-04T00:00:00"/>
        <d v="2015-08-28T00:00:00"/>
        <d v="2015-08-21T00:00:00"/>
        <d v="2015-08-14T00:00:00"/>
        <d v="2015-08-07T00:00:00"/>
        <d v="2015-07-31T00:00:00"/>
        <d v="2015-07-24T00:00:00"/>
        <d v="2015-07-17T00:00:00"/>
        <d v="2015-07-10T00:00:00"/>
        <d v="2015-07-03T00:00:00"/>
        <d v="2015-06-26T00:00:00"/>
        <d v="2015-06-19T00:00:00"/>
        <d v="2015-06-12T00:00:00"/>
        <d v="2015-06-05T00:00:00"/>
        <d v="2015-05-29T00:00:00"/>
        <d v="2015-05-22T00:00:00"/>
        <d v="2015-05-15T00:00:00"/>
        <d v="2015-05-08T00:00:00"/>
        <d v="2015-05-01T00:00:00"/>
        <d v="2015-04-24T00:00:00"/>
        <d v="2015-04-17T00:00:00"/>
        <d v="2015-04-10T00:00:00"/>
        <d v="2015-04-03T00:00:00"/>
        <d v="2015-03-27T00:00:00"/>
        <d v="2015-03-20T00:00:00"/>
        <d v="2015-03-13T00:00:00"/>
        <d v="2015-03-06T00:00:00"/>
        <d v="2015-02-27T00:00:00"/>
        <d v="2015-02-20T00:00:00"/>
        <d v="2015-02-13T00:00:00"/>
        <d v="2015-02-06T00:00:00"/>
        <d v="2015-01-30T00:00:00"/>
        <d v="2015-01-23T00:00:00"/>
        <d v="2015-01-16T00:00:00"/>
        <d v="2015-01-09T00:00:00"/>
        <d v="2015-01-02T00:00:00"/>
        <d v="2014-12-26T00:00:00"/>
        <d v="2014-12-19T00:00:00"/>
        <d v="2014-12-12T00:00:00"/>
        <d v="2014-12-05T00:00:00"/>
        <d v="2014-11-28T00:00:00"/>
        <d v="2014-11-21T00:00:00"/>
        <d v="2014-11-14T00:00:00"/>
        <d v="2014-11-07T00:00:00"/>
        <d v="2014-10-31T00:00:00"/>
        <d v="2014-10-24T00:00:00"/>
        <d v="2014-10-17T00:00:00"/>
        <d v="2014-10-10T00:00:00"/>
        <d v="2014-10-03T00:00:00"/>
        <d v="2014-09-26T00:00:00"/>
        <d v="2014-09-19T00:00:00"/>
        <d v="2014-09-12T00:00:00"/>
        <d v="2014-09-05T00:00:00"/>
        <d v="2014-08-29T00:00:00"/>
        <d v="2014-08-22T00:00:00"/>
        <d v="2014-08-15T00:00:00"/>
        <d v="2014-08-08T00:00:00"/>
        <d v="2014-08-01T00:00:00"/>
        <d v="2014-07-25T00:00:00"/>
        <d v="2014-07-18T00:00:00"/>
        <d v="2014-07-11T00:00:00"/>
        <d v="2014-07-04T00:00:00"/>
        <d v="2014-06-27T00:00:00"/>
        <d v="2014-06-20T00:00:00"/>
        <d v="2014-06-13T00:00:00"/>
        <d v="2014-06-06T00:00:00"/>
        <d v="2014-05-30T00:00:00"/>
        <d v="2014-05-23T00:00:00"/>
        <d v="2014-05-16T00:00:00"/>
        <d v="2014-05-09T00:00:00"/>
        <d v="2014-05-02T00:00:00"/>
        <d v="2014-04-25T00:00:00"/>
        <d v="2014-04-18T00:00:00"/>
        <d v="2014-04-11T00:00:00"/>
        <d v="2014-04-04T00:00:00"/>
        <d v="2014-03-28T00:00:00"/>
        <d v="2014-03-21T00:00:00"/>
        <d v="2014-03-14T00:00:00"/>
        <d v="2014-03-07T00:00:00"/>
        <d v="2014-02-28T00:00:00"/>
        <d v="2014-02-21T00:00:00"/>
        <d v="2014-02-14T00:00:00"/>
        <d v="2014-02-07T00:00:00"/>
        <d v="2014-01-31T00:00:00"/>
        <d v="2014-01-24T00:00:00"/>
        <d v="2014-01-17T00:00:00"/>
        <d v="2014-01-10T00:00:00"/>
        <d v="2014-01-03T00:00:00"/>
        <d v="2013-12-27T00:00:00"/>
        <d v="2013-12-20T00:00:00"/>
        <d v="2013-12-13T00:00:00"/>
        <d v="2013-12-06T00:00:00"/>
        <d v="2013-11-29T00:00:00"/>
        <d v="2013-11-22T00:00:00"/>
        <d v="2013-11-15T00:00:00"/>
        <d v="2013-11-08T00:00:00"/>
        <d v="2013-11-01T00:00:00"/>
        <d v="2013-10-25T00:00:00"/>
        <d v="2013-10-18T00:00:00"/>
        <d v="2013-10-11T00:00:00"/>
        <d v="2013-10-04T00:00:00"/>
        <d v="2013-09-27T00:00:00"/>
        <d v="2013-09-20T00:00:00"/>
        <d v="2013-09-13T00:00:00"/>
        <d v="2013-09-06T00:00:00"/>
        <d v="2013-08-30T00:00:00"/>
        <d v="2013-08-23T00:00:00"/>
        <d v="2013-08-16T00:00:00"/>
        <d v="2013-08-09T00:00:00"/>
        <d v="2013-08-02T00:00:00"/>
        <d v="2013-07-26T00:00:00"/>
        <d v="2013-07-19T00:00:00"/>
        <d v="2013-07-12T00:00:00"/>
        <d v="2013-07-05T00:00:00"/>
        <d v="2013-06-28T00:00:00"/>
        <d v="2013-06-21T00:00:00"/>
        <d v="2013-06-14T00:00:00"/>
        <d v="2013-06-07T00:00:00"/>
        <d v="2013-05-31T00:00:00"/>
        <d v="2013-05-24T00:00:00"/>
        <d v="2013-05-17T00:00:00"/>
        <d v="2013-05-10T00:00:00"/>
        <d v="2013-05-03T00:00:00"/>
        <d v="2013-04-26T00:00:00"/>
        <d v="2013-04-19T00:00:00"/>
        <d v="2013-04-12T00:00:00"/>
        <d v="2013-04-05T00:00:00"/>
        <d v="2013-03-29T00:00:00"/>
        <d v="2013-03-22T00:00:00"/>
        <d v="2013-03-15T00:00:00"/>
        <d v="2013-03-08T00:00:00"/>
        <d v="2013-03-01T00:00:00"/>
        <d v="2013-02-22T00:00:00"/>
        <d v="2013-02-15T00:00:00"/>
        <d v="2013-02-08T00:00:00"/>
        <d v="2013-02-01T00:00:00"/>
        <d v="2013-01-25T00:00:00"/>
        <d v="2013-01-18T00:00:00"/>
        <d v="2013-01-11T00:00:00"/>
        <d v="2013-01-04T00:00:00"/>
        <d v="2012-12-28T00:00:00"/>
        <d v="2012-12-21T00:00:00"/>
        <d v="2012-12-14T00:00:00"/>
        <d v="2012-12-07T00:00:00"/>
        <d v="2012-11-30T00:00:00"/>
        <d v="2012-11-23T00:00:00"/>
        <d v="2012-11-16T00:00:00"/>
        <d v="2012-11-09T00:00:00"/>
        <d v="2012-11-02T00:00:00"/>
        <d v="2012-10-26T00:00:00"/>
        <d v="2012-10-19T00:00:00"/>
        <d v="2012-10-12T00:00:00"/>
        <d v="2012-10-05T00:00:00"/>
        <d v="2012-09-28T00:00:00"/>
        <d v="2012-09-21T00:00:00"/>
        <d v="2012-09-14T00:00:00"/>
        <d v="2012-09-07T00:00:00"/>
        <d v="2012-08-31T00:00:00"/>
        <d v="2012-08-24T00:00:00"/>
        <d v="2012-08-17T00:00:00"/>
        <d v="2012-08-10T00:00:00"/>
        <d v="2012-08-03T00:00:00"/>
        <d v="2012-07-27T00:00:00"/>
        <d v="2012-07-20T00:00:00"/>
        <d v="2012-07-13T00:00:00"/>
        <d v="2012-07-06T00:00:00"/>
        <d v="2012-06-29T00:00:00"/>
        <d v="2012-06-22T00:00:00"/>
        <d v="2012-06-15T00:00:00"/>
        <d v="2012-06-08T00:00:00"/>
        <d v="2012-06-01T00:00:00"/>
        <d v="2012-05-25T00:00:00"/>
        <d v="2012-05-18T00:00:00"/>
        <d v="2012-05-11T00:00:00"/>
        <d v="2012-05-04T00:00:00"/>
        <d v="2012-04-27T00:00:00"/>
        <d v="2012-04-20T00:00:00"/>
        <d v="2012-04-13T00:00:00"/>
        <d v="2012-04-06T00:00:00"/>
        <d v="2012-03-30T00:00:00"/>
        <d v="2012-03-23T00:00:00"/>
        <d v="2012-03-16T00:00:00"/>
        <d v="2012-03-09T00:00:00"/>
        <d v="2012-03-02T00:00:00"/>
        <d v="2012-02-24T00:00:00"/>
        <d v="2012-02-17T00:00:00"/>
        <d v="2012-02-10T00:00:00"/>
        <d v="2012-02-03T00:00:00"/>
        <d v="2012-01-27T00:00:00"/>
        <d v="2012-01-20T00:00:00"/>
        <d v="2012-01-13T00:00:00"/>
        <d v="2012-01-06T00:00:00"/>
        <d v="2011-12-30T00:00:00"/>
        <d v="2011-12-23T00:00:00"/>
        <d v="2011-12-16T00:00:00"/>
        <d v="2011-12-09T00:00:00"/>
        <d v="2011-12-02T00:00:00"/>
        <d v="2011-11-25T00:00:00"/>
        <d v="2011-11-18T00:00:00"/>
        <d v="2011-11-11T00:00:00"/>
        <d v="2011-11-04T00:00:00"/>
        <d v="2011-10-28T00:00:00"/>
        <d v="2011-10-21T00:00:00"/>
        <d v="2011-10-14T00:00:00"/>
        <d v="2011-10-07T00:00:00"/>
        <d v="2011-09-30T00:00:00"/>
        <d v="2011-09-23T00:00:00"/>
        <d v="2011-09-16T00:00:00"/>
        <d v="2011-09-09T00:00:00"/>
        <d v="2011-09-02T00:00:00"/>
        <d v="2011-08-26T00:00:00"/>
        <d v="2011-08-19T00:00:00"/>
        <d v="2011-08-12T00:00:00"/>
        <d v="2011-08-05T00:00:00"/>
        <d v="2011-07-29T00:00:00"/>
        <d v="2011-07-22T00:00:00"/>
        <d v="2011-07-15T00:00:00"/>
        <d v="2011-07-08T00:00:00"/>
        <d v="2011-07-01T00:00:00"/>
        <d v="2011-06-24T00:00:00"/>
        <d v="2011-06-17T00:00:00"/>
        <d v="2011-06-10T00:00:00"/>
        <d v="2011-06-03T00:00:00"/>
        <d v="2011-05-27T00:00:00"/>
        <d v="2011-05-20T00:00:00"/>
        <d v="2011-05-13T00:00:00"/>
        <d v="2011-05-06T00:00:00"/>
        <d v="2011-04-29T00:00:00"/>
        <d v="2011-04-22T00:00:00"/>
        <d v="2011-04-15T00:00:00"/>
        <d v="2011-04-08T00:00:00"/>
        <d v="2011-04-01T00:00:00"/>
        <d v="2011-03-25T00:00:00"/>
        <d v="2011-03-18T00:00:00"/>
        <d v="2011-03-11T00:00:00"/>
        <d v="2011-03-04T00:00:00"/>
        <d v="2011-02-25T00:00:00"/>
        <d v="2011-02-18T00:00:00"/>
        <d v="2011-02-11T00:00:00"/>
        <d v="2011-02-04T00:00:00"/>
        <d v="2011-01-28T00:00:00"/>
        <d v="2011-01-21T00:00:00"/>
        <d v="2011-01-14T00:00:00"/>
        <d v="2011-01-07T00:00:00"/>
        <d v="2010-12-31T00:00:00"/>
        <d v="2010-12-24T00:00:00"/>
        <d v="2010-12-17T00:00:00"/>
        <d v="2010-12-10T00:00:00"/>
        <d v="2010-12-03T00:00:00"/>
        <d v="2010-11-26T00:00:00"/>
        <d v="2010-11-19T00:00:00"/>
        <d v="2010-11-12T00:00:00"/>
        <d v="2010-11-05T00:00:00"/>
        <d v="2010-10-29T00:00:00"/>
        <d v="2010-10-22T00:00:00"/>
        <d v="2010-10-15T00:00:00"/>
        <d v="2010-10-08T00:00:00"/>
        <d v="2010-10-01T00:00:00"/>
        <d v="2010-09-24T00:00:00"/>
        <d v="2010-09-17T00:00:00"/>
        <d v="2010-09-10T00:00:00"/>
        <d v="2010-09-03T00:00:00"/>
        <d v="2010-08-27T00:00:00"/>
        <d v="2010-08-20T00:00:00"/>
        <d v="2010-08-13T00:00:00"/>
        <d v="2010-08-06T00:00:00"/>
        <d v="2010-07-30T00:00:00"/>
        <d v="2010-07-23T00:00:00"/>
        <d v="2010-07-16T00:00:00"/>
        <d v="2010-07-09T00:00:00"/>
        <d v="2010-07-02T00:00:00"/>
        <d v="2010-06-25T00:00:00"/>
        <d v="2010-06-18T00:00:00"/>
        <d v="2010-06-11T00:00:00"/>
        <d v="2010-06-04T00:00:00"/>
        <d v="2010-05-28T00:00:00"/>
        <d v="2010-05-21T00:00:00"/>
        <d v="2010-05-14T00:00:00"/>
        <d v="2010-05-07T00:00:00"/>
        <d v="2010-04-30T00:00:00"/>
        <d v="2010-04-23T00:00:00"/>
        <d v="2010-04-16T00:00:00"/>
        <d v="2010-04-09T00:00:00"/>
        <d v="2010-04-02T00:00:00"/>
        <d v="2010-03-26T00:00:00"/>
        <d v="2010-03-19T00:00:00"/>
        <d v="2010-03-12T00:00:00"/>
        <d v="2010-03-05T00:00:00"/>
        <d v="2010-02-26T00:00:00"/>
        <d v="2010-02-19T00:00:00"/>
        <d v="2010-02-12T00:00:00"/>
        <d v="2010-02-05T00:00:00"/>
        <d v="2010-01-29T00:00:00"/>
        <d v="2010-01-22T00:00:00"/>
        <d v="2010-01-15T00:00:00"/>
        <d v="2010-01-08T00:00:00"/>
        <d v="2010-01-01T00:00:00"/>
        <d v="2009-12-25T00:00:00"/>
        <d v="2009-12-18T00:00:00"/>
        <d v="2009-12-11T00:00:00"/>
        <d v="2009-12-04T00:00:00"/>
        <d v="2009-11-27T00:00:00"/>
        <d v="2009-11-20T00:00:00"/>
        <d v="2009-11-13T00:00:00"/>
        <d v="2009-11-06T00:00:00"/>
        <d v="2009-10-30T00:00:00"/>
        <d v="2009-10-23T00:00:00"/>
        <d v="2009-10-16T00:00:00"/>
        <d v="2009-10-09T00:00:00"/>
        <d v="2009-10-02T00:00:00"/>
        <d v="2009-09-25T00:00:00"/>
        <d v="2009-09-18T00:00:00"/>
        <d v="2009-09-11T00:00:00"/>
        <d v="2009-09-04T00:00:00"/>
        <d v="2009-08-28T00:00:00"/>
        <d v="2009-08-21T00:00:00"/>
        <d v="2009-08-14T00:00:00"/>
        <d v="2009-08-07T00:00:00"/>
        <d v="2009-07-31T00:00:00"/>
        <d v="2009-07-24T00:00:00"/>
        <d v="2009-07-17T00:00:00"/>
        <d v="2009-07-10T00:00:00"/>
        <d v="2009-07-03T00:00:00"/>
        <d v="2009-06-26T00:00:00"/>
        <d v="2009-06-19T00:00:00"/>
        <d v="2009-06-12T00:00:00"/>
        <d v="2009-06-05T00:00:00"/>
        <d v="2009-05-29T00:00:00"/>
        <d v="2009-05-22T00:00:00"/>
        <d v="2009-05-15T00:00:00"/>
        <d v="2009-05-08T00:00:00"/>
        <d v="2009-05-01T00:00:00"/>
        <d v="2009-04-24T00:00:00"/>
        <d v="2009-04-17T00:00:00"/>
        <d v="2009-04-10T00:00:00"/>
        <d v="2009-04-03T00:00:00"/>
        <d v="2009-03-27T00:00:00"/>
        <d v="2009-03-20T00:00:00"/>
        <d v="2009-03-13T00:00:00"/>
        <d v="2009-03-06T00:00:00"/>
        <d v="2009-02-27T00:00:00"/>
        <d v="2009-02-20T00:00:00"/>
        <d v="2009-02-13T00:00:00"/>
        <d v="2009-02-06T00:00:00"/>
        <d v="2009-01-30T00:00:00"/>
        <d v="2009-01-23T00:00:00"/>
        <d v="2009-01-16T00:00:00"/>
        <d v="2009-01-09T00:00:00"/>
        <d v="2009-01-02T00:00:00"/>
        <d v="2008-12-26T00:00:00"/>
        <d v="2008-12-19T00:00:00"/>
        <d v="2008-12-12T00:00:00"/>
        <d v="2008-12-05T00:00:00"/>
        <d v="2008-11-28T00:00:00"/>
        <d v="2008-11-21T00:00:00"/>
        <d v="2008-11-14T00:00:00"/>
        <d v="2008-11-07T00:00:00"/>
        <d v="2008-10-31T00:00:00"/>
        <d v="2008-10-24T00:00:00"/>
        <d v="2008-10-17T00:00:00"/>
        <d v="2008-10-10T00:00:00"/>
        <d v="2008-10-03T00:00:00"/>
        <d v="2008-09-26T00:00:00"/>
        <d v="2008-09-19T00:00:00"/>
        <d v="2008-09-12T00:00:00"/>
        <d v="2008-09-05T00:00:00"/>
        <d v="2008-08-29T00:00:00"/>
        <d v="2008-08-22T00:00:00"/>
        <d v="2008-08-15T00:00:00"/>
        <d v="2008-08-08T00:00:00"/>
        <d v="2008-08-01T00:00:00"/>
        <d v="2008-07-25T00:00:00"/>
        <d v="2008-07-18T00:00:00"/>
        <d v="2008-07-11T00:00:00"/>
        <d v="2008-07-04T00:00:00"/>
        <d v="2008-06-27T00:00:00"/>
        <d v="2008-06-20T00:00:00"/>
        <d v="2008-06-13T00:00:00"/>
        <d v="2008-06-06T00:00:00"/>
        <d v="2008-05-30T00:00:00"/>
        <d v="2008-05-23T00:00:00"/>
        <d v="2008-05-16T00:00:00"/>
        <d v="2008-05-09T00:00:00"/>
        <d v="2008-05-02T00:00:00"/>
        <d v="2008-04-25T00:00:00"/>
        <d v="2008-04-18T00:00:00"/>
        <d v="2008-04-11T00:00:00"/>
        <d v="2008-04-04T00:00:00"/>
        <d v="2008-03-28T00:00:00"/>
        <d v="2008-03-21T00:00:00"/>
        <d v="2008-03-14T00:00:00"/>
        <d v="2008-03-07T00:00:00"/>
        <d v="2008-02-29T00:00:00"/>
        <d v="2008-02-22T00:00:00"/>
        <d v="2008-02-15T00:00:00"/>
        <d v="2008-02-08T00:00:00"/>
        <d v="2008-02-01T00:00:00"/>
        <d v="2008-01-25T00:00:00"/>
        <d v="2008-01-18T00:00:00"/>
        <d v="2008-01-11T00:00:00"/>
        <d v="2008-01-04T00:00:00"/>
        <d v="2007-12-28T00:00:00"/>
        <d v="2007-12-21T00:00:00"/>
        <d v="2007-12-14T00:00:00"/>
        <d v="2007-12-07T00:00:00"/>
        <d v="2007-11-30T00:00:00"/>
        <d v="2007-11-23T00:00:00"/>
        <d v="2007-11-16T00:00:00"/>
        <d v="2007-11-09T00:00:00"/>
        <d v="2007-11-02T00:00:00"/>
        <d v="2007-10-26T00:00:00"/>
        <d v="2007-10-19T00:00:00"/>
        <d v="2007-10-12T00:00:00"/>
        <d v="2007-10-05T00:00:00"/>
        <d v="2007-09-28T00:00:00"/>
        <d v="2007-09-21T00:00:00"/>
        <d v="2007-09-14T00:00:00"/>
        <d v="2007-09-07T00:00:00"/>
        <d v="2007-08-31T00:00:00"/>
        <d v="2007-08-24T00:00:00"/>
        <d v="2007-08-17T00:00:00"/>
        <d v="2007-08-10T00:00:00"/>
        <d v="2007-08-03T00:00:00"/>
        <d v="2007-07-27T00:00:00"/>
        <d v="2007-07-20T00:00:00"/>
        <d v="2007-07-13T00:00:00"/>
        <d v="2007-07-06T00:00:00"/>
        <d v="2007-06-29T00:00:00"/>
        <d v="2007-06-22T00:00:00"/>
        <d v="2007-06-15T00:00:00"/>
        <d v="2007-06-08T00:00:00"/>
        <d v="2007-06-01T00:00:00"/>
        <d v="2007-05-25T00:00:00"/>
        <d v="2007-05-18T00:00:00"/>
        <d v="2007-05-11T00:00:00"/>
        <d v="2007-05-04T00:00:00"/>
        <d v="2007-04-27T00:00:00"/>
        <d v="2007-04-20T00:00:00"/>
        <d v="2007-04-13T00:00:00"/>
        <d v="2007-04-06T00:00:00"/>
        <d v="2007-03-30T00:00:00"/>
        <d v="2007-03-23T00:00:00"/>
        <d v="2007-03-16T00:00:00"/>
        <d v="2007-03-09T00:00:00"/>
        <d v="2007-03-02T00:00:00"/>
        <d v="2007-02-23T00:00:00"/>
        <d v="2007-02-16T00:00:00"/>
        <d v="2007-02-09T00:00:00"/>
        <d v="2007-02-02T00:00:00"/>
        <d v="2007-01-26T00:00:00"/>
        <d v="2007-01-19T00:00:00"/>
        <d v="2007-01-12T00:00:00"/>
        <d v="2007-01-05T00:00:00"/>
        <d v="2006-12-29T00:00:00"/>
        <d v="2006-12-22T00:00:00"/>
        <d v="2006-12-15T00:00:00"/>
        <d v="2006-12-08T00:00:00"/>
        <d v="2006-12-01T00:00:00"/>
        <d v="2006-11-24T00:00:00"/>
        <d v="2006-11-17T00:00:00"/>
        <d v="2006-11-10T00:00:00"/>
        <d v="2006-11-03T00:00:00"/>
        <d v="2006-10-27T00:00:00"/>
        <d v="2006-10-20T00:00:00"/>
        <d v="2006-10-13T00:00:00"/>
        <d v="2006-10-06T00:00:00"/>
        <d v="2006-09-29T00:00:00"/>
        <d v="2006-09-22T00:00:00"/>
        <d v="2006-09-15T00:00:00"/>
        <d v="2006-09-08T00:00:00"/>
        <d v="2006-09-01T00:00:00"/>
        <d v="2006-08-25T00:00:00"/>
        <d v="2006-08-18T00:00:00"/>
        <d v="2006-08-11T00:00:00"/>
        <d v="2006-08-04T00:00:00"/>
        <d v="2006-07-28T00:00:00"/>
        <d v="2006-07-21T00:00:00"/>
        <d v="2006-07-14T00:00:00"/>
        <d v="2006-07-07T00:00:00"/>
        <d v="2006-06-30T00:00:00"/>
        <d v="2006-06-23T00:00:00"/>
        <d v="2006-06-16T00:00:00"/>
        <d v="2006-06-09T00:00:00"/>
        <d v="2006-06-02T00:00:00"/>
        <d v="2006-05-26T00:00:00"/>
        <d v="2006-05-19T00:00:00"/>
        <d v="2006-05-12T00:00:00"/>
        <d v="2006-05-05T00:00:00"/>
        <d v="2006-04-28T00:00:00"/>
        <d v="2006-04-21T00:00:00"/>
        <d v="2006-04-14T00:00:00"/>
        <d v="2006-04-07T00:00:00"/>
        <d v="2006-03-31T00:00:00"/>
        <d v="2006-03-24T00:00:00"/>
        <d v="2006-03-17T00:00:00"/>
        <d v="2006-03-10T00:00:00"/>
        <d v="2006-03-03T00:00:00"/>
        <d v="2006-02-24T00:00:00"/>
        <d v="2006-02-17T00:00:00"/>
        <d v="2006-02-10T00:00:00"/>
        <d v="2006-02-03T00:00:00"/>
        <d v="2006-01-27T00:00:00"/>
        <d v="2006-01-20T00:00:00"/>
        <d v="2006-01-13T00:00:00"/>
        <d v="2006-01-06T00:00:00"/>
        <d v="2005-12-30T00:00:00"/>
        <d v="2005-12-23T00:00:00"/>
        <d v="2005-12-16T00:00:00"/>
        <d v="2005-12-09T00:00:00"/>
        <d v="2005-12-02T00:00:00"/>
        <d v="2005-11-25T00:00:00"/>
        <d v="2005-11-18T00:00:00"/>
        <d v="2005-11-11T00:00:00"/>
        <d v="2005-11-04T00:00:00"/>
        <d v="2005-10-28T00:00:00"/>
        <d v="2005-10-21T00:00:00"/>
        <d v="2005-10-14T00:00:00"/>
        <d v="2005-10-07T00:00:00"/>
        <d v="2005-09-30T00:00:00"/>
        <d v="2005-09-23T00:00:00"/>
        <d v="2005-09-16T00:00:00"/>
        <d v="2005-09-09T00:00:00"/>
        <d v="2005-09-02T00:00:00"/>
        <d v="2005-08-26T00:00:00"/>
        <d v="2005-08-19T00:00:00"/>
        <d v="2005-08-12T00:00:00"/>
        <d v="2005-08-05T00:00:00"/>
        <d v="2005-07-29T00:00:00"/>
        <d v="2005-07-22T00:00:00"/>
        <d v="2005-07-15T00:00:00"/>
        <d v="2005-07-08T00:00:00"/>
        <d v="2005-07-01T00:00:00"/>
        <d v="2005-06-24T00:00:00"/>
        <d v="2005-06-17T00:00:00"/>
        <d v="2005-06-10T00:00:00"/>
        <d v="2005-06-03T00:00:00"/>
        <d v="2005-05-27T00:00:00"/>
        <d v="2005-05-20T00:00:00"/>
        <d v="2005-05-13T00:00:00"/>
        <d v="2005-05-06T00:00:00"/>
        <d v="2005-04-29T00:00:00"/>
        <d v="2005-04-22T00:00:00"/>
        <d v="2005-04-15T00:00:00"/>
        <d v="2005-04-08T00:00:00"/>
        <d v="2005-04-01T00:00:00"/>
        <d v="2005-03-25T00:00:00"/>
        <d v="2005-03-18T00:00:00"/>
        <d v="2005-03-11T00:00:00"/>
        <d v="2005-03-04T00:00:00"/>
        <d v="2005-02-25T00:00:00"/>
        <d v="2005-02-18T00:00:00"/>
        <d v="2005-02-11T00:00:00"/>
        <d v="2005-02-04T00:00:00"/>
        <d v="2005-01-28T00:00:00"/>
        <d v="2005-01-21T00:00:00"/>
        <d v="2005-01-14T00:00:00"/>
        <d v="2005-01-07T00:00:00"/>
        <d v="2004-12-31T00:00:00"/>
        <d v="2004-12-24T00:00:00"/>
        <d v="2004-12-17T00:00:00"/>
        <d v="2004-12-10T00:00:00"/>
        <d v="2004-12-03T00:00:00"/>
        <d v="2004-11-26T00:00:00"/>
        <d v="2004-11-19T00:00:00"/>
        <d v="2004-11-12T00:00:00"/>
        <d v="2004-11-05T00:00:00"/>
        <d v="2004-10-29T00:00:00"/>
        <d v="2004-10-22T00:00:00"/>
        <d v="2004-10-15T00:00:00"/>
        <d v="2004-10-08T00:00:00"/>
        <d v="2004-10-01T00:00:00"/>
        <d v="2004-09-24T00:00:00"/>
        <d v="2004-09-17T00:00:00"/>
        <d v="2004-09-10T00:00:00"/>
        <d v="2004-09-03T00:00:00"/>
        <d v="2004-08-27T00:00:00"/>
        <d v="2004-08-20T00:00:00"/>
        <d v="2004-08-13T00:00:00"/>
        <d v="2004-08-06T00:00:00"/>
        <d v="2004-07-30T00:00:00"/>
        <d v="2004-07-23T00:00:00"/>
        <d v="2004-07-16T00:00:00"/>
        <d v="2004-07-09T00:00:00"/>
        <d v="2004-07-02T00:00:00"/>
        <d v="2004-06-25T00:00:00"/>
        <d v="2004-06-18T00:00:00"/>
        <d v="2004-06-11T00:00:00"/>
        <d v="2004-06-04T00:00:00"/>
        <d v="2004-05-28T00:00:00"/>
        <d v="2004-05-21T00:00:00"/>
        <d v="2004-05-14T00:00:00"/>
        <d v="2004-05-07T00:00:00"/>
        <d v="2004-04-30T00:00:00"/>
        <d v="2004-04-23T00:00:00"/>
        <d v="2004-04-16T00:00:00"/>
        <d v="2004-04-09T00:00:00"/>
        <d v="2004-04-02T00:00:00"/>
        <d v="2004-03-26T00:00:00"/>
        <d v="2004-03-19T00:00:00"/>
        <d v="2004-03-12T00:00:00"/>
        <d v="2004-03-05T00:00:00"/>
        <d v="2004-02-27T00:00:00"/>
        <d v="2004-02-20T00:00:00"/>
        <d v="2004-02-13T00:00:00"/>
        <d v="2004-02-06T00:00:00"/>
        <d v="2004-01-30T00:00:00"/>
        <d v="2004-01-23T00:00:00"/>
        <d v="2004-01-16T00:00:00"/>
        <d v="2004-01-09T00:00:00"/>
        <d v="2004-01-02T00:00:00"/>
        <d v="2003-12-26T00:00:00"/>
        <d v="2003-12-19T00:00:00"/>
        <d v="2003-12-12T00:00:00"/>
        <d v="2003-12-05T00:00:00"/>
        <d v="2003-11-28T00:00:00"/>
        <d v="2003-11-21T00:00:00"/>
        <d v="2003-11-14T00:00:00"/>
        <d v="2003-11-07T00:00:00"/>
        <d v="2003-10-31T00:00:00"/>
        <d v="2003-10-24T00:00:00"/>
        <d v="2003-10-17T00:00:00"/>
        <d v="2003-10-10T00:00:00"/>
        <d v="2003-10-03T00:00:00"/>
        <d v="2003-09-26T00:00:00"/>
        <d v="2003-09-19T00:00:00"/>
        <d v="2003-09-12T00:00:00"/>
        <d v="2003-09-05T00:00:00"/>
        <d v="2003-08-29T00:00:00"/>
        <d v="2003-08-22T00:00:00"/>
        <d v="2003-08-15T00:00:00"/>
        <d v="2003-08-08T00:00:00"/>
        <d v="2003-08-01T00:00:00"/>
        <d v="2003-07-25T00:00:00"/>
        <d v="2003-07-18T00:00:00"/>
        <d v="2003-07-11T00:00:00"/>
        <d v="2003-07-04T00:00:00"/>
        <d v="2003-06-27T00:00:00"/>
        <d v="2003-06-20T00:00:00"/>
        <d v="2003-06-13T00:00:00"/>
        <d v="2003-06-06T00:00:00"/>
        <d v="2003-05-30T00:00:00"/>
        <d v="2003-05-23T00:00:00"/>
        <d v="2003-05-16T00:00:00"/>
        <d v="2003-05-09T00:00:00"/>
        <d v="2003-05-02T00:00:00"/>
        <d v="2003-04-25T00:00:00"/>
        <d v="2003-04-18T00:00:00"/>
        <d v="2003-04-11T00:00:00"/>
        <d v="2003-04-04T00:00:00"/>
        <d v="2003-03-28T00:00:00"/>
        <d v="2003-03-21T00:00:00"/>
        <d v="2003-03-14T00:00:00"/>
        <d v="2003-03-07T00:00:00"/>
        <d v="2003-02-28T00:00:00"/>
        <d v="2003-02-21T00:00:00"/>
        <d v="2003-02-14T00:00:00"/>
        <d v="2003-02-07T00:00:00"/>
        <d v="2003-01-31T00:00:00"/>
        <d v="2003-01-24T00:00:00"/>
        <d v="2003-01-17T00:00:00"/>
        <d v="2003-01-10T00:00:00"/>
        <d v="2003-01-03T00:00:00"/>
        <d v="2002-12-27T00:00:00"/>
        <d v="2002-12-20T00:00:00"/>
        <d v="2002-12-13T00:00:00"/>
        <d v="2002-12-06T00:00:00"/>
        <d v="2002-11-29T00:00:00"/>
        <d v="2002-11-22T00:00:00"/>
        <d v="2002-11-15T00:00:00"/>
        <d v="2002-11-08T00:00:00"/>
        <d v="2002-11-01T00:00:00"/>
        <d v="2002-10-25T00:00:00"/>
        <d v="2002-10-18T00:00:00"/>
        <d v="2002-10-11T00:00:00"/>
        <d v="2002-10-04T00:00:00"/>
        <d v="2002-09-27T00:00:00"/>
        <d v="2002-09-20T00:00:00"/>
        <d v="2002-09-13T00:00:00"/>
        <d v="2002-09-06T00:00:00"/>
        <d v="2002-08-30T00:00:00"/>
        <d v="2002-08-23T00:00:00"/>
        <d v="2002-08-16T00:00:00"/>
        <d v="2002-08-09T00:00:00"/>
        <d v="2002-08-02T00:00:00"/>
        <d v="2002-07-26T00:00:00"/>
        <d v="2002-07-19T00:00:00"/>
        <d v="2002-07-12T00:00:00"/>
        <d v="2002-07-05T00:00:00"/>
        <d v="2002-06-28T00:00:00"/>
        <d v="2002-06-21T00:00:00"/>
        <d v="2002-06-14T00:00:00"/>
        <d v="2002-06-07T00:00:00"/>
        <d v="2002-05-31T00:00:00"/>
        <d v="2002-05-24T00:00:00"/>
        <d v="2002-05-17T00:00:00"/>
        <d v="2002-05-10T00:00:00"/>
        <d v="2002-05-03T00:00:00"/>
        <d v="2002-04-26T00:00:00"/>
        <d v="2002-04-19T00:00:00"/>
        <d v="2002-04-12T00:00:00"/>
        <d v="2002-04-05T00:00:00"/>
        <d v="2002-03-29T00:00:00"/>
        <d v="2002-03-22T00:00:00"/>
        <d v="2002-03-15T00:00:00"/>
        <d v="2002-03-08T00:00:00"/>
        <d v="2002-03-01T00:00:00"/>
        <d v="2002-02-22T00:00:00"/>
        <d v="2002-02-15T00:00:00"/>
        <d v="2002-02-08T00:00:00"/>
        <d v="2002-02-01T00:00:00"/>
        <d v="2002-01-25T00:00:00"/>
        <d v="2002-01-18T00:00:00"/>
        <d v="2002-01-11T00:00:00"/>
        <d v="2002-01-04T00:00:00"/>
        <d v="2001-12-28T00:00:00"/>
        <d v="2001-12-21T00:00:00"/>
        <d v="2001-12-14T00:00:00"/>
        <d v="2001-12-07T00:00:00"/>
        <d v="2001-11-30T00:00:00"/>
        <d v="2001-11-23T00:00:00"/>
        <d v="2001-11-16T00:00:00"/>
        <d v="2001-11-09T00:00:00"/>
        <d v="2001-11-02T00:00:00"/>
        <d v="2001-10-26T00:00:00"/>
        <d v="2001-10-19T00:00:00"/>
        <d v="2001-10-12T00:00:00"/>
        <d v="2001-10-05T00:00:00"/>
        <d v="2001-09-28T00:00:00"/>
        <d v="2001-09-21T00:00:00"/>
        <d v="2001-09-14T00:00:00"/>
        <d v="2001-09-07T00:00:00"/>
        <d v="2001-08-31T00:00:00"/>
        <d v="2001-08-24T00:00:00"/>
        <d v="2001-08-17T00:00:00"/>
        <d v="2001-08-10T00:00:00"/>
        <d v="2001-08-03T00:00:00"/>
        <d v="2001-07-27T00:00:00"/>
        <d v="2001-07-20T00:00:00"/>
        <d v="2001-07-13T00:00:00"/>
        <d v="2001-07-06T00:00:00"/>
        <d v="2001-06-29T00:00:00"/>
        <d v="2001-06-22T00:00:00"/>
        <d v="2001-06-15T00:00:00"/>
        <d v="2001-06-08T00:00:00"/>
        <d v="2001-06-01T00:00:00"/>
        <d v="2001-05-25T00:00:00"/>
        <d v="2001-05-18T00:00:00"/>
        <d v="2001-05-11T00:00:00"/>
        <d v="2001-05-04T00:00:00"/>
        <d v="2001-04-27T00:00:00"/>
        <d v="2001-04-20T00:00:00"/>
        <d v="2001-04-13T00:00:00"/>
        <d v="2001-04-06T00:00:00"/>
        <d v="2001-03-30T00:00:00"/>
        <d v="2001-03-23T00:00:00"/>
        <d v="2001-03-16T00:00:00"/>
        <d v="2001-03-09T00:00:00"/>
        <d v="2001-03-02T00:00:00"/>
        <d v="2001-02-23T00:00:00"/>
        <d v="2001-02-16T00:00:00"/>
        <d v="2001-02-09T00:00:00"/>
        <d v="2001-02-02T00:00:00"/>
        <d v="2001-01-26T00:00:00"/>
        <d v="2001-01-19T00:00:00"/>
        <d v="2001-01-12T00:00:00"/>
        <d v="2001-01-05T00:00:00"/>
        <d v="2000-12-29T00:00:00"/>
        <d v="2000-12-22T00:00:00"/>
        <d v="2000-12-15T00:00:00"/>
        <d v="2000-12-08T00:00:00"/>
        <d v="2000-12-01T00:00:00"/>
        <d v="2000-11-24T00:00:00"/>
        <d v="2000-11-17T00:00:00"/>
        <d v="2000-11-10T00:00:00"/>
        <d v="2000-11-03T00:00:00"/>
        <d v="2000-10-27T00:00:00"/>
        <d v="2000-10-20T00:00:00"/>
        <d v="2000-10-13T00:00:00"/>
        <d v="2000-10-06T00:00:00"/>
        <d v="2000-09-29T00:00:00"/>
        <d v="2000-09-22T00:00:00"/>
        <d v="2000-09-15T00:00:00"/>
        <d v="2000-09-08T00:00:00"/>
        <d v="2000-09-01T00:00:00"/>
        <d v="2000-08-25T00:00:00"/>
        <d v="2000-08-18T00:00:00"/>
        <d v="2000-08-11T00:00:00"/>
        <d v="2000-08-04T00:00:00"/>
        <d v="2000-07-28T00:00:00"/>
        <d v="2000-07-21T00:00:00"/>
        <d v="2000-07-14T00:00:00"/>
        <d v="2000-07-07T00:00:00"/>
      </sharedItems>
      <fieldGroup par="5"/>
    </cacheField>
    <cacheField name="PX_LAST" numFmtId="0">
      <sharedItems containsSemiMixedTypes="0" containsString="0" containsNumber="1" minValue="34.450000000000003" maxValue="314.81"/>
    </cacheField>
    <cacheField name="PX_VOLUME" numFmtId="0">
      <sharedItems containsSemiMixedTypes="0" containsString="0" containsNumber="1" containsInteger="1" minValue="1202800" maxValue="43771814"/>
    </cacheField>
    <cacheField name="Months (Date)" numFmtId="0" databaseField="0">
      <fieldGroup base="0">
        <rangePr groupBy="months" startDate="2000-07-07T00:00:00" endDate="2023-07-22T00:00:00"/>
        <groupItems count="14">
          <s v="&lt;07-07-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7-2023"/>
        </groupItems>
      </fieldGroup>
    </cacheField>
    <cacheField name="Quarters (Date)" numFmtId="0" databaseField="0">
      <fieldGroup base="0">
        <rangePr groupBy="quarters" startDate="2000-07-07T00:00:00" endDate="2023-07-22T00:00:00"/>
        <groupItems count="6">
          <s v="&lt;07-07-2000"/>
          <s v="Qtr1"/>
          <s v="Qtr2"/>
          <s v="Qtr3"/>
          <s v="Qtr4"/>
          <s v="&gt;22-07-2023"/>
        </groupItems>
      </fieldGroup>
    </cacheField>
    <cacheField name="Years (Date)" numFmtId="0" databaseField="0">
      <fieldGroup base="0">
        <rangePr groupBy="years" startDate="2000-07-07T00:00:00" endDate="2023-07-22T00:00:00"/>
        <groupItems count="26">
          <s v="&lt;07-07-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22-07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llon O'Connor" refreshedDate="45146.74058888889" createdVersion="8" refreshedVersion="8" minRefreshableVersion="3" recordCount="1184" xr:uid="{75E118A4-873E-4DA7-992E-9FB0B63D6B56}">
  <cacheSource type="worksheet">
    <worksheetSource ref="A7:B1191" sheet="DHL(LSM)"/>
  </cacheSource>
  <cacheFields count="5">
    <cacheField name="Date" numFmtId="164">
      <sharedItems containsSemiMixedTypes="0" containsNonDate="0" containsDate="1" containsString="0" minDate="2000-11-17T00:00:00" maxDate="2023-07-22T00:00:00" count="1184">
        <d v="2023-07-21T00:00:00"/>
        <d v="2023-07-14T00:00:00"/>
        <d v="2023-07-07T00:00:00"/>
        <d v="2023-06-30T00:00:00"/>
        <d v="2023-06-23T00:00:00"/>
        <d v="2023-06-16T00:00:00"/>
        <d v="2023-06-09T00:00:00"/>
        <d v="2023-06-02T00:00:00"/>
        <d v="2023-05-26T00:00:00"/>
        <d v="2023-05-19T00:00:00"/>
        <d v="2023-05-12T00:00:00"/>
        <d v="2023-05-05T00:00:00"/>
        <d v="2023-04-28T00:00:00"/>
        <d v="2023-04-21T00:00:00"/>
        <d v="2023-04-14T00:00:00"/>
        <d v="2023-04-07T00:00:00"/>
        <d v="2023-03-31T00:00:00"/>
        <d v="2023-03-24T00:00:00"/>
        <d v="2023-03-17T00:00:00"/>
        <d v="2023-03-10T00:00:00"/>
        <d v="2023-03-03T00:00:00"/>
        <d v="2023-02-24T00:00:00"/>
        <d v="2023-02-17T00:00:00"/>
        <d v="2023-02-10T00:00:00"/>
        <d v="2023-02-03T00:00:00"/>
        <d v="2023-01-27T00:00:00"/>
        <d v="2023-01-20T00:00:00"/>
        <d v="2023-01-13T00:00:00"/>
        <d v="2023-01-06T00:00:00"/>
        <d v="2022-12-30T00:00:00"/>
        <d v="2022-12-23T00:00:00"/>
        <d v="2022-12-16T00:00:00"/>
        <d v="2022-12-09T00:00:00"/>
        <d v="2022-12-02T00:00:00"/>
        <d v="2022-11-25T00:00:00"/>
        <d v="2022-11-18T00:00:00"/>
        <d v="2022-11-11T00:00:00"/>
        <d v="2022-11-04T00:00:00"/>
        <d v="2022-10-28T00:00:00"/>
        <d v="2022-10-21T00:00:00"/>
        <d v="2022-10-14T00:00:00"/>
        <d v="2022-10-07T00:00:00"/>
        <d v="2022-09-30T00:00:00"/>
        <d v="2022-09-23T00:00:00"/>
        <d v="2022-09-16T00:00:00"/>
        <d v="2022-09-09T00:00:00"/>
        <d v="2022-09-02T00:00:00"/>
        <d v="2022-08-26T00:00:00"/>
        <d v="2022-08-19T00:00:00"/>
        <d v="2022-08-12T00:00:00"/>
        <d v="2022-08-05T00:00:00"/>
        <d v="2022-07-29T00:00:00"/>
        <d v="2022-07-22T00:00:00"/>
        <d v="2022-07-15T00:00:00"/>
        <d v="2022-07-08T00:00:00"/>
        <d v="2022-07-01T00:00:00"/>
        <d v="2022-06-24T00:00:00"/>
        <d v="2022-06-17T00:00:00"/>
        <d v="2022-06-10T00:00:00"/>
        <d v="2022-06-03T00:00:00"/>
        <d v="2022-05-27T00:00:00"/>
        <d v="2022-05-20T00:00:00"/>
        <d v="2022-05-13T00:00:00"/>
        <d v="2022-05-06T00:00:00"/>
        <d v="2022-04-29T00:00:00"/>
        <d v="2022-04-22T00:00:00"/>
        <d v="2022-04-15T00:00:00"/>
        <d v="2022-04-08T00:00:00"/>
        <d v="2022-04-01T00:00:00"/>
        <d v="2022-03-25T00:00:00"/>
        <d v="2022-03-18T00:00:00"/>
        <d v="2022-03-11T00:00:00"/>
        <d v="2022-03-04T00:00:00"/>
        <d v="2022-02-25T00:00:00"/>
        <d v="2022-02-18T00:00:00"/>
        <d v="2022-02-11T00:00:00"/>
        <d v="2022-02-04T00:00:00"/>
        <d v="2022-01-28T00:00:00"/>
        <d v="2022-01-21T00:00:00"/>
        <d v="2022-01-14T00:00:00"/>
        <d v="2022-01-07T00:00:00"/>
        <d v="2021-12-31T00:00:00"/>
        <d v="2021-12-24T00:00:00"/>
        <d v="2021-12-17T00:00:00"/>
        <d v="2021-12-10T00:00:00"/>
        <d v="2021-12-03T00:00:00"/>
        <d v="2021-11-26T00:00:00"/>
        <d v="2021-11-19T00:00:00"/>
        <d v="2021-11-12T00:00:00"/>
        <d v="2021-11-05T00:00:00"/>
        <d v="2021-10-29T00:00:00"/>
        <d v="2021-10-22T00:00:00"/>
        <d v="2021-10-15T00:00:00"/>
        <d v="2021-10-08T00:00:00"/>
        <d v="2021-10-01T00:00:00"/>
        <d v="2021-09-24T00:00:00"/>
        <d v="2021-09-17T00:00:00"/>
        <d v="2021-09-10T00:00:00"/>
        <d v="2021-09-03T00:00:00"/>
        <d v="2021-08-27T00:00:00"/>
        <d v="2021-08-20T00:00:00"/>
        <d v="2021-08-13T00:00:00"/>
        <d v="2021-08-06T00:00:00"/>
        <d v="2021-07-30T00:00:00"/>
        <d v="2021-07-23T00:00:00"/>
        <d v="2021-07-16T00:00:00"/>
        <d v="2021-07-09T00:00:00"/>
        <d v="2021-07-02T00:00:00"/>
        <d v="2021-06-25T00:00:00"/>
        <d v="2021-06-18T00:00:00"/>
        <d v="2021-06-11T00:00:00"/>
        <d v="2021-06-04T00:00:00"/>
        <d v="2021-05-28T00:00:00"/>
        <d v="2021-05-21T00:00:00"/>
        <d v="2021-05-14T00:00:00"/>
        <d v="2021-05-07T00:00:00"/>
        <d v="2021-04-30T00:00:00"/>
        <d v="2021-04-23T00:00:00"/>
        <d v="2021-04-16T00:00:00"/>
        <d v="2021-04-09T00:00:00"/>
        <d v="2021-04-02T00:00:00"/>
        <d v="2021-03-26T00:00:00"/>
        <d v="2021-03-19T00:00:00"/>
        <d v="2021-03-12T00:00:00"/>
        <d v="2021-03-05T00:00:00"/>
        <d v="2021-02-26T00:00:00"/>
        <d v="2021-02-19T00:00:00"/>
        <d v="2021-02-12T00:00:00"/>
        <d v="2021-02-05T00:00:00"/>
        <d v="2021-01-29T00:00:00"/>
        <d v="2021-01-22T00:00:00"/>
        <d v="2021-01-15T00:00:00"/>
        <d v="2021-01-08T00:00:00"/>
        <d v="2021-01-01T00:00:00"/>
        <d v="2020-12-25T00:00:00"/>
        <d v="2020-12-18T00:00:00"/>
        <d v="2020-12-11T00:00:00"/>
        <d v="2020-12-04T00:00:00"/>
        <d v="2020-11-27T00:00:00"/>
        <d v="2020-11-20T00:00:00"/>
        <d v="2020-11-13T00:00:00"/>
        <d v="2020-11-06T00:00:00"/>
        <d v="2020-10-30T00:00:00"/>
        <d v="2020-10-23T00:00:00"/>
        <d v="2020-10-16T00:00:00"/>
        <d v="2020-10-09T00:00:00"/>
        <d v="2020-10-02T00:00:00"/>
        <d v="2020-09-25T00:00:00"/>
        <d v="2020-09-18T00:00:00"/>
        <d v="2020-09-11T00:00:00"/>
        <d v="2020-09-04T00:00:00"/>
        <d v="2020-08-28T00:00:00"/>
        <d v="2020-08-21T00:00:00"/>
        <d v="2020-08-14T00:00:00"/>
        <d v="2020-08-07T00:00:00"/>
        <d v="2020-07-31T00:00:00"/>
        <d v="2020-07-24T00:00:00"/>
        <d v="2020-07-17T00:00:00"/>
        <d v="2020-07-10T00:00:00"/>
        <d v="2020-07-03T00:00:00"/>
        <d v="2020-06-26T00:00:00"/>
        <d v="2020-06-19T00:00:00"/>
        <d v="2020-06-12T00:00:00"/>
        <d v="2020-06-05T00:00:00"/>
        <d v="2020-05-29T00:00:00"/>
        <d v="2020-05-22T00:00:00"/>
        <d v="2020-05-15T00:00:00"/>
        <d v="2020-05-08T00:00:00"/>
        <d v="2020-05-01T00:00:00"/>
        <d v="2020-04-24T00:00:00"/>
        <d v="2020-04-17T00:00:00"/>
        <d v="2020-04-10T00:00:00"/>
        <d v="2020-04-03T00:00:00"/>
        <d v="2020-03-27T00:00:00"/>
        <d v="2020-03-20T00:00:00"/>
        <d v="2020-03-13T00:00:00"/>
        <d v="2020-03-06T00:00:00"/>
        <d v="2020-02-28T00:00:00"/>
        <d v="2020-02-21T00:00:00"/>
        <d v="2020-02-14T00:00:00"/>
        <d v="2020-02-07T00:00:00"/>
        <d v="2020-01-31T00:00:00"/>
        <d v="2020-01-24T00:00:00"/>
        <d v="2020-01-17T00:00:00"/>
        <d v="2020-01-10T00:00:00"/>
        <d v="2020-01-03T00:00:00"/>
        <d v="2019-12-27T00:00:00"/>
        <d v="2019-12-20T00:00:00"/>
        <d v="2019-12-13T00:00:00"/>
        <d v="2019-12-06T00:00:00"/>
        <d v="2019-11-29T00:00:00"/>
        <d v="2019-11-22T00:00:00"/>
        <d v="2019-11-15T00:00:00"/>
        <d v="2019-11-08T00:00:00"/>
        <d v="2019-11-01T00:00:00"/>
        <d v="2019-10-25T00:00:00"/>
        <d v="2019-10-18T00:00:00"/>
        <d v="2019-10-11T00:00:00"/>
        <d v="2019-10-04T00:00:00"/>
        <d v="2019-09-27T00:00:00"/>
        <d v="2019-09-20T00:00:00"/>
        <d v="2019-09-13T00:00:00"/>
        <d v="2019-09-06T00:00:00"/>
        <d v="2019-08-30T00:00:00"/>
        <d v="2019-08-23T00:00:00"/>
        <d v="2019-08-16T00:00:00"/>
        <d v="2019-08-09T00:00:00"/>
        <d v="2019-08-02T00:00:00"/>
        <d v="2019-07-26T00:00:00"/>
        <d v="2019-07-19T00:00:00"/>
        <d v="2019-07-12T00:00:00"/>
        <d v="2019-07-05T00:00:00"/>
        <d v="2019-06-28T00:00:00"/>
        <d v="2019-06-21T00:00:00"/>
        <d v="2019-06-14T00:00:00"/>
        <d v="2019-06-07T00:00:00"/>
        <d v="2019-05-31T00:00:00"/>
        <d v="2019-05-24T00:00:00"/>
        <d v="2019-05-17T00:00:00"/>
        <d v="2019-05-10T00:00:00"/>
        <d v="2019-05-03T00:00:00"/>
        <d v="2019-04-26T00:00:00"/>
        <d v="2019-04-19T00:00:00"/>
        <d v="2019-04-12T00:00:00"/>
        <d v="2019-04-05T00:00:00"/>
        <d v="2019-03-29T00:00:00"/>
        <d v="2019-03-22T00:00:00"/>
        <d v="2019-03-15T00:00:00"/>
        <d v="2019-03-08T00:00:00"/>
        <d v="2019-03-01T00:00:00"/>
        <d v="2019-02-22T00:00:00"/>
        <d v="2019-02-15T00:00:00"/>
        <d v="2019-02-08T00:00:00"/>
        <d v="2019-02-01T00:00:00"/>
        <d v="2019-01-25T00:00:00"/>
        <d v="2019-01-18T00:00:00"/>
        <d v="2019-01-11T00:00:00"/>
        <d v="2019-01-04T00:00:00"/>
        <d v="2018-12-28T00:00:00"/>
        <d v="2018-12-21T00:00:00"/>
        <d v="2018-12-14T00:00:00"/>
        <d v="2018-12-07T00:00:00"/>
        <d v="2018-11-30T00:00:00"/>
        <d v="2018-11-23T00:00:00"/>
        <d v="2018-11-16T00:00:00"/>
        <d v="2018-11-09T00:00:00"/>
        <d v="2018-11-02T00:00:00"/>
        <d v="2018-10-26T00:00:00"/>
        <d v="2018-10-19T00:00:00"/>
        <d v="2018-10-12T00:00:00"/>
        <d v="2018-10-05T00:00:00"/>
        <d v="2018-09-28T00:00:00"/>
        <d v="2018-09-21T00:00:00"/>
        <d v="2018-09-14T00:00:00"/>
        <d v="2018-09-07T00:00:00"/>
        <d v="2018-08-31T00:00:00"/>
        <d v="2018-08-24T00:00:00"/>
        <d v="2018-08-17T00:00:00"/>
        <d v="2018-08-10T00:00:00"/>
        <d v="2018-08-03T00:00:00"/>
        <d v="2018-07-27T00:00:00"/>
        <d v="2018-07-20T00:00:00"/>
        <d v="2018-07-13T00:00:00"/>
        <d v="2018-07-06T00:00:00"/>
        <d v="2018-06-29T00:00:00"/>
        <d v="2018-06-22T00:00:00"/>
        <d v="2018-06-15T00:00:00"/>
        <d v="2018-06-08T00:00:00"/>
        <d v="2018-06-01T00:00:00"/>
        <d v="2018-05-25T00:00:00"/>
        <d v="2018-05-18T00:00:00"/>
        <d v="2018-05-11T00:00:00"/>
        <d v="2018-05-04T00:00:00"/>
        <d v="2018-04-27T00:00:00"/>
        <d v="2018-04-20T00:00:00"/>
        <d v="2018-04-13T00:00:00"/>
        <d v="2018-04-06T00:00:00"/>
        <d v="2018-03-30T00:00:00"/>
        <d v="2018-03-23T00:00:00"/>
        <d v="2018-03-16T00:00:00"/>
        <d v="2018-03-09T00:00:00"/>
        <d v="2018-03-02T00:00:00"/>
        <d v="2018-02-23T00:00:00"/>
        <d v="2018-02-16T00:00:00"/>
        <d v="2018-02-09T00:00:00"/>
        <d v="2018-02-02T00:00:00"/>
        <d v="2018-01-26T00:00:00"/>
        <d v="2018-01-19T00:00:00"/>
        <d v="2018-01-12T00:00:00"/>
        <d v="2018-01-05T00:00:00"/>
        <d v="2017-12-29T00:00:00"/>
        <d v="2017-12-22T00:00:00"/>
        <d v="2017-12-15T00:00:00"/>
        <d v="2017-12-08T00:00:00"/>
        <d v="2017-12-01T00:00:00"/>
        <d v="2017-11-24T00:00:00"/>
        <d v="2017-11-17T00:00:00"/>
        <d v="2017-11-10T00:00:00"/>
        <d v="2017-11-03T00:00:00"/>
        <d v="2017-10-27T00:00:00"/>
        <d v="2017-10-20T00:00:00"/>
        <d v="2017-10-13T00:00:00"/>
        <d v="2017-10-06T00:00:00"/>
        <d v="2017-09-29T00:00:00"/>
        <d v="2017-09-22T00:00:00"/>
        <d v="2017-09-15T00:00:00"/>
        <d v="2017-09-08T00:00:00"/>
        <d v="2017-09-01T00:00:00"/>
        <d v="2017-08-25T00:00:00"/>
        <d v="2017-08-18T00:00:00"/>
        <d v="2017-08-11T00:00:00"/>
        <d v="2017-08-04T00:00:00"/>
        <d v="2017-07-28T00:00:00"/>
        <d v="2017-07-21T00:00:00"/>
        <d v="2017-07-14T00:00:00"/>
        <d v="2017-07-07T00:00:00"/>
        <d v="2017-06-30T00:00:00"/>
        <d v="2017-06-23T00:00:00"/>
        <d v="2017-06-16T00:00:00"/>
        <d v="2017-06-09T00:00:00"/>
        <d v="2017-06-02T00:00:00"/>
        <d v="2017-05-26T00:00:00"/>
        <d v="2017-05-19T00:00:00"/>
        <d v="2017-05-12T00:00:00"/>
        <d v="2017-05-05T00:00:00"/>
        <d v="2017-04-28T00:00:00"/>
        <d v="2017-04-21T00:00:00"/>
        <d v="2017-04-14T00:00:00"/>
        <d v="2017-04-07T00:00:00"/>
        <d v="2017-03-31T00:00:00"/>
        <d v="2017-03-24T00:00:00"/>
        <d v="2017-03-17T00:00:00"/>
        <d v="2017-03-10T00:00:00"/>
        <d v="2017-03-03T00:00:00"/>
        <d v="2017-02-24T00:00:00"/>
        <d v="2017-02-17T00:00:00"/>
        <d v="2017-02-10T00:00:00"/>
        <d v="2017-02-03T00:00:00"/>
        <d v="2017-01-27T00:00:00"/>
        <d v="2017-01-20T00:00:00"/>
        <d v="2017-01-13T00:00:00"/>
        <d v="2017-01-06T00:00:00"/>
        <d v="2016-12-30T00:00:00"/>
        <d v="2016-12-23T00:00:00"/>
        <d v="2016-12-16T00:00:00"/>
        <d v="2016-12-09T00:00:00"/>
        <d v="2016-12-02T00:00:00"/>
        <d v="2016-11-25T00:00:00"/>
        <d v="2016-11-18T00:00:00"/>
        <d v="2016-11-11T00:00:00"/>
        <d v="2016-11-04T00:00:00"/>
        <d v="2016-10-28T00:00:00"/>
        <d v="2016-10-21T00:00:00"/>
        <d v="2016-10-14T00:00:00"/>
        <d v="2016-10-07T00:00:00"/>
        <d v="2016-09-30T00:00:00"/>
        <d v="2016-09-23T00:00:00"/>
        <d v="2016-09-16T00:00:00"/>
        <d v="2016-09-09T00:00:00"/>
        <d v="2016-09-02T00:00:00"/>
        <d v="2016-08-26T00:00:00"/>
        <d v="2016-08-19T00:00:00"/>
        <d v="2016-08-12T00:00:00"/>
        <d v="2016-08-05T00:00:00"/>
        <d v="2016-07-29T00:00:00"/>
        <d v="2016-07-22T00:00:00"/>
        <d v="2016-07-15T00:00:00"/>
        <d v="2016-07-08T00:00:00"/>
        <d v="2016-07-01T00:00:00"/>
        <d v="2016-06-24T00:00:00"/>
        <d v="2016-06-17T00:00:00"/>
        <d v="2016-06-10T00:00:00"/>
        <d v="2016-06-03T00:00:00"/>
        <d v="2016-05-27T00:00:00"/>
        <d v="2016-05-20T00:00:00"/>
        <d v="2016-05-13T00:00:00"/>
        <d v="2016-05-06T00:00:00"/>
        <d v="2016-04-29T00:00:00"/>
        <d v="2016-04-22T00:00:00"/>
        <d v="2016-04-15T00:00:00"/>
        <d v="2016-04-08T00:00:00"/>
        <d v="2016-04-01T00:00:00"/>
        <d v="2016-03-25T00:00:00"/>
        <d v="2016-03-18T00:00:00"/>
        <d v="2016-03-11T00:00:00"/>
        <d v="2016-03-04T00:00:00"/>
        <d v="2016-02-26T00:00:00"/>
        <d v="2016-02-19T00:00:00"/>
        <d v="2016-02-12T00:00:00"/>
        <d v="2016-02-05T00:00:00"/>
        <d v="2016-01-29T00:00:00"/>
        <d v="2016-01-22T00:00:00"/>
        <d v="2016-01-15T00:00:00"/>
        <d v="2016-01-08T00:00:00"/>
        <d v="2016-01-01T00:00:00"/>
        <d v="2015-12-25T00:00:00"/>
        <d v="2015-12-18T00:00:00"/>
        <d v="2015-12-11T00:00:00"/>
        <d v="2015-12-04T00:00:00"/>
        <d v="2015-11-27T00:00:00"/>
        <d v="2015-11-20T00:00:00"/>
        <d v="2015-11-13T00:00:00"/>
        <d v="2015-11-06T00:00:00"/>
        <d v="2015-10-30T00:00:00"/>
        <d v="2015-10-23T00:00:00"/>
        <d v="2015-10-16T00:00:00"/>
        <d v="2015-10-09T00:00:00"/>
        <d v="2015-10-02T00:00:00"/>
        <d v="2015-09-25T00:00:00"/>
        <d v="2015-09-18T00:00:00"/>
        <d v="2015-09-11T00:00:00"/>
        <d v="2015-09-04T00:00:00"/>
        <d v="2015-08-28T00:00:00"/>
        <d v="2015-08-21T00:00:00"/>
        <d v="2015-08-14T00:00:00"/>
        <d v="2015-08-07T00:00:00"/>
        <d v="2015-07-31T00:00:00"/>
        <d v="2015-07-24T00:00:00"/>
        <d v="2015-07-17T00:00:00"/>
        <d v="2015-07-10T00:00:00"/>
        <d v="2015-07-03T00:00:00"/>
        <d v="2015-06-26T00:00:00"/>
        <d v="2015-06-19T00:00:00"/>
        <d v="2015-06-12T00:00:00"/>
        <d v="2015-06-05T00:00:00"/>
        <d v="2015-05-29T00:00:00"/>
        <d v="2015-05-22T00:00:00"/>
        <d v="2015-05-15T00:00:00"/>
        <d v="2015-05-08T00:00:00"/>
        <d v="2015-05-01T00:00:00"/>
        <d v="2015-04-24T00:00:00"/>
        <d v="2015-04-17T00:00:00"/>
        <d v="2015-04-10T00:00:00"/>
        <d v="2015-04-03T00:00:00"/>
        <d v="2015-03-27T00:00:00"/>
        <d v="2015-03-20T00:00:00"/>
        <d v="2015-03-13T00:00:00"/>
        <d v="2015-03-06T00:00:00"/>
        <d v="2015-02-27T00:00:00"/>
        <d v="2015-02-20T00:00:00"/>
        <d v="2015-02-13T00:00:00"/>
        <d v="2015-02-06T00:00:00"/>
        <d v="2015-01-30T00:00:00"/>
        <d v="2015-01-23T00:00:00"/>
        <d v="2015-01-16T00:00:00"/>
        <d v="2015-01-09T00:00:00"/>
        <d v="2015-01-02T00:00:00"/>
        <d v="2014-12-26T00:00:00"/>
        <d v="2014-12-19T00:00:00"/>
        <d v="2014-12-12T00:00:00"/>
        <d v="2014-12-05T00:00:00"/>
        <d v="2014-11-28T00:00:00"/>
        <d v="2014-11-21T00:00:00"/>
        <d v="2014-11-14T00:00:00"/>
        <d v="2014-11-07T00:00:00"/>
        <d v="2014-10-31T00:00:00"/>
        <d v="2014-10-24T00:00:00"/>
        <d v="2014-10-17T00:00:00"/>
        <d v="2014-10-10T00:00:00"/>
        <d v="2014-10-03T00:00:00"/>
        <d v="2014-09-26T00:00:00"/>
        <d v="2014-09-19T00:00:00"/>
        <d v="2014-09-12T00:00:00"/>
        <d v="2014-09-05T00:00:00"/>
        <d v="2014-08-29T00:00:00"/>
        <d v="2014-08-22T00:00:00"/>
        <d v="2014-08-15T00:00:00"/>
        <d v="2014-08-08T00:00:00"/>
        <d v="2014-08-01T00:00:00"/>
        <d v="2014-07-25T00:00:00"/>
        <d v="2014-07-18T00:00:00"/>
        <d v="2014-07-11T00:00:00"/>
        <d v="2014-07-04T00:00:00"/>
        <d v="2014-06-27T00:00:00"/>
        <d v="2014-06-20T00:00:00"/>
        <d v="2014-06-13T00:00:00"/>
        <d v="2014-06-06T00:00:00"/>
        <d v="2014-05-30T00:00:00"/>
        <d v="2014-05-23T00:00:00"/>
        <d v="2014-05-16T00:00:00"/>
        <d v="2014-05-09T00:00:00"/>
        <d v="2014-05-02T00:00:00"/>
        <d v="2014-04-25T00:00:00"/>
        <d v="2014-04-18T00:00:00"/>
        <d v="2014-04-11T00:00:00"/>
        <d v="2014-04-04T00:00:00"/>
        <d v="2014-03-28T00:00:00"/>
        <d v="2014-03-21T00:00:00"/>
        <d v="2014-03-14T00:00:00"/>
        <d v="2014-03-07T00:00:00"/>
        <d v="2014-02-28T00:00:00"/>
        <d v="2014-02-21T00:00:00"/>
        <d v="2014-02-14T00:00:00"/>
        <d v="2014-02-07T00:00:00"/>
        <d v="2014-01-31T00:00:00"/>
        <d v="2014-01-24T00:00:00"/>
        <d v="2014-01-17T00:00:00"/>
        <d v="2014-01-10T00:00:00"/>
        <d v="2014-01-03T00:00:00"/>
        <d v="2013-12-27T00:00:00"/>
        <d v="2013-12-20T00:00:00"/>
        <d v="2013-12-13T00:00:00"/>
        <d v="2013-12-06T00:00:00"/>
        <d v="2013-11-29T00:00:00"/>
        <d v="2013-11-22T00:00:00"/>
        <d v="2013-11-15T00:00:00"/>
        <d v="2013-11-08T00:00:00"/>
        <d v="2013-11-01T00:00:00"/>
        <d v="2013-10-25T00:00:00"/>
        <d v="2013-10-18T00:00:00"/>
        <d v="2013-10-11T00:00:00"/>
        <d v="2013-10-04T00:00:00"/>
        <d v="2013-09-27T00:00:00"/>
        <d v="2013-09-20T00:00:00"/>
        <d v="2013-09-13T00:00:00"/>
        <d v="2013-09-06T00:00:00"/>
        <d v="2013-08-30T00:00:00"/>
        <d v="2013-08-23T00:00:00"/>
        <d v="2013-08-16T00:00:00"/>
        <d v="2013-08-09T00:00:00"/>
        <d v="2013-08-02T00:00:00"/>
        <d v="2013-07-26T00:00:00"/>
        <d v="2013-07-19T00:00:00"/>
        <d v="2013-07-12T00:00:00"/>
        <d v="2013-07-05T00:00:00"/>
        <d v="2013-06-28T00:00:00"/>
        <d v="2013-06-21T00:00:00"/>
        <d v="2013-06-14T00:00:00"/>
        <d v="2013-06-07T00:00:00"/>
        <d v="2013-05-31T00:00:00"/>
        <d v="2013-05-24T00:00:00"/>
        <d v="2013-05-17T00:00:00"/>
        <d v="2013-05-10T00:00:00"/>
        <d v="2013-05-03T00:00:00"/>
        <d v="2013-04-26T00:00:00"/>
        <d v="2013-04-19T00:00:00"/>
        <d v="2013-04-12T00:00:00"/>
        <d v="2013-04-05T00:00:00"/>
        <d v="2013-03-29T00:00:00"/>
        <d v="2013-03-22T00:00:00"/>
        <d v="2013-03-15T00:00:00"/>
        <d v="2013-03-08T00:00:00"/>
        <d v="2013-03-01T00:00:00"/>
        <d v="2013-02-22T00:00:00"/>
        <d v="2013-02-15T00:00:00"/>
        <d v="2013-02-08T00:00:00"/>
        <d v="2013-02-01T00:00:00"/>
        <d v="2013-01-25T00:00:00"/>
        <d v="2013-01-18T00:00:00"/>
        <d v="2013-01-11T00:00:00"/>
        <d v="2013-01-04T00:00:00"/>
        <d v="2012-12-28T00:00:00"/>
        <d v="2012-12-21T00:00:00"/>
        <d v="2012-12-14T00:00:00"/>
        <d v="2012-12-07T00:00:00"/>
        <d v="2012-11-30T00:00:00"/>
        <d v="2012-11-23T00:00:00"/>
        <d v="2012-11-16T00:00:00"/>
        <d v="2012-11-09T00:00:00"/>
        <d v="2012-11-02T00:00:00"/>
        <d v="2012-10-26T00:00:00"/>
        <d v="2012-10-19T00:00:00"/>
        <d v="2012-10-12T00:00:00"/>
        <d v="2012-10-05T00:00:00"/>
        <d v="2012-09-28T00:00:00"/>
        <d v="2012-09-21T00:00:00"/>
        <d v="2012-09-14T00:00:00"/>
        <d v="2012-09-07T00:00:00"/>
        <d v="2012-08-31T00:00:00"/>
        <d v="2012-08-24T00:00:00"/>
        <d v="2012-08-17T00:00:00"/>
        <d v="2012-08-10T00:00:00"/>
        <d v="2012-08-03T00:00:00"/>
        <d v="2012-07-27T00:00:00"/>
        <d v="2012-07-20T00:00:00"/>
        <d v="2012-07-13T00:00:00"/>
        <d v="2012-07-06T00:00:00"/>
        <d v="2012-06-29T00:00:00"/>
        <d v="2012-06-22T00:00:00"/>
        <d v="2012-06-15T00:00:00"/>
        <d v="2012-06-08T00:00:00"/>
        <d v="2012-06-01T00:00:00"/>
        <d v="2012-05-25T00:00:00"/>
        <d v="2012-05-18T00:00:00"/>
        <d v="2012-05-11T00:00:00"/>
        <d v="2012-05-04T00:00:00"/>
        <d v="2012-04-27T00:00:00"/>
        <d v="2012-04-20T00:00:00"/>
        <d v="2012-04-13T00:00:00"/>
        <d v="2012-04-06T00:00:00"/>
        <d v="2012-03-30T00:00:00"/>
        <d v="2012-03-23T00:00:00"/>
        <d v="2012-03-16T00:00:00"/>
        <d v="2012-03-09T00:00:00"/>
        <d v="2012-03-02T00:00:00"/>
        <d v="2012-02-24T00:00:00"/>
        <d v="2012-02-17T00:00:00"/>
        <d v="2012-02-10T00:00:00"/>
        <d v="2012-02-03T00:00:00"/>
        <d v="2012-01-27T00:00:00"/>
        <d v="2012-01-20T00:00:00"/>
        <d v="2012-01-13T00:00:00"/>
        <d v="2012-01-06T00:00:00"/>
        <d v="2011-12-30T00:00:00"/>
        <d v="2011-12-23T00:00:00"/>
        <d v="2011-12-16T00:00:00"/>
        <d v="2011-12-09T00:00:00"/>
        <d v="2011-12-02T00:00:00"/>
        <d v="2011-11-25T00:00:00"/>
        <d v="2011-11-18T00:00:00"/>
        <d v="2011-11-11T00:00:00"/>
        <d v="2011-11-04T00:00:00"/>
        <d v="2011-10-28T00:00:00"/>
        <d v="2011-10-21T00:00:00"/>
        <d v="2011-10-14T00:00:00"/>
        <d v="2011-10-07T00:00:00"/>
        <d v="2011-09-30T00:00:00"/>
        <d v="2011-09-23T00:00:00"/>
        <d v="2011-09-16T00:00:00"/>
        <d v="2011-09-09T00:00:00"/>
        <d v="2011-09-02T00:00:00"/>
        <d v="2011-08-26T00:00:00"/>
        <d v="2011-08-19T00:00:00"/>
        <d v="2011-08-12T00:00:00"/>
        <d v="2011-08-05T00:00:00"/>
        <d v="2011-07-29T00:00:00"/>
        <d v="2011-07-22T00:00:00"/>
        <d v="2011-07-15T00:00:00"/>
        <d v="2011-07-08T00:00:00"/>
        <d v="2011-07-01T00:00:00"/>
        <d v="2011-06-24T00:00:00"/>
        <d v="2011-06-17T00:00:00"/>
        <d v="2011-06-10T00:00:00"/>
        <d v="2011-06-03T00:00:00"/>
        <d v="2011-05-27T00:00:00"/>
        <d v="2011-05-20T00:00:00"/>
        <d v="2011-05-13T00:00:00"/>
        <d v="2011-05-06T00:00:00"/>
        <d v="2011-04-29T00:00:00"/>
        <d v="2011-04-22T00:00:00"/>
        <d v="2011-04-15T00:00:00"/>
        <d v="2011-04-08T00:00:00"/>
        <d v="2011-04-01T00:00:00"/>
        <d v="2011-03-25T00:00:00"/>
        <d v="2011-03-18T00:00:00"/>
        <d v="2011-03-11T00:00:00"/>
        <d v="2011-03-04T00:00:00"/>
        <d v="2011-02-25T00:00:00"/>
        <d v="2011-02-18T00:00:00"/>
        <d v="2011-02-11T00:00:00"/>
        <d v="2011-02-04T00:00:00"/>
        <d v="2011-01-28T00:00:00"/>
        <d v="2011-01-21T00:00:00"/>
        <d v="2011-01-14T00:00:00"/>
        <d v="2011-01-07T00:00:00"/>
        <d v="2010-12-31T00:00:00"/>
        <d v="2010-12-24T00:00:00"/>
        <d v="2010-12-17T00:00:00"/>
        <d v="2010-12-10T00:00:00"/>
        <d v="2010-12-03T00:00:00"/>
        <d v="2010-11-26T00:00:00"/>
        <d v="2010-11-19T00:00:00"/>
        <d v="2010-11-12T00:00:00"/>
        <d v="2010-11-05T00:00:00"/>
        <d v="2010-10-29T00:00:00"/>
        <d v="2010-10-22T00:00:00"/>
        <d v="2010-10-15T00:00:00"/>
        <d v="2010-10-08T00:00:00"/>
        <d v="2010-10-01T00:00:00"/>
        <d v="2010-09-24T00:00:00"/>
        <d v="2010-09-17T00:00:00"/>
        <d v="2010-09-10T00:00:00"/>
        <d v="2010-09-03T00:00:00"/>
        <d v="2010-08-27T00:00:00"/>
        <d v="2010-08-20T00:00:00"/>
        <d v="2010-08-13T00:00:00"/>
        <d v="2010-08-06T00:00:00"/>
        <d v="2010-07-30T00:00:00"/>
        <d v="2010-07-23T00:00:00"/>
        <d v="2010-07-16T00:00:00"/>
        <d v="2010-07-09T00:00:00"/>
        <d v="2010-07-02T00:00:00"/>
        <d v="2010-06-25T00:00:00"/>
        <d v="2010-06-18T00:00:00"/>
        <d v="2010-06-11T00:00:00"/>
        <d v="2010-06-04T00:00:00"/>
        <d v="2010-05-28T00:00:00"/>
        <d v="2010-05-21T00:00:00"/>
        <d v="2010-05-14T00:00:00"/>
        <d v="2010-05-07T00:00:00"/>
        <d v="2010-04-30T00:00:00"/>
        <d v="2010-04-23T00:00:00"/>
        <d v="2010-04-16T00:00:00"/>
        <d v="2010-04-09T00:00:00"/>
        <d v="2010-04-02T00:00:00"/>
        <d v="2010-03-26T00:00:00"/>
        <d v="2010-03-19T00:00:00"/>
        <d v="2010-03-12T00:00:00"/>
        <d v="2010-03-05T00:00:00"/>
        <d v="2010-02-26T00:00:00"/>
        <d v="2010-02-19T00:00:00"/>
        <d v="2010-02-12T00:00:00"/>
        <d v="2010-02-05T00:00:00"/>
        <d v="2010-01-29T00:00:00"/>
        <d v="2010-01-22T00:00:00"/>
        <d v="2010-01-15T00:00:00"/>
        <d v="2010-01-08T00:00:00"/>
        <d v="2010-01-01T00:00:00"/>
        <d v="2009-12-25T00:00:00"/>
        <d v="2009-12-18T00:00:00"/>
        <d v="2009-12-11T00:00:00"/>
        <d v="2009-12-04T00:00:00"/>
        <d v="2009-11-27T00:00:00"/>
        <d v="2009-11-20T00:00:00"/>
        <d v="2009-11-13T00:00:00"/>
        <d v="2009-11-06T00:00:00"/>
        <d v="2009-10-30T00:00:00"/>
        <d v="2009-10-23T00:00:00"/>
        <d v="2009-10-16T00:00:00"/>
        <d v="2009-10-09T00:00:00"/>
        <d v="2009-10-02T00:00:00"/>
        <d v="2009-09-25T00:00:00"/>
        <d v="2009-09-18T00:00:00"/>
        <d v="2009-09-11T00:00:00"/>
        <d v="2009-09-04T00:00:00"/>
        <d v="2009-08-28T00:00:00"/>
        <d v="2009-08-21T00:00:00"/>
        <d v="2009-08-14T00:00:00"/>
        <d v="2009-08-07T00:00:00"/>
        <d v="2009-07-31T00:00:00"/>
        <d v="2009-07-24T00:00:00"/>
        <d v="2009-07-17T00:00:00"/>
        <d v="2009-07-10T00:00:00"/>
        <d v="2009-07-03T00:00:00"/>
        <d v="2009-06-26T00:00:00"/>
        <d v="2009-06-19T00:00:00"/>
        <d v="2009-06-12T00:00:00"/>
        <d v="2009-06-05T00:00:00"/>
        <d v="2009-05-29T00:00:00"/>
        <d v="2009-05-22T00:00:00"/>
        <d v="2009-05-15T00:00:00"/>
        <d v="2009-05-08T00:00:00"/>
        <d v="2009-05-01T00:00:00"/>
        <d v="2009-04-24T00:00:00"/>
        <d v="2009-04-17T00:00:00"/>
        <d v="2009-04-10T00:00:00"/>
        <d v="2009-04-03T00:00:00"/>
        <d v="2009-03-27T00:00:00"/>
        <d v="2009-03-20T00:00:00"/>
        <d v="2009-03-13T00:00:00"/>
        <d v="2009-03-06T00:00:00"/>
        <d v="2009-02-27T00:00:00"/>
        <d v="2009-02-20T00:00:00"/>
        <d v="2009-02-13T00:00:00"/>
        <d v="2009-02-06T00:00:00"/>
        <d v="2009-01-30T00:00:00"/>
        <d v="2009-01-23T00:00:00"/>
        <d v="2009-01-16T00:00:00"/>
        <d v="2009-01-09T00:00:00"/>
        <d v="2009-01-02T00:00:00"/>
        <d v="2008-12-26T00:00:00"/>
        <d v="2008-12-19T00:00:00"/>
        <d v="2008-12-12T00:00:00"/>
        <d v="2008-12-05T00:00:00"/>
        <d v="2008-11-28T00:00:00"/>
        <d v="2008-11-21T00:00:00"/>
        <d v="2008-11-14T00:00:00"/>
        <d v="2008-11-07T00:00:00"/>
        <d v="2008-10-31T00:00:00"/>
        <d v="2008-10-24T00:00:00"/>
        <d v="2008-10-17T00:00:00"/>
        <d v="2008-10-10T00:00:00"/>
        <d v="2008-10-03T00:00:00"/>
        <d v="2008-09-26T00:00:00"/>
        <d v="2008-09-19T00:00:00"/>
        <d v="2008-09-12T00:00:00"/>
        <d v="2008-09-05T00:00:00"/>
        <d v="2008-08-29T00:00:00"/>
        <d v="2008-08-22T00:00:00"/>
        <d v="2008-08-15T00:00:00"/>
        <d v="2008-08-08T00:00:00"/>
        <d v="2008-08-01T00:00:00"/>
        <d v="2008-07-25T00:00:00"/>
        <d v="2008-07-18T00:00:00"/>
        <d v="2008-07-11T00:00:00"/>
        <d v="2008-07-04T00:00:00"/>
        <d v="2008-06-27T00:00:00"/>
        <d v="2008-06-20T00:00:00"/>
        <d v="2008-06-13T00:00:00"/>
        <d v="2008-06-06T00:00:00"/>
        <d v="2008-05-30T00:00:00"/>
        <d v="2008-05-23T00:00:00"/>
        <d v="2008-05-16T00:00:00"/>
        <d v="2008-05-09T00:00:00"/>
        <d v="2008-05-02T00:00:00"/>
        <d v="2008-04-25T00:00:00"/>
        <d v="2008-04-18T00:00:00"/>
        <d v="2008-04-11T00:00:00"/>
        <d v="2008-04-04T00:00:00"/>
        <d v="2008-03-28T00:00:00"/>
        <d v="2008-03-21T00:00:00"/>
        <d v="2008-03-14T00:00:00"/>
        <d v="2008-03-07T00:00:00"/>
        <d v="2008-02-29T00:00:00"/>
        <d v="2008-02-22T00:00:00"/>
        <d v="2008-02-15T00:00:00"/>
        <d v="2008-02-08T00:00:00"/>
        <d v="2008-02-01T00:00:00"/>
        <d v="2008-01-25T00:00:00"/>
        <d v="2008-01-18T00:00:00"/>
        <d v="2008-01-11T00:00:00"/>
        <d v="2008-01-04T00:00:00"/>
        <d v="2007-12-28T00:00:00"/>
        <d v="2007-12-21T00:00:00"/>
        <d v="2007-12-14T00:00:00"/>
        <d v="2007-12-07T00:00:00"/>
        <d v="2007-11-30T00:00:00"/>
        <d v="2007-11-23T00:00:00"/>
        <d v="2007-11-16T00:00:00"/>
        <d v="2007-11-09T00:00:00"/>
        <d v="2007-11-02T00:00:00"/>
        <d v="2007-10-26T00:00:00"/>
        <d v="2007-10-19T00:00:00"/>
        <d v="2007-10-12T00:00:00"/>
        <d v="2007-10-05T00:00:00"/>
        <d v="2007-09-28T00:00:00"/>
        <d v="2007-09-21T00:00:00"/>
        <d v="2007-09-14T00:00:00"/>
        <d v="2007-09-07T00:00:00"/>
        <d v="2007-08-31T00:00:00"/>
        <d v="2007-08-24T00:00:00"/>
        <d v="2007-08-17T00:00:00"/>
        <d v="2007-08-10T00:00:00"/>
        <d v="2007-08-03T00:00:00"/>
        <d v="2007-07-27T00:00:00"/>
        <d v="2007-07-20T00:00:00"/>
        <d v="2007-07-13T00:00:00"/>
        <d v="2007-07-06T00:00:00"/>
        <d v="2007-06-29T00:00:00"/>
        <d v="2007-06-22T00:00:00"/>
        <d v="2007-06-15T00:00:00"/>
        <d v="2007-06-08T00:00:00"/>
        <d v="2007-06-01T00:00:00"/>
        <d v="2007-05-25T00:00:00"/>
        <d v="2007-05-18T00:00:00"/>
        <d v="2007-05-11T00:00:00"/>
        <d v="2007-05-04T00:00:00"/>
        <d v="2007-04-27T00:00:00"/>
        <d v="2007-04-20T00:00:00"/>
        <d v="2007-04-13T00:00:00"/>
        <d v="2007-04-06T00:00:00"/>
        <d v="2007-03-30T00:00:00"/>
        <d v="2007-03-23T00:00:00"/>
        <d v="2007-03-16T00:00:00"/>
        <d v="2007-03-09T00:00:00"/>
        <d v="2007-03-02T00:00:00"/>
        <d v="2007-02-23T00:00:00"/>
        <d v="2007-02-16T00:00:00"/>
        <d v="2007-02-09T00:00:00"/>
        <d v="2007-02-02T00:00:00"/>
        <d v="2007-01-26T00:00:00"/>
        <d v="2007-01-19T00:00:00"/>
        <d v="2007-01-12T00:00:00"/>
        <d v="2007-01-05T00:00:00"/>
        <d v="2006-12-29T00:00:00"/>
        <d v="2006-12-22T00:00:00"/>
        <d v="2006-12-15T00:00:00"/>
        <d v="2006-12-08T00:00:00"/>
        <d v="2006-12-01T00:00:00"/>
        <d v="2006-11-24T00:00:00"/>
        <d v="2006-11-17T00:00:00"/>
        <d v="2006-11-10T00:00:00"/>
        <d v="2006-11-03T00:00:00"/>
        <d v="2006-10-27T00:00:00"/>
        <d v="2006-10-20T00:00:00"/>
        <d v="2006-10-13T00:00:00"/>
        <d v="2006-10-06T00:00:00"/>
        <d v="2006-09-29T00:00:00"/>
        <d v="2006-09-22T00:00:00"/>
        <d v="2006-09-15T00:00:00"/>
        <d v="2006-09-08T00:00:00"/>
        <d v="2006-09-01T00:00:00"/>
        <d v="2006-08-25T00:00:00"/>
        <d v="2006-08-18T00:00:00"/>
        <d v="2006-08-11T00:00:00"/>
        <d v="2006-08-04T00:00:00"/>
        <d v="2006-07-28T00:00:00"/>
        <d v="2006-07-21T00:00:00"/>
        <d v="2006-07-14T00:00:00"/>
        <d v="2006-07-07T00:00:00"/>
        <d v="2006-06-30T00:00:00"/>
        <d v="2006-06-23T00:00:00"/>
        <d v="2006-06-16T00:00:00"/>
        <d v="2006-06-09T00:00:00"/>
        <d v="2006-06-02T00:00:00"/>
        <d v="2006-05-26T00:00:00"/>
        <d v="2006-05-19T00:00:00"/>
        <d v="2006-05-12T00:00:00"/>
        <d v="2006-05-05T00:00:00"/>
        <d v="2006-04-28T00:00:00"/>
        <d v="2006-04-21T00:00:00"/>
        <d v="2006-04-14T00:00:00"/>
        <d v="2006-04-07T00:00:00"/>
        <d v="2006-03-31T00:00:00"/>
        <d v="2006-03-24T00:00:00"/>
        <d v="2006-03-17T00:00:00"/>
        <d v="2006-03-10T00:00:00"/>
        <d v="2006-03-03T00:00:00"/>
        <d v="2006-02-24T00:00:00"/>
        <d v="2006-02-17T00:00:00"/>
        <d v="2006-02-10T00:00:00"/>
        <d v="2006-02-03T00:00:00"/>
        <d v="2006-01-27T00:00:00"/>
        <d v="2006-01-20T00:00:00"/>
        <d v="2006-01-13T00:00:00"/>
        <d v="2006-01-06T00:00:00"/>
        <d v="2005-12-30T00:00:00"/>
        <d v="2005-12-23T00:00:00"/>
        <d v="2005-12-16T00:00:00"/>
        <d v="2005-12-09T00:00:00"/>
        <d v="2005-12-02T00:00:00"/>
        <d v="2005-11-25T00:00:00"/>
        <d v="2005-11-18T00:00:00"/>
        <d v="2005-11-11T00:00:00"/>
        <d v="2005-11-04T00:00:00"/>
        <d v="2005-10-28T00:00:00"/>
        <d v="2005-10-21T00:00:00"/>
        <d v="2005-10-14T00:00:00"/>
        <d v="2005-10-07T00:00:00"/>
        <d v="2005-09-30T00:00:00"/>
        <d v="2005-09-23T00:00:00"/>
        <d v="2005-09-16T00:00:00"/>
        <d v="2005-09-09T00:00:00"/>
        <d v="2005-09-02T00:00:00"/>
        <d v="2005-08-26T00:00:00"/>
        <d v="2005-08-19T00:00:00"/>
        <d v="2005-08-12T00:00:00"/>
        <d v="2005-08-05T00:00:00"/>
        <d v="2005-07-29T00:00:00"/>
        <d v="2005-07-22T00:00:00"/>
        <d v="2005-07-15T00:00:00"/>
        <d v="2005-07-08T00:00:00"/>
        <d v="2005-07-01T00:00:00"/>
        <d v="2005-06-24T00:00:00"/>
        <d v="2005-06-17T00:00:00"/>
        <d v="2005-06-10T00:00:00"/>
        <d v="2005-06-03T00:00:00"/>
        <d v="2005-05-27T00:00:00"/>
        <d v="2005-05-20T00:00:00"/>
        <d v="2005-05-13T00:00:00"/>
        <d v="2005-05-06T00:00:00"/>
        <d v="2005-04-29T00:00:00"/>
        <d v="2005-04-22T00:00:00"/>
        <d v="2005-04-15T00:00:00"/>
        <d v="2005-04-08T00:00:00"/>
        <d v="2005-04-01T00:00:00"/>
        <d v="2005-03-25T00:00:00"/>
        <d v="2005-03-18T00:00:00"/>
        <d v="2005-03-11T00:00:00"/>
        <d v="2005-03-04T00:00:00"/>
        <d v="2005-02-25T00:00:00"/>
        <d v="2005-02-18T00:00:00"/>
        <d v="2005-02-11T00:00:00"/>
        <d v="2005-02-04T00:00:00"/>
        <d v="2005-01-28T00:00:00"/>
        <d v="2005-01-21T00:00:00"/>
        <d v="2005-01-14T00:00:00"/>
        <d v="2005-01-07T00:00:00"/>
        <d v="2004-12-31T00:00:00"/>
        <d v="2004-12-24T00:00:00"/>
        <d v="2004-12-17T00:00:00"/>
        <d v="2004-12-10T00:00:00"/>
        <d v="2004-12-03T00:00:00"/>
        <d v="2004-11-26T00:00:00"/>
        <d v="2004-11-19T00:00:00"/>
        <d v="2004-11-12T00:00:00"/>
        <d v="2004-11-05T00:00:00"/>
        <d v="2004-10-29T00:00:00"/>
        <d v="2004-10-22T00:00:00"/>
        <d v="2004-10-15T00:00:00"/>
        <d v="2004-10-08T00:00:00"/>
        <d v="2004-10-01T00:00:00"/>
        <d v="2004-09-24T00:00:00"/>
        <d v="2004-09-17T00:00:00"/>
        <d v="2004-09-10T00:00:00"/>
        <d v="2004-09-03T00:00:00"/>
        <d v="2004-08-27T00:00:00"/>
        <d v="2004-08-20T00:00:00"/>
        <d v="2004-08-13T00:00:00"/>
        <d v="2004-08-06T00:00:00"/>
        <d v="2004-07-30T00:00:00"/>
        <d v="2004-07-23T00:00:00"/>
        <d v="2004-07-16T00:00:00"/>
        <d v="2004-07-09T00:00:00"/>
        <d v="2004-07-02T00:00:00"/>
        <d v="2004-06-25T00:00:00"/>
        <d v="2004-06-18T00:00:00"/>
        <d v="2004-06-11T00:00:00"/>
        <d v="2004-06-04T00:00:00"/>
        <d v="2004-05-28T00:00:00"/>
        <d v="2004-05-21T00:00:00"/>
        <d v="2004-05-14T00:00:00"/>
        <d v="2004-05-07T00:00:00"/>
        <d v="2004-04-30T00:00:00"/>
        <d v="2004-04-23T00:00:00"/>
        <d v="2004-04-16T00:00:00"/>
        <d v="2004-04-09T00:00:00"/>
        <d v="2004-04-02T00:00:00"/>
        <d v="2004-03-26T00:00:00"/>
        <d v="2004-03-19T00:00:00"/>
        <d v="2004-03-12T00:00:00"/>
        <d v="2004-03-05T00:00:00"/>
        <d v="2004-02-27T00:00:00"/>
        <d v="2004-02-20T00:00:00"/>
        <d v="2004-02-13T00:00:00"/>
        <d v="2004-02-06T00:00:00"/>
        <d v="2004-01-30T00:00:00"/>
        <d v="2004-01-23T00:00:00"/>
        <d v="2004-01-16T00:00:00"/>
        <d v="2004-01-09T00:00:00"/>
        <d v="2004-01-02T00:00:00"/>
        <d v="2003-12-26T00:00:00"/>
        <d v="2003-12-19T00:00:00"/>
        <d v="2003-12-12T00:00:00"/>
        <d v="2003-12-05T00:00:00"/>
        <d v="2003-11-28T00:00:00"/>
        <d v="2003-11-21T00:00:00"/>
        <d v="2003-11-14T00:00:00"/>
        <d v="2003-11-07T00:00:00"/>
        <d v="2003-10-31T00:00:00"/>
        <d v="2003-10-24T00:00:00"/>
        <d v="2003-10-17T00:00:00"/>
        <d v="2003-10-10T00:00:00"/>
        <d v="2003-10-03T00:00:00"/>
        <d v="2003-09-26T00:00:00"/>
        <d v="2003-09-19T00:00:00"/>
        <d v="2003-09-12T00:00:00"/>
        <d v="2003-09-05T00:00:00"/>
        <d v="2003-08-29T00:00:00"/>
        <d v="2003-08-22T00:00:00"/>
        <d v="2003-08-15T00:00:00"/>
        <d v="2003-08-08T00:00:00"/>
        <d v="2003-08-01T00:00:00"/>
        <d v="2003-07-25T00:00:00"/>
        <d v="2003-07-18T00:00:00"/>
        <d v="2003-07-11T00:00:00"/>
        <d v="2003-07-04T00:00:00"/>
        <d v="2003-06-27T00:00:00"/>
        <d v="2003-06-20T00:00:00"/>
        <d v="2003-06-13T00:00:00"/>
        <d v="2003-06-06T00:00:00"/>
        <d v="2003-05-30T00:00:00"/>
        <d v="2003-05-23T00:00:00"/>
        <d v="2003-05-16T00:00:00"/>
        <d v="2003-05-09T00:00:00"/>
        <d v="2003-05-02T00:00:00"/>
        <d v="2003-04-25T00:00:00"/>
        <d v="2003-04-18T00:00:00"/>
        <d v="2003-04-11T00:00:00"/>
        <d v="2003-04-04T00:00:00"/>
        <d v="2003-03-28T00:00:00"/>
        <d v="2003-03-21T00:00:00"/>
        <d v="2003-03-14T00:00:00"/>
        <d v="2003-03-07T00:00:00"/>
        <d v="2003-02-28T00:00:00"/>
        <d v="2003-02-21T00:00:00"/>
        <d v="2003-02-14T00:00:00"/>
        <d v="2003-02-07T00:00:00"/>
        <d v="2003-01-31T00:00:00"/>
        <d v="2003-01-24T00:00:00"/>
        <d v="2003-01-17T00:00:00"/>
        <d v="2003-01-10T00:00:00"/>
        <d v="2003-01-03T00:00:00"/>
        <d v="2002-12-27T00:00:00"/>
        <d v="2002-12-20T00:00:00"/>
        <d v="2002-12-13T00:00:00"/>
        <d v="2002-12-06T00:00:00"/>
        <d v="2002-11-29T00:00:00"/>
        <d v="2002-11-22T00:00:00"/>
        <d v="2002-11-15T00:00:00"/>
        <d v="2002-11-08T00:00:00"/>
        <d v="2002-11-01T00:00:00"/>
        <d v="2002-10-25T00:00:00"/>
        <d v="2002-10-18T00:00:00"/>
        <d v="2002-10-11T00:00:00"/>
        <d v="2002-10-04T00:00:00"/>
        <d v="2002-09-27T00:00:00"/>
        <d v="2002-09-20T00:00:00"/>
        <d v="2002-09-13T00:00:00"/>
        <d v="2002-09-06T00:00:00"/>
        <d v="2002-08-30T00:00:00"/>
        <d v="2002-08-23T00:00:00"/>
        <d v="2002-08-16T00:00:00"/>
        <d v="2002-08-09T00:00:00"/>
        <d v="2002-08-02T00:00:00"/>
        <d v="2002-07-26T00:00:00"/>
        <d v="2002-07-19T00:00:00"/>
        <d v="2002-07-12T00:00:00"/>
        <d v="2002-07-05T00:00:00"/>
        <d v="2002-06-28T00:00:00"/>
        <d v="2002-06-21T00:00:00"/>
        <d v="2002-06-14T00:00:00"/>
        <d v="2002-06-07T00:00:00"/>
        <d v="2002-05-31T00:00:00"/>
        <d v="2002-05-24T00:00:00"/>
        <d v="2002-05-17T00:00:00"/>
        <d v="2002-05-10T00:00:00"/>
        <d v="2002-05-03T00:00:00"/>
        <d v="2002-04-26T00:00:00"/>
        <d v="2002-04-19T00:00:00"/>
        <d v="2002-04-12T00:00:00"/>
        <d v="2002-04-05T00:00:00"/>
        <d v="2002-03-29T00:00:00"/>
        <d v="2002-03-22T00:00:00"/>
        <d v="2002-03-15T00:00:00"/>
        <d v="2002-03-08T00:00:00"/>
        <d v="2002-03-01T00:00:00"/>
        <d v="2002-02-22T00:00:00"/>
        <d v="2002-02-15T00:00:00"/>
        <d v="2002-02-08T00:00:00"/>
        <d v="2002-02-01T00:00:00"/>
        <d v="2002-01-25T00:00:00"/>
        <d v="2002-01-18T00:00:00"/>
        <d v="2002-01-11T00:00:00"/>
        <d v="2002-01-04T00:00:00"/>
        <d v="2001-12-28T00:00:00"/>
        <d v="2001-12-21T00:00:00"/>
        <d v="2001-12-14T00:00:00"/>
        <d v="2001-12-07T00:00:00"/>
        <d v="2001-11-30T00:00:00"/>
        <d v="2001-11-23T00:00:00"/>
        <d v="2001-11-16T00:00:00"/>
        <d v="2001-11-09T00:00:00"/>
        <d v="2001-11-02T00:00:00"/>
        <d v="2001-10-26T00:00:00"/>
        <d v="2001-10-19T00:00:00"/>
        <d v="2001-10-12T00:00:00"/>
        <d v="2001-10-05T00:00:00"/>
        <d v="2001-09-28T00:00:00"/>
        <d v="2001-09-21T00:00:00"/>
        <d v="2001-09-14T00:00:00"/>
        <d v="2001-09-07T00:00:00"/>
        <d v="2001-08-31T00:00:00"/>
        <d v="2001-08-24T00:00:00"/>
        <d v="2001-08-17T00:00:00"/>
        <d v="2001-08-10T00:00:00"/>
        <d v="2001-08-03T00:00:00"/>
        <d v="2001-07-27T00:00:00"/>
        <d v="2001-07-20T00:00:00"/>
        <d v="2001-07-13T00:00:00"/>
        <d v="2001-07-06T00:00:00"/>
        <d v="2001-06-29T00:00:00"/>
        <d v="2001-06-22T00:00:00"/>
        <d v="2001-06-15T00:00:00"/>
        <d v="2001-06-08T00:00:00"/>
        <d v="2001-06-01T00:00:00"/>
        <d v="2001-05-25T00:00:00"/>
        <d v="2001-05-18T00:00:00"/>
        <d v="2001-05-11T00:00:00"/>
        <d v="2001-05-04T00:00:00"/>
        <d v="2001-04-27T00:00:00"/>
        <d v="2001-04-20T00:00:00"/>
        <d v="2001-04-13T00:00:00"/>
        <d v="2001-04-06T00:00:00"/>
        <d v="2001-03-30T00:00:00"/>
        <d v="2001-03-23T00:00:00"/>
        <d v="2001-03-16T00:00:00"/>
        <d v="2001-03-09T00:00:00"/>
        <d v="2001-03-02T00:00:00"/>
        <d v="2001-02-23T00:00:00"/>
        <d v="2001-02-16T00:00:00"/>
        <d v="2001-02-09T00:00:00"/>
        <d v="2001-02-02T00:00:00"/>
        <d v="2001-01-26T00:00:00"/>
        <d v="2001-01-19T00:00:00"/>
        <d v="2001-01-12T00:00:00"/>
        <d v="2001-01-05T00:00:00"/>
        <d v="2000-12-29T00:00:00"/>
        <d v="2000-12-22T00:00:00"/>
        <d v="2000-12-15T00:00:00"/>
        <d v="2000-12-08T00:00:00"/>
        <d v="2000-12-01T00:00:00"/>
        <d v="2000-11-24T00:00:00"/>
        <d v="2000-11-17T00:00:00"/>
      </sharedItems>
      <fieldGroup par="4"/>
    </cacheField>
    <cacheField name="PX_LAST" numFmtId="0">
      <sharedItems containsSemiMixedTypes="0" containsString="0" containsNumber="1" minValue="8.5182699999999993" maxValue="70.293679999999995"/>
    </cacheField>
    <cacheField name="Months (Date)" numFmtId="0" databaseField="0">
      <fieldGroup base="0">
        <rangePr groupBy="months" startDate="2000-11-17T00:00:00" endDate="2023-07-22T00:00:00"/>
        <groupItems count="14">
          <s v="&lt;17-11-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7-2023"/>
        </groupItems>
      </fieldGroup>
    </cacheField>
    <cacheField name="Quarters (Date)" numFmtId="0" databaseField="0">
      <fieldGroup base="0">
        <rangePr groupBy="quarters" startDate="2000-11-17T00:00:00" endDate="2023-07-22T00:00:00"/>
        <groupItems count="6">
          <s v="&lt;17-11-2000"/>
          <s v="Qtr1"/>
          <s v="Qtr2"/>
          <s v="Qtr3"/>
          <s v="Qtr4"/>
          <s v="&gt;22-07-2023"/>
        </groupItems>
      </fieldGroup>
    </cacheField>
    <cacheField name="Years (Date)" numFmtId="0" databaseField="0">
      <fieldGroup base="0">
        <rangePr groupBy="years" startDate="2000-11-17T00:00:00" endDate="2023-07-22T00:00:00"/>
        <groupItems count="26">
          <s v="&lt;17-11-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22-07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3">
  <r>
    <x v="0"/>
    <n v="259.67"/>
    <n v="10842485"/>
  </r>
  <r>
    <x v="1"/>
    <n v="257.45"/>
    <n v="9473440"/>
  </r>
  <r>
    <x v="2"/>
    <n v="251.25"/>
    <n v="7031791"/>
  </r>
  <r>
    <x v="3"/>
    <n v="247.9"/>
    <n v="14267308"/>
  </r>
  <r>
    <x v="4"/>
    <n v="232.34"/>
    <n v="18965377"/>
  </r>
  <r>
    <x v="5"/>
    <n v="233.46"/>
    <n v="11485451"/>
  </r>
  <r>
    <x v="6"/>
    <n v="223.76"/>
    <n v="8434556"/>
  </r>
  <r>
    <x v="7"/>
    <n v="221.74"/>
    <n v="8787732"/>
  </r>
  <r>
    <x v="8"/>
    <n v="224.15"/>
    <n v="5187943"/>
  </r>
  <r>
    <x v="9"/>
    <n v="229.08"/>
    <n v="10240730"/>
  </r>
  <r>
    <x v="10"/>
    <n v="222.93"/>
    <n v="6436569"/>
  </r>
  <r>
    <x v="11"/>
    <n v="229.3"/>
    <n v="5693961"/>
  </r>
  <r>
    <x v="12"/>
    <n v="227.78"/>
    <n v="8532874"/>
  </r>
  <r>
    <x v="13"/>
    <n v="230.44"/>
    <n v="7654249"/>
  </r>
  <r>
    <x v="14"/>
    <n v="230.69"/>
    <n v="9684125"/>
  </r>
  <r>
    <x v="15"/>
    <n v="232.1"/>
    <n v="14011455"/>
  </r>
  <r>
    <x v="16"/>
    <n v="228.49"/>
    <n v="8204628"/>
  </r>
  <r>
    <x v="17"/>
    <n v="217.6"/>
    <n v="11890700"/>
  </r>
  <r>
    <x v="18"/>
    <n v="220.31"/>
    <n v="25333017"/>
  </r>
  <r>
    <x v="19"/>
    <n v="201.19"/>
    <n v="9241658"/>
  </r>
  <r>
    <x v="20"/>
    <n v="209.08"/>
    <n v="6673171"/>
  </r>
  <r>
    <x v="21"/>
    <n v="203.28"/>
    <n v="6837477"/>
  </r>
  <r>
    <x v="22"/>
    <n v="210.3"/>
    <n v="5486586"/>
  </r>
  <r>
    <x v="23"/>
    <n v="209.37"/>
    <n v="7670277"/>
  </r>
  <r>
    <x v="24"/>
    <n v="214.67"/>
    <n v="15868619"/>
  </r>
  <r>
    <x v="25"/>
    <n v="190.56"/>
    <n v="6383421"/>
  </r>
  <r>
    <x v="26"/>
    <n v="186.88"/>
    <n v="6108651"/>
  </r>
  <r>
    <x v="27"/>
    <n v="188.63"/>
    <n v="9406405"/>
  </r>
  <r>
    <x v="28"/>
    <n v="185.77"/>
    <n v="8961441"/>
  </r>
  <r>
    <x v="29"/>
    <n v="173.2"/>
    <n v="6563575"/>
  </r>
  <r>
    <x v="30"/>
    <n v="175.93"/>
    <n v="24298775"/>
  </r>
  <r>
    <x v="31"/>
    <n v="171.72"/>
    <n v="12014094"/>
  </r>
  <r>
    <x v="32"/>
    <n v="172.33"/>
    <n v="8829834"/>
  </r>
  <r>
    <x v="33"/>
    <n v="181.41"/>
    <n v="12957325"/>
  </r>
  <r>
    <x v="34"/>
    <n v="176.7"/>
    <n v="5046412"/>
  </r>
  <r>
    <x v="35"/>
    <n v="174.72"/>
    <n v="14083036"/>
  </r>
  <r>
    <x v="36"/>
    <n v="175.61"/>
    <n v="15791703"/>
  </r>
  <r>
    <x v="37"/>
    <n v="156.66"/>
    <n v="13920539"/>
  </r>
  <r>
    <x v="38"/>
    <n v="160.37"/>
    <n v="13886178"/>
  </r>
  <r>
    <x v="39"/>
    <n v="153.22999999999999"/>
    <n v="19483883"/>
  </r>
  <r>
    <x v="40"/>
    <n v="156.96"/>
    <n v="19088633"/>
  </r>
  <r>
    <x v="41"/>
    <n v="154.41"/>
    <n v="31998021"/>
  </r>
  <r>
    <x v="42"/>
    <n v="148.47"/>
    <n v="23965617"/>
  </r>
  <r>
    <x v="43"/>
    <n v="149.33000000000001"/>
    <n v="37749810"/>
  </r>
  <r>
    <x v="44"/>
    <n v="161.02000000000001"/>
    <n v="42661462"/>
  </r>
  <r>
    <x v="45"/>
    <n v="209.07"/>
    <n v="9672280"/>
  </r>
  <r>
    <x v="46"/>
    <n v="208.72"/>
    <n v="7356904"/>
  </r>
  <r>
    <x v="47"/>
    <n v="218.16"/>
    <n v="6704779"/>
  </r>
  <r>
    <x v="48"/>
    <n v="231.73"/>
    <n v="7209367"/>
  </r>
  <r>
    <x v="49"/>
    <n v="230.68"/>
    <n v="9703104"/>
  </r>
  <r>
    <x v="50"/>
    <n v="234.89"/>
    <n v="6965006"/>
  </r>
  <r>
    <x v="51"/>
    <n v="233.09"/>
    <n v="7166898"/>
  </r>
  <r>
    <x v="52"/>
    <n v="227.3"/>
    <n v="6696512"/>
  </r>
  <r>
    <x v="53"/>
    <n v="217.83"/>
    <n v="8563911"/>
  </r>
  <r>
    <x v="54"/>
    <n v="230.49"/>
    <n v="7256161"/>
  </r>
  <r>
    <x v="55"/>
    <n v="223.61"/>
    <n v="15131043"/>
  </r>
  <r>
    <x v="56"/>
    <n v="243.24"/>
    <n v="17078739"/>
  </r>
  <r>
    <x v="57"/>
    <n v="229.9"/>
    <n v="28378971"/>
  </r>
  <r>
    <x v="58"/>
    <n v="206.77"/>
    <n v="8347495"/>
  </r>
  <r>
    <x v="59"/>
    <n v="218.7"/>
    <n v="8072958"/>
  </r>
  <r>
    <x v="60"/>
    <n v="219.67"/>
    <n v="9734047"/>
  </r>
  <r>
    <x v="61"/>
    <n v="200.9"/>
    <n v="12803007"/>
  </r>
  <r>
    <x v="62"/>
    <n v="211.29"/>
    <n v="11830263"/>
  </r>
  <r>
    <x v="63"/>
    <n v="210.21"/>
    <n v="11642182"/>
  </r>
  <r>
    <x v="64"/>
    <n v="198.74"/>
    <n v="10304468"/>
  </r>
  <r>
    <x v="65"/>
    <n v="205.21"/>
    <n v="9310890"/>
  </r>
  <r>
    <x v="66"/>
    <n v="205.74"/>
    <n v="7400670"/>
  </r>
  <r>
    <x v="67"/>
    <n v="201.52"/>
    <n v="15643754"/>
  </r>
  <r>
    <x v="68"/>
    <n v="221.25"/>
    <n v="13109456"/>
  </r>
  <r>
    <x v="69"/>
    <n v="226.56"/>
    <n v="11255596"/>
  </r>
  <r>
    <x v="70"/>
    <n v="218.91"/>
    <n v="22096788"/>
  </r>
  <r>
    <x v="71"/>
    <n v="213.18"/>
    <n v="14473231"/>
  </r>
  <r>
    <x v="72"/>
    <n v="214.54"/>
    <n v="11755936"/>
  </r>
  <r>
    <x v="73"/>
    <n v="220.72"/>
    <n v="9740988"/>
  </r>
  <r>
    <x v="74"/>
    <n v="222.23"/>
    <n v="10645829"/>
  </r>
  <r>
    <x v="75"/>
    <n v="232.21"/>
    <n v="12630133"/>
  </r>
  <r>
    <x v="76"/>
    <n v="244.11"/>
    <n v="13687014"/>
  </r>
  <r>
    <x v="77"/>
    <n v="244.78"/>
    <n v="11250331"/>
  </r>
  <r>
    <x v="78"/>
    <n v="244.91"/>
    <n v="7957343"/>
  </r>
  <r>
    <x v="79"/>
    <n v="256.22000000000003"/>
    <n v="11037814"/>
  </r>
  <r>
    <x v="80"/>
    <n v="263.99"/>
    <n v="10281554"/>
  </r>
  <r>
    <x v="81"/>
    <n v="258.64"/>
    <n v="7349432"/>
  </r>
  <r>
    <x v="82"/>
    <n v="253.82"/>
    <n v="9710804"/>
  </r>
  <r>
    <x v="83"/>
    <n v="250.32"/>
    <n v="19691465"/>
  </r>
  <r>
    <x v="84"/>
    <n v="246.28"/>
    <n v="7374141"/>
  </r>
  <r>
    <x v="85"/>
    <n v="240.84"/>
    <n v="11981788"/>
  </r>
  <r>
    <x v="86"/>
    <n v="238.15"/>
    <n v="7032139"/>
  </r>
  <r>
    <x v="87"/>
    <n v="242.69"/>
    <n v="10074165"/>
  </r>
  <r>
    <x v="88"/>
    <n v="253.88"/>
    <n v="10470631"/>
  </r>
  <r>
    <x v="89"/>
    <n v="242.77"/>
    <n v="9825176"/>
  </r>
  <r>
    <x v="90"/>
    <n v="235.53"/>
    <n v="12006854"/>
  </r>
  <r>
    <x v="91"/>
    <n v="232.98"/>
    <n v="13692541"/>
  </r>
  <r>
    <x v="92"/>
    <n v="229.12"/>
    <n v="17044538"/>
  </r>
  <r>
    <x v="93"/>
    <n v="223.44"/>
    <n v="19222991"/>
  </r>
  <r>
    <x v="94"/>
    <n v="222.53"/>
    <n v="20682136"/>
  </r>
  <r>
    <x v="95"/>
    <n v="226.64"/>
    <n v="37814141"/>
  </r>
  <r>
    <x v="96"/>
    <n v="255.22"/>
    <n v="11516359"/>
  </r>
  <r>
    <x v="97"/>
    <n v="257.55"/>
    <n v="7448876"/>
  </r>
  <r>
    <x v="98"/>
    <n v="266.04000000000002"/>
    <n v="7997108"/>
  </r>
  <r>
    <x v="99"/>
    <n v="267.89999999999998"/>
    <n v="9133386"/>
  </r>
  <r>
    <x v="100"/>
    <n v="266.55"/>
    <n v="13340674"/>
  </r>
  <r>
    <x v="101"/>
    <n v="277.18"/>
    <n v="9167899"/>
  </r>
  <r>
    <x v="102"/>
    <n v="276.27"/>
    <n v="10411944"/>
  </r>
  <r>
    <x v="103"/>
    <n v="279.95"/>
    <n v="12932870"/>
  </r>
  <r>
    <x v="104"/>
    <n v="297.07"/>
    <n v="7831510"/>
  </r>
  <r>
    <x v="105"/>
    <n v="292.49"/>
    <n v="8227073"/>
  </r>
  <r>
    <x v="106"/>
    <n v="296.39999999999998"/>
    <n v="8864940"/>
  </r>
  <r>
    <x v="107"/>
    <n v="299.38"/>
    <n v="12028756"/>
  </r>
  <r>
    <x v="108"/>
    <n v="291.95"/>
    <n v="22967879"/>
  </r>
  <r>
    <x v="109"/>
    <n v="285.32"/>
    <n v="9718819"/>
  </r>
  <r>
    <x v="110"/>
    <n v="296.08999999999997"/>
    <n v="11258759"/>
  </r>
  <r>
    <x v="111"/>
    <n v="302.12"/>
    <n v="6798581"/>
  </r>
  <r>
    <x v="112"/>
    <n v="314.81"/>
    <n v="8815181"/>
  </r>
  <r>
    <x v="113"/>
    <n v="309.60000000000002"/>
    <n v="6753576"/>
  </r>
  <r>
    <x v="114"/>
    <n v="309.43"/>
    <n v="8753884"/>
  </r>
  <r>
    <x v="115"/>
    <n v="314.69"/>
    <n v="13966656"/>
  </r>
  <r>
    <x v="116"/>
    <n v="290.31"/>
    <n v="12786896"/>
  </r>
  <r>
    <x v="117"/>
    <n v="277.74"/>
    <n v="7722378"/>
  </r>
  <r>
    <x v="118"/>
    <n v="287.58999999999997"/>
    <n v="7389895"/>
  </r>
  <r>
    <x v="119"/>
    <n v="286.58"/>
    <n v="8918870"/>
  </r>
  <r>
    <x v="120"/>
    <n v="283.54000000000002"/>
    <n v="7711344"/>
  </r>
  <r>
    <x v="121"/>
    <n v="281.33999999999997"/>
    <n v="12028259"/>
  </r>
  <r>
    <x v="122"/>
    <n v="279.58"/>
    <n v="24684058"/>
  </r>
  <r>
    <x v="123"/>
    <n v="270.2"/>
    <n v="12126601"/>
  </r>
  <r>
    <x v="124"/>
    <n v="257.29000000000002"/>
    <n v="9284507"/>
  </r>
  <r>
    <x v="125"/>
    <n v="254.5"/>
    <n v="8634025"/>
  </r>
  <r>
    <x v="126"/>
    <n v="254.64"/>
    <n v="6482824"/>
  </r>
  <r>
    <x v="127"/>
    <n v="263"/>
    <n v="10278719"/>
  </r>
  <r>
    <x v="128"/>
    <n v="255.01"/>
    <n v="13466811"/>
  </r>
  <r>
    <x v="129"/>
    <n v="235.34"/>
    <n v="11964713"/>
  </r>
  <r>
    <x v="130"/>
    <n v="254.08"/>
    <n v="8156850"/>
  </r>
  <r>
    <x v="131"/>
    <n v="252.56"/>
    <n v="16477650"/>
  </r>
  <r>
    <x v="132"/>
    <n v="244.96"/>
    <n v="20914719"/>
  </r>
  <r>
    <x v="133"/>
    <n v="259.62"/>
    <n v="11611607"/>
  </r>
  <r>
    <x v="134"/>
    <n v="268.82"/>
    <n v="12547614"/>
  </r>
  <r>
    <x v="135"/>
    <n v="275.57"/>
    <n v="30036086"/>
  </r>
  <r>
    <x v="136"/>
    <n v="289.47000000000003"/>
    <n v="12332977"/>
  </r>
  <r>
    <x v="137"/>
    <n v="294.88"/>
    <n v="12564265"/>
  </r>
  <r>
    <x v="138"/>
    <n v="287.41000000000003"/>
    <n v="9701346"/>
  </r>
  <r>
    <x v="139"/>
    <n v="276.69"/>
    <n v="12428939"/>
  </r>
  <r>
    <x v="140"/>
    <n v="271.91000000000003"/>
    <n v="14238780"/>
  </r>
  <r>
    <x v="141"/>
    <n v="279.77"/>
    <n v="11613648"/>
  </r>
  <r>
    <x v="142"/>
    <n v="259.47000000000003"/>
    <n v="13663073"/>
  </r>
  <r>
    <x v="143"/>
    <n v="283.56"/>
    <n v="16066440"/>
  </r>
  <r>
    <x v="144"/>
    <n v="283.87"/>
    <n v="11051972"/>
  </r>
  <r>
    <x v="145"/>
    <n v="271.55"/>
    <n v="12731548"/>
  </r>
  <r>
    <x v="146"/>
    <n v="255.2"/>
    <n v="13897759"/>
  </r>
  <r>
    <x v="147"/>
    <n v="250.17"/>
    <n v="16104997"/>
  </r>
  <r>
    <x v="148"/>
    <n v="242.78"/>
    <n v="42116241"/>
  </r>
  <r>
    <x v="149"/>
    <n v="232.79"/>
    <n v="12652277"/>
  </r>
  <r>
    <x v="150"/>
    <n v="226.12"/>
    <n v="12308704"/>
  </r>
  <r>
    <x v="151"/>
    <n v="221.9"/>
    <n v="12083128"/>
  </r>
  <r>
    <x v="152"/>
    <n v="210.49"/>
    <n v="11487523"/>
  </r>
  <r>
    <x v="153"/>
    <n v="208.6"/>
    <n v="31349541"/>
  </r>
  <r>
    <x v="154"/>
    <n v="183.53"/>
    <n v="11753736"/>
  </r>
  <r>
    <x v="155"/>
    <n v="168.4"/>
    <n v="17820227"/>
  </r>
  <r>
    <x v="156"/>
    <n v="165.04"/>
    <n v="7490796"/>
  </r>
  <r>
    <x v="157"/>
    <n v="165.98"/>
    <n v="12858290"/>
  </r>
  <r>
    <x v="158"/>
    <n v="158.59"/>
    <n v="11694304"/>
  </r>
  <r>
    <x v="159"/>
    <n v="155.47999999999999"/>
    <n v="30824031"/>
  </r>
  <r>
    <x v="160"/>
    <n v="130.08000000000001"/>
    <n v="10783512"/>
  </r>
  <r>
    <x v="161"/>
    <n v="137.63"/>
    <n v="9949464"/>
  </r>
  <r>
    <x v="162"/>
    <n v="132.72"/>
    <n v="13704754"/>
  </r>
  <r>
    <x v="163"/>
    <n v="142.21"/>
    <n v="12826997"/>
  </r>
  <r>
    <x v="164"/>
    <n v="130.56"/>
    <n v="13674984"/>
  </r>
  <r>
    <x v="165"/>
    <n v="117"/>
    <n v="12678751"/>
  </r>
  <r>
    <x v="166"/>
    <n v="107.52"/>
    <n v="12943571"/>
  </r>
  <r>
    <x v="167"/>
    <n v="120.44"/>
    <n v="9645331"/>
  </r>
  <r>
    <x v="168"/>
    <n v="118.2"/>
    <n v="12419674"/>
  </r>
  <r>
    <x v="169"/>
    <n v="123.06"/>
    <n v="10066562"/>
  </r>
  <r>
    <x v="170"/>
    <n v="124.85"/>
    <n v="13553666"/>
  </r>
  <r>
    <x v="171"/>
    <n v="122.29"/>
    <n v="17028928"/>
  </r>
  <r>
    <x v="172"/>
    <n v="109.22"/>
    <n v="13037842"/>
  </r>
  <r>
    <x v="173"/>
    <n v="120.58"/>
    <n v="16415646"/>
  </r>
  <r>
    <x v="174"/>
    <n v="111.06"/>
    <n v="26089868"/>
  </r>
  <r>
    <x v="175"/>
    <n v="106.63"/>
    <n v="21802789"/>
  </r>
  <r>
    <x v="176"/>
    <n v="127.68"/>
    <n v="18683023"/>
  </r>
  <r>
    <x v="177"/>
    <n v="141.16999999999999"/>
    <n v="18038744"/>
  </r>
  <r>
    <x v="178"/>
    <n v="163.25"/>
    <n v="7871596"/>
  </r>
  <r>
    <x v="179"/>
    <n v="158.62"/>
    <n v="11876532"/>
  </r>
  <r>
    <x v="180"/>
    <n v="155.66"/>
    <n v="14815848"/>
  </r>
  <r>
    <x v="181"/>
    <n v="144.63999999999999"/>
    <n v="14748847"/>
  </r>
  <r>
    <x v="182"/>
    <n v="154.07"/>
    <n v="8404073"/>
  </r>
  <r>
    <x v="183"/>
    <n v="159.97999999999999"/>
    <n v="14226845"/>
  </r>
  <r>
    <x v="184"/>
    <n v="156.63"/>
    <n v="12287417"/>
  </r>
  <r>
    <x v="185"/>
    <n v="153.18"/>
    <n v="9910495"/>
  </r>
  <r>
    <x v="186"/>
    <n v="152.53"/>
    <n v="11514936"/>
  </r>
  <r>
    <x v="187"/>
    <n v="148.12"/>
    <n v="43771814"/>
  </r>
  <r>
    <x v="188"/>
    <n v="165.67"/>
    <n v="10930602"/>
  </r>
  <r>
    <x v="189"/>
    <n v="156.61000000000001"/>
    <n v="12878511"/>
  </r>
  <r>
    <x v="190"/>
    <n v="160.05000000000001"/>
    <n v="7713302"/>
  </r>
  <r>
    <x v="191"/>
    <n v="156.55000000000001"/>
    <n v="9617836"/>
  </r>
  <r>
    <x v="192"/>
    <n v="158.33000000000001"/>
    <n v="7997320"/>
  </r>
  <r>
    <x v="193"/>
    <n v="163.22"/>
    <n v="11712325"/>
  </r>
  <r>
    <x v="194"/>
    <n v="156.52000000000001"/>
    <n v="9877232"/>
  </r>
  <r>
    <x v="195"/>
    <n v="158.09"/>
    <n v="12475787"/>
  </r>
  <r>
    <x v="196"/>
    <n v="149.91"/>
    <n v="14529054"/>
  </r>
  <r>
    <x v="197"/>
    <n v="145.54"/>
    <n v="12254115"/>
  </r>
  <r>
    <x v="198"/>
    <n v="143"/>
    <n v="12425491"/>
  </r>
  <r>
    <x v="199"/>
    <n v="144.96"/>
    <n v="17345754"/>
  </r>
  <r>
    <x v="200"/>
    <n v="148.78"/>
    <n v="40464644"/>
  </r>
  <r>
    <x v="201"/>
    <n v="174.1"/>
    <n v="9298628"/>
  </r>
  <r>
    <x v="202"/>
    <n v="161.87"/>
    <n v="6063851"/>
  </r>
  <r>
    <x v="203"/>
    <n v="158.61000000000001"/>
    <n v="7983866"/>
  </r>
  <r>
    <x v="204"/>
    <n v="151.97"/>
    <n v="7556082"/>
  </r>
  <r>
    <x v="205"/>
    <n v="156"/>
    <n v="7859253"/>
  </r>
  <r>
    <x v="206"/>
    <n v="162.13"/>
    <n v="11465449"/>
  </r>
  <r>
    <x v="207"/>
    <n v="163.72999999999999"/>
    <n v="9099019"/>
  </r>
  <r>
    <x v="208"/>
    <n v="174.94"/>
    <n v="11665650"/>
  </r>
  <r>
    <x v="209"/>
    <n v="167.13"/>
    <n v="11590709"/>
  </r>
  <r>
    <x v="210"/>
    <n v="167.47"/>
    <n v="10691871"/>
  </r>
  <r>
    <x v="211"/>
    <n v="161.97"/>
    <n v="6516230"/>
  </r>
  <r>
    <x v="212"/>
    <n v="164.19"/>
    <n v="23377405"/>
  </r>
  <r>
    <x v="213"/>
    <n v="165.35"/>
    <n v="9721094"/>
  </r>
  <r>
    <x v="214"/>
    <n v="164.55"/>
    <n v="9154219"/>
  </r>
  <r>
    <x v="215"/>
    <n v="158.02000000000001"/>
    <n v="12729340"/>
  </r>
  <r>
    <x v="216"/>
    <n v="154.28"/>
    <n v="8157202"/>
  </r>
  <r>
    <x v="217"/>
    <n v="159.93"/>
    <n v="10431239"/>
  </r>
  <r>
    <x v="218"/>
    <n v="169.92"/>
    <n v="11257689"/>
  </r>
  <r>
    <x v="219"/>
    <n v="178"/>
    <n v="8548991"/>
  </r>
  <r>
    <x v="220"/>
    <n v="188.06"/>
    <n v="7173687"/>
  </r>
  <r>
    <x v="221"/>
    <n v="184.04"/>
    <n v="11493738"/>
  </r>
  <r>
    <x v="222"/>
    <n v="198.15"/>
    <n v="5796058"/>
  </r>
  <r>
    <x v="223"/>
    <n v="196.95"/>
    <n v="7293023"/>
  </r>
  <r>
    <x v="224"/>
    <n v="189.9"/>
    <n v="8762672"/>
  </r>
  <r>
    <x v="225"/>
    <n v="181.41"/>
    <n v="9056551"/>
  </r>
  <r>
    <x v="226"/>
    <n v="173.99"/>
    <n v="21390613"/>
  </r>
  <r>
    <x v="227"/>
    <n v="177.98"/>
    <n v="8111044"/>
  </r>
  <r>
    <x v="228"/>
    <n v="171.78"/>
    <n v="10414662"/>
  </r>
  <r>
    <x v="229"/>
    <n v="182.8"/>
    <n v="6966069"/>
  </r>
  <r>
    <x v="230"/>
    <n v="180.49"/>
    <n v="6308397"/>
  </r>
  <r>
    <x v="231"/>
    <n v="179.3"/>
    <n v="11116448"/>
  </r>
  <r>
    <x v="232"/>
    <n v="177.24"/>
    <n v="9166614"/>
  </r>
  <r>
    <x v="233"/>
    <n v="179.31"/>
    <n v="7686388"/>
  </r>
  <r>
    <x v="234"/>
    <n v="175.36"/>
    <n v="7558211"/>
  </r>
  <r>
    <x v="235"/>
    <n v="176.91"/>
    <n v="11594963"/>
  </r>
  <r>
    <x v="236"/>
    <n v="170.99"/>
    <n v="13146345"/>
  </r>
  <r>
    <x v="237"/>
    <n v="164.43"/>
    <n v="10273467"/>
  </r>
  <r>
    <x v="238"/>
    <n v="158.97999999999999"/>
    <n v="12195345"/>
  </r>
  <r>
    <x v="239"/>
    <n v="158"/>
    <n v="36513322"/>
  </r>
  <r>
    <x v="240"/>
    <n v="184.11"/>
    <n v="20909477"/>
  </r>
  <r>
    <x v="241"/>
    <n v="201.39"/>
    <n v="10635033"/>
  </r>
  <r>
    <x v="242"/>
    <n v="229"/>
    <n v="6350918"/>
  </r>
  <r>
    <x v="243"/>
    <n v="223.4"/>
    <n v="4244914"/>
  </r>
  <r>
    <x v="244"/>
    <n v="226.69"/>
    <n v="6571344"/>
  </r>
  <r>
    <x v="245"/>
    <n v="224.4"/>
    <n v="6534019"/>
  </r>
  <r>
    <x v="246"/>
    <n v="221.66"/>
    <n v="7726779"/>
  </r>
  <r>
    <x v="247"/>
    <n v="210.53"/>
    <n v="8799796"/>
  </r>
  <r>
    <x v="248"/>
    <n v="219.8"/>
    <n v="8974456"/>
  </r>
  <r>
    <x v="249"/>
    <n v="221"/>
    <n v="11381607"/>
  </r>
  <r>
    <x v="250"/>
    <n v="236.06"/>
    <n v="6542244"/>
  </r>
  <r>
    <x v="251"/>
    <n v="240.79"/>
    <n v="10168808"/>
  </r>
  <r>
    <x v="252"/>
    <n v="247.32"/>
    <n v="17226265"/>
  </r>
  <r>
    <x v="253"/>
    <n v="255.44"/>
    <n v="6910656"/>
  </r>
  <r>
    <x v="254"/>
    <n v="245.97"/>
    <n v="6067569"/>
  </r>
  <r>
    <x v="255"/>
    <n v="243.95"/>
    <n v="6137941"/>
  </r>
  <r>
    <x v="256"/>
    <n v="245.02"/>
    <n v="5734755"/>
  </r>
  <r>
    <x v="257"/>
    <n v="246.94"/>
    <n v="4689432"/>
  </r>
  <r>
    <x v="258"/>
    <n v="241.76"/>
    <n v="5841851"/>
  </r>
  <r>
    <x v="259"/>
    <n v="243.32"/>
    <n v="6188393"/>
  </r>
  <r>
    <x v="260"/>
    <n v="240.84"/>
    <n v="7771493"/>
  </r>
  <r>
    <x v="261"/>
    <n v="234.93"/>
    <n v="8901998"/>
  </r>
  <r>
    <x v="262"/>
    <n v="233.75"/>
    <n v="6641180"/>
  </r>
  <r>
    <x v="263"/>
    <n v="228.27"/>
    <n v="5717934"/>
  </r>
  <r>
    <x v="264"/>
    <n v="227.06"/>
    <n v="14765695"/>
  </r>
  <r>
    <x v="265"/>
    <n v="241.77"/>
    <n v="14819702"/>
  </r>
  <r>
    <x v="266"/>
    <n v="264.56"/>
    <n v="6733749"/>
  </r>
  <r>
    <x v="267"/>
    <n v="260.14999999999998"/>
    <n v="5950069"/>
  </r>
  <r>
    <x v="268"/>
    <n v="253.6"/>
    <n v="4837027"/>
  </r>
  <r>
    <x v="269"/>
    <n v="251.5"/>
    <n v="5839834"/>
  </r>
  <r>
    <x v="270"/>
    <n v="249.45"/>
    <n v="6066665"/>
  </r>
  <r>
    <x v="271"/>
    <n v="250.9"/>
    <n v="7553886"/>
  </r>
  <r>
    <x v="272"/>
    <n v="244.94"/>
    <n v="7009600"/>
  </r>
  <r>
    <x v="273"/>
    <n v="250.33"/>
    <n v="6899805"/>
  </r>
  <r>
    <x v="274"/>
    <n v="247.12"/>
    <n v="7951849"/>
  </r>
  <r>
    <x v="275"/>
    <n v="244.49"/>
    <n v="6778333"/>
  </r>
  <r>
    <x v="276"/>
    <n v="234.29"/>
    <n v="8232383"/>
  </r>
  <r>
    <x v="277"/>
    <n v="240.11"/>
    <n v="8372009"/>
  </r>
  <r>
    <x v="278"/>
    <n v="229.48"/>
    <n v="17141862"/>
  </r>
  <r>
    <x v="279"/>
    <n v="252.03"/>
    <n v="8666021"/>
  </r>
  <r>
    <x v="280"/>
    <n v="247.12"/>
    <n v="7629661"/>
  </r>
  <r>
    <x v="281"/>
    <n v="241.31"/>
    <n v="8365021"/>
  </r>
  <r>
    <x v="282"/>
    <n v="252.22"/>
    <n v="5597058"/>
  </r>
  <r>
    <x v="283"/>
    <n v="244.19"/>
    <n v="9206472"/>
  </r>
  <r>
    <x v="284"/>
    <n v="235.32"/>
    <n v="15090406"/>
  </r>
  <r>
    <x v="285"/>
    <n v="255.87"/>
    <n v="9346519"/>
  </r>
  <r>
    <x v="286"/>
    <n v="268.85000000000002"/>
    <n v="6736438"/>
  </r>
  <r>
    <x v="287"/>
    <n v="274.32"/>
    <n v="6370128"/>
  </r>
  <r>
    <x v="288"/>
    <n v="271.85000000000002"/>
    <n v="8243636"/>
  </r>
  <r>
    <x v="289"/>
    <n v="265.92"/>
    <n v="10075212"/>
  </r>
  <r>
    <x v="290"/>
    <n v="249.54"/>
    <n v="3812259"/>
  </r>
  <r>
    <x v="291"/>
    <n v="250.02"/>
    <n v="14804388"/>
  </r>
  <r>
    <x v="292"/>
    <n v="240.05"/>
    <n v="8123347"/>
  </r>
  <r>
    <x v="293"/>
    <n v="240.73"/>
    <n v="8594001"/>
  </r>
  <r>
    <x v="294"/>
    <n v="230.84"/>
    <n v="9373502"/>
  </r>
  <r>
    <x v="295"/>
    <n v="217"/>
    <n v="4253760"/>
  </r>
  <r>
    <x v="296"/>
    <n v="216"/>
    <n v="6305360"/>
  </r>
  <r>
    <x v="297"/>
    <n v="218.15"/>
    <n v="4871838"/>
  </r>
  <r>
    <x v="298"/>
    <n v="224.24"/>
    <n v="4970803"/>
  </r>
  <r>
    <x v="299"/>
    <n v="230.47"/>
    <n v="6080689"/>
  </r>
  <r>
    <x v="300"/>
    <n v="225.07"/>
    <n v="5434065"/>
  </r>
  <r>
    <x v="301"/>
    <n v="222.22"/>
    <n v="5314200"/>
  </r>
  <r>
    <x v="302"/>
    <n v="220.8"/>
    <n v="6320791"/>
  </r>
  <r>
    <x v="303"/>
    <n v="225.58"/>
    <n v="6702535"/>
  </r>
  <r>
    <x v="304"/>
    <n v="220"/>
    <n v="11228583"/>
  </r>
  <r>
    <x v="305"/>
    <n v="214.83"/>
    <n v="6653522"/>
  </r>
  <r>
    <x v="306"/>
    <n v="210.48"/>
    <n v="4661973"/>
  </r>
  <r>
    <x v="307"/>
    <n v="215.05"/>
    <n v="4389277"/>
  </r>
  <r>
    <x v="308"/>
    <n v="207.76"/>
    <n v="3910458"/>
  </r>
  <r>
    <x v="309"/>
    <n v="206"/>
    <n v="4496998"/>
  </r>
  <r>
    <x v="310"/>
    <n v="204.87"/>
    <n v="5509868"/>
  </r>
  <r>
    <x v="311"/>
    <n v="209.32"/>
    <n v="5912098"/>
  </r>
  <r>
    <x v="312"/>
    <n v="208.04"/>
    <n v="6053953"/>
  </r>
  <r>
    <x v="313"/>
    <n v="212.51"/>
    <n v="10897669"/>
  </r>
  <r>
    <x v="314"/>
    <n v="219.06"/>
    <n v="5193033"/>
  </r>
  <r>
    <x v="315"/>
    <n v="218.51"/>
    <n v="4731902"/>
  </r>
  <r>
    <x v="316"/>
    <n v="217.33"/>
    <n v="7238791"/>
  </r>
  <r>
    <x v="317"/>
    <n v="215.35"/>
    <n v="12771397"/>
  </r>
  <r>
    <x v="318"/>
    <n v="210.5"/>
    <n v="7286015"/>
  </r>
  <r>
    <x v="319"/>
    <n v="206.4"/>
    <n v="9503807"/>
  </r>
  <r>
    <x v="320"/>
    <n v="203.11"/>
    <n v="6833776"/>
  </r>
  <r>
    <x v="321"/>
    <n v="194.26"/>
    <n v="4825015"/>
  </r>
  <r>
    <x v="322"/>
    <n v="189.37"/>
    <n v="8354920"/>
  </r>
  <r>
    <x v="323"/>
    <n v="191.66"/>
    <n v="5836130"/>
  </r>
  <r>
    <x v="324"/>
    <n v="192.42"/>
    <n v="5792180"/>
  </r>
  <r>
    <x v="325"/>
    <n v="189.7"/>
    <n v="8100940"/>
  </r>
  <r>
    <x v="326"/>
    <n v="185.28"/>
    <n v="8863088"/>
  </r>
  <r>
    <x v="327"/>
    <n v="183.73"/>
    <n v="9664883"/>
  </r>
  <r>
    <x v="328"/>
    <n v="195.65"/>
    <n v="8336984"/>
  </r>
  <r>
    <x v="329"/>
    <n v="195.15"/>
    <n v="9796013"/>
  </r>
  <r>
    <x v="330"/>
    <n v="188.12"/>
    <n v="18026347"/>
  </r>
  <r>
    <x v="331"/>
    <n v="194.59"/>
    <n v="7682021"/>
  </r>
  <r>
    <x v="332"/>
    <n v="192.15"/>
    <n v="5982275"/>
  </r>
  <r>
    <x v="333"/>
    <n v="194.35"/>
    <n v="8387169"/>
  </r>
  <r>
    <x v="334"/>
    <n v="193.11"/>
    <n v="7412109"/>
  </r>
  <r>
    <x v="335"/>
    <n v="193.7"/>
    <n v="5274173"/>
  </r>
  <r>
    <x v="336"/>
    <n v="190.86"/>
    <n v="6002789"/>
  </r>
  <r>
    <x v="337"/>
    <n v="188.21"/>
    <n v="10150736"/>
  </r>
  <r>
    <x v="338"/>
    <n v="195.92"/>
    <n v="8074963"/>
  </r>
  <r>
    <x v="339"/>
    <n v="185.73"/>
    <n v="5500915"/>
  </r>
  <r>
    <x v="340"/>
    <n v="187.01"/>
    <n v="6001073"/>
  </r>
  <r>
    <x v="341"/>
    <n v="190.25"/>
    <n v="5864922"/>
  </r>
  <r>
    <x v="342"/>
    <n v="186.2"/>
    <n v="5138161"/>
  </r>
  <r>
    <x v="343"/>
    <n v="191.86"/>
    <n v="14679497"/>
  </r>
  <r>
    <x v="344"/>
    <n v="196.48"/>
    <n v="11019814"/>
  </r>
  <r>
    <x v="345"/>
    <n v="196.6"/>
    <n v="9443278"/>
  </r>
  <r>
    <x v="346"/>
    <n v="192.8"/>
    <n v="7668301"/>
  </r>
  <r>
    <x v="347"/>
    <n v="191.53"/>
    <n v="3999705"/>
  </r>
  <r>
    <x v="348"/>
    <n v="187.29"/>
    <n v="7143486"/>
  </r>
  <r>
    <x v="349"/>
    <n v="183.69"/>
    <n v="11196941"/>
  </r>
  <r>
    <x v="350"/>
    <n v="174.8"/>
    <n v="7229476"/>
  </r>
  <r>
    <x v="351"/>
    <n v="174.25"/>
    <n v="7755999"/>
  </r>
  <r>
    <x v="352"/>
    <n v="170.2"/>
    <n v="4799354"/>
  </r>
  <r>
    <x v="353"/>
    <n v="170.98"/>
    <n v="6173349"/>
  </r>
  <r>
    <x v="354"/>
    <n v="173.01"/>
    <n v="6828297"/>
  </r>
  <r>
    <x v="355"/>
    <n v="174.68"/>
    <n v="10721608"/>
  </r>
  <r>
    <x v="356"/>
    <n v="174.39"/>
    <n v="15460611"/>
  </r>
  <r>
    <x v="357"/>
    <n v="158.88999999999999"/>
    <n v="7611999"/>
  </r>
  <r>
    <x v="358"/>
    <n v="160.85"/>
    <n v="4385405"/>
  </r>
  <r>
    <x v="359"/>
    <n v="165.49"/>
    <n v="6199639"/>
  </r>
  <r>
    <x v="360"/>
    <n v="164.95"/>
    <n v="5078862"/>
  </r>
  <r>
    <x v="361"/>
    <n v="168.63"/>
    <n v="5602910"/>
  </r>
  <r>
    <x v="362"/>
    <n v="165.5"/>
    <n v="4621556"/>
  </r>
  <r>
    <x v="363"/>
    <n v="162.91"/>
    <n v="4186761"/>
  </r>
  <r>
    <x v="364"/>
    <n v="161.9"/>
    <n v="5400326"/>
  </r>
  <r>
    <x v="365"/>
    <n v="160.77000000000001"/>
    <n v="4437406"/>
  </r>
  <r>
    <x v="366"/>
    <n v="160.59"/>
    <n v="7881558"/>
  </r>
  <r>
    <x v="367"/>
    <n v="156.22"/>
    <n v="7048618"/>
  </r>
  <r>
    <x v="368"/>
    <n v="153.84"/>
    <n v="10838105"/>
  </r>
  <r>
    <x v="369"/>
    <n v="150.57"/>
    <n v="16913760"/>
  </r>
  <r>
    <x v="370"/>
    <n v="162.25"/>
    <n v="8092948"/>
  </r>
  <r>
    <x v="371"/>
    <n v="160.87"/>
    <n v="6554541"/>
  </r>
  <r>
    <x v="372"/>
    <n v="163.82"/>
    <n v="4382223"/>
  </r>
  <r>
    <x v="373"/>
    <n v="164.47"/>
    <n v="5374633"/>
  </r>
  <r>
    <x v="374"/>
    <n v="161.63"/>
    <n v="6279321"/>
  </r>
  <r>
    <x v="375"/>
    <n v="157.76"/>
    <n v="6752263"/>
  </r>
  <r>
    <x v="376"/>
    <n v="161.03"/>
    <n v="8436864"/>
  </r>
  <r>
    <x v="377"/>
    <n v="165.11"/>
    <n v="5263423"/>
  </r>
  <r>
    <x v="378"/>
    <n v="166.32"/>
    <n v="5242935"/>
  </r>
  <r>
    <x v="379"/>
    <n v="165.9"/>
    <n v="6626700"/>
  </r>
  <r>
    <x v="380"/>
    <n v="163.41999999999999"/>
    <n v="6875000"/>
  </r>
  <r>
    <x v="381"/>
    <n v="163.66999999999999"/>
    <n v="7924843"/>
  </r>
  <r>
    <x v="382"/>
    <n v="162.65"/>
    <n v="6150673"/>
  </r>
  <r>
    <x v="383"/>
    <n v="163.71"/>
    <n v="19430572"/>
  </r>
  <r>
    <x v="384"/>
    <n v="144.41999999999999"/>
    <n v="6627793"/>
  </r>
  <r>
    <x v="385"/>
    <n v="143.91"/>
    <n v="9488592"/>
  </r>
  <r>
    <x v="386"/>
    <n v="137.38"/>
    <n v="9701299"/>
  </r>
  <r>
    <x v="387"/>
    <n v="129.76"/>
    <n v="8630145"/>
  </r>
  <r>
    <x v="388"/>
    <n v="128.6"/>
    <n v="10207819"/>
  </r>
  <r>
    <x v="389"/>
    <n v="131.91"/>
    <n v="10132996"/>
  </r>
  <r>
    <x v="390"/>
    <n v="132.88"/>
    <n v="11451111"/>
  </r>
  <r>
    <x v="391"/>
    <n v="127.56"/>
    <n v="11753484"/>
  </r>
  <r>
    <x v="392"/>
    <n v="126.92"/>
    <n v="12627548"/>
  </r>
  <r>
    <x v="393"/>
    <n v="134.71"/>
    <n v="12719350"/>
  </r>
  <r>
    <x v="394"/>
    <n v="148.99"/>
    <n v="5540918"/>
  </r>
  <r>
    <x v="395"/>
    <n v="149.65"/>
    <n v="7210992"/>
  </r>
  <r>
    <x v="396"/>
    <n v="147.15"/>
    <n v="20062321"/>
  </r>
  <r>
    <x v="397"/>
    <n v="144.26"/>
    <n v="10385584"/>
  </r>
  <r>
    <x v="398"/>
    <n v="155.47"/>
    <n v="11784244"/>
  </r>
  <r>
    <x v="399"/>
    <n v="164.09"/>
    <n v="3579125"/>
  </r>
  <r>
    <x v="400"/>
    <n v="164.14"/>
    <n v="6701351"/>
  </r>
  <r>
    <x v="401"/>
    <n v="158.11000000000001"/>
    <n v="8870586"/>
  </r>
  <r>
    <x v="402"/>
    <n v="162.38"/>
    <n v="7756176"/>
  </r>
  <r>
    <x v="403"/>
    <n v="156.05000000000001"/>
    <n v="9025621"/>
  </r>
  <r>
    <x v="404"/>
    <n v="159.52000000000001"/>
    <n v="7905039"/>
  </r>
  <r>
    <x v="405"/>
    <n v="152.47999999999999"/>
    <n v="5848671"/>
  </r>
  <r>
    <x v="406"/>
    <n v="155.33000000000001"/>
    <n v="9985405"/>
  </r>
  <r>
    <x v="407"/>
    <n v="145.52000000000001"/>
    <n v="7867999"/>
  </r>
  <r>
    <x v="408"/>
    <n v="144.44999999999999"/>
    <n v="10350878"/>
  </r>
  <r>
    <x v="409"/>
    <n v="145.30000000000001"/>
    <n v="18520602"/>
  </r>
  <r>
    <x v="410"/>
    <n v="151.08000000000001"/>
    <n v="8343384"/>
  </r>
  <r>
    <x v="411"/>
    <n v="148.61000000000001"/>
    <n v="9472304"/>
  </r>
  <r>
    <x v="412"/>
    <n v="152.5"/>
    <n v="13200396"/>
  </r>
  <r>
    <x v="413"/>
    <n v="156.03"/>
    <n v="8949853"/>
  </r>
  <r>
    <x v="414"/>
    <n v="164.81"/>
    <n v="9577424"/>
  </r>
  <r>
    <x v="415"/>
    <n v="166.99"/>
    <n v="4966618"/>
  </r>
  <r>
    <x v="416"/>
    <n v="171.42"/>
    <n v="7420927"/>
  </r>
  <r>
    <x v="417"/>
    <n v="164.11"/>
    <n v="5918534"/>
  </r>
  <r>
    <x v="418"/>
    <n v="170.23"/>
    <n v="6362345"/>
  </r>
  <r>
    <x v="419"/>
    <n v="168.46"/>
    <n v="7849718"/>
  </r>
  <r>
    <x v="420"/>
    <n v="171.13"/>
    <n v="6483039"/>
  </r>
  <r>
    <x v="421"/>
    <n v="173.66"/>
    <n v="8222292"/>
  </r>
  <r>
    <x v="422"/>
    <n v="175.94"/>
    <n v="13303625"/>
  </r>
  <r>
    <x v="423"/>
    <n v="183.63"/>
    <n v="8076990"/>
  </r>
  <r>
    <x v="424"/>
    <n v="182.24"/>
    <n v="7500356"/>
  </r>
  <r>
    <x v="425"/>
    <n v="173.22"/>
    <n v="4221598"/>
  </r>
  <r>
    <x v="426"/>
    <n v="175.18"/>
    <n v="5625367"/>
  </r>
  <r>
    <x v="427"/>
    <n v="175.14"/>
    <n v="6639740"/>
  </r>
  <r>
    <x v="428"/>
    <n v="173.35"/>
    <n v="5639095"/>
  </r>
  <r>
    <x v="429"/>
    <n v="171.73"/>
    <n v="7093496"/>
  </r>
  <r>
    <x v="430"/>
    <n v="169.95"/>
    <n v="5385127"/>
  </r>
  <r>
    <x v="431"/>
    <n v="168"/>
    <n v="8675277"/>
  </r>
  <r>
    <x v="432"/>
    <n v="174.37"/>
    <n v="14135397"/>
  </r>
  <r>
    <x v="433"/>
    <n v="166.22"/>
    <n v="6353843"/>
  </r>
  <r>
    <x v="434"/>
    <n v="164.59"/>
    <n v="7639734"/>
  </r>
  <r>
    <x v="435"/>
    <n v="172.04"/>
    <n v="13559625"/>
  </r>
  <r>
    <x v="436"/>
    <n v="173.32"/>
    <n v="6508793"/>
  </r>
  <r>
    <x v="437"/>
    <n v="173.19"/>
    <n v="5917576"/>
  </r>
  <r>
    <x v="438"/>
    <n v="176.98"/>
    <n v="7804459"/>
  </r>
  <r>
    <x v="439"/>
    <n v="178.5"/>
    <n v="5927295"/>
  </r>
  <r>
    <x v="440"/>
    <n v="176.47"/>
    <n v="7885032"/>
  </r>
  <r>
    <x v="441"/>
    <n v="173.25"/>
    <n v="6773712"/>
  </r>
  <r>
    <x v="442"/>
    <n v="169.11"/>
    <n v="7838293"/>
  </r>
  <r>
    <x v="443"/>
    <n v="176.01"/>
    <n v="9094438"/>
  </r>
  <r>
    <x v="444"/>
    <n v="176.76"/>
    <n v="10362357"/>
  </r>
  <r>
    <x v="445"/>
    <n v="172.66"/>
    <n v="9391554"/>
  </r>
  <r>
    <x v="446"/>
    <n v="172.45"/>
    <n v="3648805"/>
  </r>
  <r>
    <x v="447"/>
    <n v="175.9"/>
    <n v="4213300"/>
  </r>
  <r>
    <x v="448"/>
    <n v="174.22"/>
    <n v="21685742"/>
  </r>
  <r>
    <x v="449"/>
    <n v="175.79"/>
    <n v="10149630"/>
  </r>
  <r>
    <x v="450"/>
    <n v="182.03"/>
    <n v="9780876"/>
  </r>
  <r>
    <x v="451"/>
    <n v="178.18"/>
    <n v="6411614"/>
  </r>
  <r>
    <x v="452"/>
    <n v="174.46"/>
    <n v="5934136"/>
  </r>
  <r>
    <x v="453"/>
    <n v="171.56"/>
    <n v="5994728"/>
  </r>
  <r>
    <x v="454"/>
    <n v="171.22"/>
    <n v="8289167"/>
  </r>
  <r>
    <x v="455"/>
    <n v="167.4"/>
    <n v="8854936"/>
  </r>
  <r>
    <x v="456"/>
    <n v="163.88"/>
    <n v="10177624"/>
  </r>
  <r>
    <x v="457"/>
    <n v="156.12"/>
    <n v="12603276"/>
  </r>
  <r>
    <x v="458"/>
    <n v="154.75"/>
    <n v="10140064"/>
  </r>
  <r>
    <x v="459"/>
    <n v="162.74"/>
    <n v="11100146"/>
  </r>
  <r>
    <x v="460"/>
    <n v="159.78"/>
    <n v="6849079"/>
  </r>
  <r>
    <x v="461"/>
    <n v="158.33000000000001"/>
    <n v="15924910"/>
  </r>
  <r>
    <x v="462"/>
    <n v="153.77000000000001"/>
    <n v="5942070"/>
  </r>
  <r>
    <x v="463"/>
    <n v="153.30000000000001"/>
    <n v="5855689"/>
  </r>
  <r>
    <x v="464"/>
    <n v="147.88"/>
    <n v="4520967"/>
  </r>
  <r>
    <x v="465"/>
    <n v="149.46"/>
    <n v="5504276"/>
  </r>
  <r>
    <x v="466"/>
    <n v="148.72"/>
    <n v="3509363"/>
  </r>
  <r>
    <x v="467"/>
    <n v="147.85"/>
    <n v="5887495"/>
  </r>
  <r>
    <x v="468"/>
    <n v="146.75"/>
    <n v="7980772"/>
  </r>
  <r>
    <x v="469"/>
    <n v="150.86000000000001"/>
    <n v="5590997"/>
  </r>
  <r>
    <x v="470"/>
    <n v="152.87"/>
    <n v="6616829"/>
  </r>
  <r>
    <x v="471"/>
    <n v="150.63999999999999"/>
    <n v="5000913"/>
  </r>
  <r>
    <x v="472"/>
    <n v="153.61000000000001"/>
    <n v="4775039"/>
  </r>
  <r>
    <x v="473"/>
    <n v="151.41"/>
    <n v="10809066"/>
  </r>
  <r>
    <x v="474"/>
    <n v="148.12"/>
    <n v="15101039"/>
  </r>
  <r>
    <x v="475"/>
    <n v="140.27000000000001"/>
    <n v="6626443"/>
  </r>
  <r>
    <x v="476"/>
    <n v="142.69999999999999"/>
    <n v="7957128"/>
  </r>
  <r>
    <x v="477"/>
    <n v="144.16"/>
    <n v="5604482"/>
  </r>
  <r>
    <x v="478"/>
    <n v="141.5"/>
    <n v="10200468"/>
  </r>
  <r>
    <x v="479"/>
    <n v="138.22999999999999"/>
    <n v="7822267"/>
  </r>
  <r>
    <x v="480"/>
    <n v="137.52000000000001"/>
    <n v="8777828"/>
  </r>
  <r>
    <x v="481"/>
    <n v="136.94999999999999"/>
    <n v="6563242"/>
  </r>
  <r>
    <x v="482"/>
    <n v="134.21"/>
    <n v="9770463"/>
  </r>
  <r>
    <x v="483"/>
    <n v="135.55000000000001"/>
    <n v="9482681"/>
  </r>
  <r>
    <x v="484"/>
    <n v="131.22999999999999"/>
    <n v="10119691"/>
  </r>
  <r>
    <x v="485"/>
    <n v="134.35"/>
    <n v="12203975"/>
  </r>
  <r>
    <x v="486"/>
    <n v="132.01"/>
    <n v="18483711"/>
  </r>
  <r>
    <x v="487"/>
    <n v="136.79"/>
    <n v="17940065"/>
  </r>
  <r>
    <x v="488"/>
    <n v="136.76"/>
    <n v="9395572"/>
  </r>
  <r>
    <x v="489"/>
    <n v="137.43"/>
    <n v="8091953"/>
  </r>
  <r>
    <x v="490"/>
    <n v="133.33000000000001"/>
    <n v="10064494"/>
  </r>
  <r>
    <x v="491"/>
    <n v="134.9"/>
    <n v="8922753"/>
  </r>
  <r>
    <x v="492"/>
    <n v="133.91999999999999"/>
    <n v="11979481"/>
  </r>
  <r>
    <x v="493"/>
    <n v="131.76"/>
    <n v="11893315"/>
  </r>
  <r>
    <x v="494"/>
    <n v="133.32"/>
    <n v="14081455"/>
  </r>
  <r>
    <x v="495"/>
    <n v="134.58000000000001"/>
    <n v="8777343"/>
  </r>
  <r>
    <x v="496"/>
    <n v="140.51"/>
    <n v="10822907"/>
  </r>
  <r>
    <x v="497"/>
    <n v="142.63"/>
    <n v="9521743"/>
  </r>
  <r>
    <x v="498"/>
    <n v="140.05000000000001"/>
    <n v="8132643"/>
  </r>
  <r>
    <x v="499"/>
    <n v="143.43"/>
    <n v="4382682"/>
  </r>
  <r>
    <x v="500"/>
    <n v="142.71"/>
    <n v="17111208"/>
  </r>
  <r>
    <x v="501"/>
    <n v="137.9"/>
    <n v="8719559"/>
  </r>
  <r>
    <x v="502"/>
    <n v="139.38999999999999"/>
    <n v="7447093"/>
  </r>
  <r>
    <x v="503"/>
    <n v="138.69999999999999"/>
    <n v="4821301"/>
  </r>
  <r>
    <x v="504"/>
    <n v="137.07"/>
    <n v="12243469"/>
  </r>
  <r>
    <x v="505"/>
    <n v="138.65"/>
    <n v="16812361"/>
  </r>
  <r>
    <x v="506"/>
    <n v="132.57"/>
    <n v="16115096"/>
  </r>
  <r>
    <x v="507"/>
    <n v="134.65"/>
    <n v="14379619"/>
  </r>
  <r>
    <x v="508"/>
    <n v="132.06"/>
    <n v="14435134"/>
  </r>
  <r>
    <x v="509"/>
    <n v="126.44"/>
    <n v="17592268"/>
  </r>
  <r>
    <x v="510"/>
    <n v="115.87"/>
    <n v="6236661"/>
  </r>
  <r>
    <x v="511"/>
    <n v="114.73"/>
    <n v="7671233"/>
  </r>
  <r>
    <x v="512"/>
    <n v="113.77"/>
    <n v="8452077"/>
  </r>
  <r>
    <x v="513"/>
    <n v="116.83"/>
    <n v="17843207"/>
  </r>
  <r>
    <x v="514"/>
    <n v="107.24"/>
    <n v="10517462"/>
  </r>
  <r>
    <x v="515"/>
    <n v="108.16"/>
    <n v="6193754"/>
  </r>
  <r>
    <x v="516"/>
    <n v="107.36"/>
    <n v="8102162"/>
  </r>
  <r>
    <x v="517"/>
    <n v="110.69"/>
    <n v="7429480"/>
  </r>
  <r>
    <x v="518"/>
    <n v="108.68"/>
    <n v="8550806"/>
  </r>
  <r>
    <x v="519"/>
    <n v="108.22"/>
    <n v="7326004"/>
  </r>
  <r>
    <x v="520"/>
    <n v="109.15"/>
    <n v="14855692"/>
  </r>
  <r>
    <x v="521"/>
    <n v="104.58"/>
    <n v="11455595"/>
  </r>
  <r>
    <x v="522"/>
    <n v="108.03"/>
    <n v="13320091"/>
  </r>
  <r>
    <x v="523"/>
    <n v="102.29"/>
    <n v="32882269"/>
  </r>
  <r>
    <x v="524"/>
    <n v="98.96"/>
    <n v="5559006"/>
  </r>
  <r>
    <x v="525"/>
    <n v="98.58"/>
    <n v="11919575"/>
  </r>
  <r>
    <x v="526"/>
    <n v="96.46"/>
    <n v="17777727"/>
  </r>
  <r>
    <x v="527"/>
    <n v="99.12"/>
    <n v="7654952"/>
  </r>
  <r>
    <x v="528"/>
    <n v="99.78"/>
    <n v="12471602"/>
  </r>
  <r>
    <x v="529"/>
    <n v="96.34"/>
    <n v="11846424"/>
  </r>
  <r>
    <x v="530"/>
    <n v="97.82"/>
    <n v="12638122"/>
  </r>
  <r>
    <x v="531"/>
    <n v="100.05"/>
    <n v="10024372"/>
  </r>
  <r>
    <x v="532"/>
    <n v="100.12"/>
    <n v="17646842"/>
  </r>
  <r>
    <x v="533"/>
    <n v="94.52"/>
    <n v="10980635"/>
  </r>
  <r>
    <x v="534"/>
    <n v="94.18"/>
    <n v="11159202"/>
  </r>
  <r>
    <x v="535"/>
    <n v="92.39"/>
    <n v="14562982"/>
  </r>
  <r>
    <x v="536"/>
    <n v="96.33"/>
    <n v="10866374"/>
  </r>
  <r>
    <x v="537"/>
    <n v="95.5"/>
    <n v="11949510"/>
  </r>
  <r>
    <x v="538"/>
    <n v="98.2"/>
    <n v="10000213"/>
  </r>
  <r>
    <x v="539"/>
    <n v="98.48"/>
    <n v="30561815"/>
  </r>
  <r>
    <x v="540"/>
    <n v="109.07"/>
    <n v="7604028"/>
  </r>
  <r>
    <x v="541"/>
    <n v="107.8"/>
    <n v="7419393"/>
  </r>
  <r>
    <x v="542"/>
    <n v="105.38"/>
    <n v="9716281"/>
  </r>
  <r>
    <x v="543"/>
    <n v="105.82"/>
    <n v="5196788"/>
  </r>
  <r>
    <x v="544"/>
    <n v="106.42"/>
    <n v="8786773"/>
  </r>
  <r>
    <x v="545"/>
    <n v="106.41"/>
    <n v="15721773"/>
  </r>
  <r>
    <x v="546"/>
    <n v="102.76"/>
    <n v="10933593"/>
  </r>
  <r>
    <x v="547"/>
    <n v="102.57"/>
    <n v="7785080"/>
  </r>
  <r>
    <x v="548"/>
    <n v="99.82"/>
    <n v="10606058"/>
  </r>
  <r>
    <x v="549"/>
    <n v="97.4"/>
    <n v="8953051"/>
  </r>
  <r>
    <x v="550"/>
    <n v="94.91"/>
    <n v="6696080"/>
  </r>
  <r>
    <x v="551"/>
    <n v="90.39"/>
    <n v="4073408"/>
  </r>
  <r>
    <x v="552"/>
    <n v="92.74"/>
    <n v="17477927"/>
  </r>
  <r>
    <x v="553"/>
    <n v="90.09"/>
    <n v="9309298"/>
  </r>
  <r>
    <x v="554"/>
    <n v="89.36"/>
    <n v="7358003"/>
  </r>
  <r>
    <x v="555"/>
    <n v="89.53"/>
    <n v="10852995"/>
  </r>
  <r>
    <x v="556"/>
    <n v="87.73"/>
    <n v="6188416"/>
  </r>
  <r>
    <x v="557"/>
    <n v="86.13"/>
    <n v="10174125"/>
  </r>
  <r>
    <x v="558"/>
    <n v="89.73"/>
    <n v="7392012"/>
  </r>
  <r>
    <x v="559"/>
    <n v="92.64"/>
    <n v="4967355"/>
  </r>
  <r>
    <x v="560"/>
    <n v="90.69"/>
    <n v="8489353"/>
  </r>
  <r>
    <x v="561"/>
    <n v="92.11"/>
    <n v="12327632"/>
  </r>
  <r>
    <x v="562"/>
    <n v="90.4"/>
    <n v="19420584"/>
  </r>
  <r>
    <x v="563"/>
    <n v="86.47"/>
    <n v="10241334"/>
  </r>
  <r>
    <x v="564"/>
    <n v="84.62"/>
    <n v="12940348"/>
  </r>
  <r>
    <x v="565"/>
    <n v="84.39"/>
    <n v="22096433"/>
  </r>
  <r>
    <x v="566"/>
    <n v="90.15"/>
    <n v="10254687"/>
  </r>
  <r>
    <x v="567"/>
    <n v="87.38"/>
    <n v="12196446"/>
  </r>
  <r>
    <x v="568"/>
    <n v="87.63"/>
    <n v="7916545"/>
  </r>
  <r>
    <x v="569"/>
    <n v="89.07"/>
    <n v="7174879"/>
  </r>
  <r>
    <x v="570"/>
    <n v="90"/>
    <n v="8991618"/>
  </r>
  <r>
    <x v="571"/>
    <n v="87.8"/>
    <n v="7368180"/>
  </r>
  <r>
    <x v="572"/>
    <n v="89.82"/>
    <n v="8407060"/>
  </r>
  <r>
    <x v="573"/>
    <n v="90.89"/>
    <n v="11626258"/>
  </r>
  <r>
    <x v="574"/>
    <n v="90.08"/>
    <n v="7969647"/>
  </r>
  <r>
    <x v="575"/>
    <n v="92.35"/>
    <n v="8489703"/>
  </r>
  <r>
    <x v="576"/>
    <n v="91.28"/>
    <n v="5575482"/>
  </r>
  <r>
    <x v="577"/>
    <n v="91.61"/>
    <n v="9483015"/>
  </r>
  <r>
    <x v="578"/>
    <n v="90.54"/>
    <n v="16059997"/>
  </r>
  <r>
    <x v="579"/>
    <n v="87.63"/>
    <n v="10910595"/>
  </r>
  <r>
    <x v="580"/>
    <n v="87.57"/>
    <n v="10995948"/>
  </r>
  <r>
    <x v="581"/>
    <n v="85.25"/>
    <n v="8000681"/>
  </r>
  <r>
    <x v="582"/>
    <n v="89.28"/>
    <n v="8977460"/>
  </r>
  <r>
    <x v="583"/>
    <n v="85.07"/>
    <n v="11135293"/>
  </r>
  <r>
    <x v="584"/>
    <n v="87.8"/>
    <n v="9845412"/>
  </r>
  <r>
    <x v="585"/>
    <n v="89.3"/>
    <n v="8612175"/>
  </r>
  <r>
    <x v="586"/>
    <n v="88.24"/>
    <n v="9505012"/>
  </r>
  <r>
    <x v="587"/>
    <n v="89.67"/>
    <n v="9708394"/>
  </r>
  <r>
    <x v="588"/>
    <n v="88.03"/>
    <n v="11745100"/>
  </r>
  <r>
    <x v="589"/>
    <n v="90.39"/>
    <n v="6171943"/>
  </r>
  <r>
    <x v="590"/>
    <n v="91.96"/>
    <n v="11906655"/>
  </r>
  <r>
    <x v="591"/>
    <n v="92.38"/>
    <n v="18491001"/>
  </r>
  <r>
    <x v="592"/>
    <n v="94.34"/>
    <n v="9574126"/>
  </r>
  <r>
    <x v="593"/>
    <n v="91.79"/>
    <n v="9150242"/>
  </r>
  <r>
    <x v="594"/>
    <n v="90.78"/>
    <n v="10430375"/>
  </r>
  <r>
    <x v="595"/>
    <n v="90.24"/>
    <n v="9306341"/>
  </r>
  <r>
    <x v="596"/>
    <n v="92.99"/>
    <n v="13144434"/>
  </r>
  <r>
    <x v="597"/>
    <n v="95.27"/>
    <n v="8480503"/>
  </r>
  <r>
    <x v="598"/>
    <n v="94.54"/>
    <n v="8381120"/>
  </r>
  <r>
    <x v="599"/>
    <n v="92.95"/>
    <n v="8427810"/>
  </r>
  <r>
    <x v="600"/>
    <n v="91.57"/>
    <n v="9843773"/>
  </r>
  <r>
    <x v="601"/>
    <n v="90.37"/>
    <n v="14102560"/>
  </r>
  <r>
    <x v="602"/>
    <n v="85.49"/>
    <n v="8029075"/>
  </r>
  <r>
    <x v="603"/>
    <n v="83.51"/>
    <n v="5450977"/>
  </r>
  <r>
    <x v="604"/>
    <n v="84.92"/>
    <n v="10073704"/>
  </r>
  <r>
    <x v="605"/>
    <n v="84.89"/>
    <n v="24532984"/>
  </r>
  <r>
    <x v="606"/>
    <n v="83.24"/>
    <n v="11726689"/>
  </r>
  <r>
    <x v="607"/>
    <n v="82.14"/>
    <n v="13613154"/>
  </r>
  <r>
    <x v="608"/>
    <n v="76.08"/>
    <n v="6693414"/>
  </r>
  <r>
    <x v="609"/>
    <n v="81.22"/>
    <n v="10266119"/>
  </r>
  <r>
    <x v="610"/>
    <n v="82.23"/>
    <n v="9299862"/>
  </r>
  <r>
    <x v="611"/>
    <n v="82.01"/>
    <n v="10597451"/>
  </r>
  <r>
    <x v="612"/>
    <n v="84.25"/>
    <n v="17186771"/>
  </r>
  <r>
    <x v="613"/>
    <n v="79.34"/>
    <n v="13854390"/>
  </r>
  <r>
    <x v="614"/>
    <n v="75.739999999999995"/>
    <n v="12377616"/>
  </r>
  <r>
    <x v="615"/>
    <n v="71.06"/>
    <n v="20572142"/>
  </r>
  <r>
    <x v="616"/>
    <n v="67.680000000000007"/>
    <n v="18051617"/>
  </r>
  <r>
    <x v="617"/>
    <n v="67.3"/>
    <n v="25841710"/>
  </r>
  <r>
    <x v="618"/>
    <n v="76.400000000000006"/>
    <n v="15542704"/>
  </r>
  <r>
    <x v="619"/>
    <n v="73.400000000000006"/>
    <n v="12403653"/>
  </r>
  <r>
    <x v="620"/>
    <n v="74.900000000000006"/>
    <n v="13539767"/>
  </r>
  <r>
    <x v="621"/>
    <n v="75.72"/>
    <n v="17595060"/>
  </r>
  <r>
    <x v="622"/>
    <n v="73.16"/>
    <n v="17471835"/>
  </r>
  <r>
    <x v="623"/>
    <n v="80.48"/>
    <n v="23152417"/>
  </r>
  <r>
    <x v="624"/>
    <n v="82.36"/>
    <n v="21994997"/>
  </r>
  <r>
    <x v="625"/>
    <n v="86.88"/>
    <n v="16973735"/>
  </r>
  <r>
    <x v="626"/>
    <n v="92.79"/>
    <n v="11963152"/>
  </r>
  <r>
    <x v="627"/>
    <n v="92.2"/>
    <n v="13666631"/>
  </r>
  <r>
    <x v="628"/>
    <n v="97.56"/>
    <n v="9424348"/>
  </r>
  <r>
    <x v="629"/>
    <n v="96.52"/>
    <n v="10520532"/>
  </r>
  <r>
    <x v="630"/>
    <n v="91.87"/>
    <n v="20264919"/>
  </r>
  <r>
    <x v="631"/>
    <n v="86.99"/>
    <n v="11762006"/>
  </r>
  <r>
    <x v="632"/>
    <n v="85.38"/>
    <n v="15455303"/>
  </r>
  <r>
    <x v="633"/>
    <n v="90.15"/>
    <n v="9920207"/>
  </r>
  <r>
    <x v="634"/>
    <n v="91.9"/>
    <n v="9444303"/>
  </r>
  <r>
    <x v="635"/>
    <n v="93.82"/>
    <n v="9309807"/>
  </r>
  <r>
    <x v="636"/>
    <n v="93.58"/>
    <n v="10802492"/>
  </r>
  <r>
    <x v="637"/>
    <n v="95.65"/>
    <n v="12265494"/>
  </r>
  <r>
    <x v="638"/>
    <n v="95.67"/>
    <n v="7798321"/>
  </r>
  <r>
    <x v="639"/>
    <n v="93.94"/>
    <n v="7699289"/>
  </r>
  <r>
    <x v="640"/>
    <n v="92.58"/>
    <n v="12953083"/>
  </r>
  <r>
    <x v="641"/>
    <n v="91.16"/>
    <n v="8767930"/>
  </r>
  <r>
    <x v="642"/>
    <n v="95"/>
    <n v="12802977"/>
  </r>
  <r>
    <x v="643"/>
    <n v="90.28"/>
    <n v="10883633"/>
  </r>
  <r>
    <x v="644"/>
    <n v="89.28"/>
    <n v="24750561"/>
  </r>
  <r>
    <x v="645"/>
    <n v="90.71"/>
    <n v="15804514"/>
  </r>
  <r>
    <x v="646"/>
    <n v="88.69"/>
    <n v="18439482"/>
  </r>
  <r>
    <x v="647"/>
    <n v="89.88"/>
    <n v="17418462"/>
  </r>
  <r>
    <x v="648"/>
    <n v="98.32"/>
    <n v="14427480"/>
  </r>
  <r>
    <x v="649"/>
    <n v="95.42"/>
    <n v="10630796"/>
  </r>
  <r>
    <x v="650"/>
    <n v="91.74"/>
    <n v="17237388"/>
  </r>
  <r>
    <x v="651"/>
    <n v="90.48"/>
    <n v="12159649"/>
  </r>
  <r>
    <x v="652"/>
    <n v="93.34"/>
    <n v="7730420"/>
  </r>
  <r>
    <x v="653"/>
    <n v="95.83"/>
    <n v="14078408"/>
  </r>
  <r>
    <x v="654"/>
    <n v="93.15"/>
    <n v="13902958"/>
  </r>
  <r>
    <x v="655"/>
    <n v="93.01"/>
    <n v="4087475"/>
  </r>
  <r>
    <x v="656"/>
    <n v="93.01"/>
    <n v="5280568"/>
  </r>
  <r>
    <x v="657"/>
    <n v="93.07"/>
    <n v="16596288"/>
  </r>
  <r>
    <x v="658"/>
    <n v="93.98"/>
    <n v="11157700"/>
  </r>
  <r>
    <x v="659"/>
    <n v="95"/>
    <n v="17395519"/>
  </r>
  <r>
    <x v="660"/>
    <n v="87.5"/>
    <n v="6522389"/>
  </r>
  <r>
    <x v="661"/>
    <n v="86.79"/>
    <n v="10371323"/>
  </r>
  <r>
    <x v="662"/>
    <n v="87.32"/>
    <n v="9161704"/>
  </r>
  <r>
    <x v="663"/>
    <n v="90"/>
    <n v="13612366"/>
  </r>
  <r>
    <x v="664"/>
    <n v="87.72"/>
    <n v="11230822"/>
  </r>
  <r>
    <x v="665"/>
    <n v="88.86"/>
    <n v="10090534"/>
  </r>
  <r>
    <x v="666"/>
    <n v="89.62"/>
    <n v="10532199"/>
  </r>
  <r>
    <x v="667"/>
    <n v="88.69"/>
    <n v="14955190"/>
  </r>
  <r>
    <x v="668"/>
    <n v="85.64"/>
    <n v="18556454"/>
  </r>
  <r>
    <x v="669"/>
    <n v="84.23"/>
    <n v="14930557"/>
  </r>
  <r>
    <x v="670"/>
    <n v="82.28"/>
    <n v="18448277"/>
  </r>
  <r>
    <x v="671"/>
    <n v="84.16"/>
    <n v="7109382"/>
  </r>
  <r>
    <x v="672"/>
    <n v="82.75"/>
    <n v="12776418"/>
  </r>
  <r>
    <x v="673"/>
    <n v="80.459999999999994"/>
    <n v="12618132"/>
  </r>
  <r>
    <x v="674"/>
    <n v="81.23"/>
    <n v="12514715"/>
  </r>
  <r>
    <x v="675"/>
    <n v="80.8"/>
    <n v="14430845"/>
  </r>
  <r>
    <x v="676"/>
    <n v="85.32"/>
    <n v="12455692"/>
  </r>
  <r>
    <x v="677"/>
    <n v="82.55"/>
    <n v="18250342"/>
  </r>
  <r>
    <x v="678"/>
    <n v="78.959999999999994"/>
    <n v="14856663"/>
  </r>
  <r>
    <x v="679"/>
    <n v="74.61"/>
    <n v="20349726"/>
  </r>
  <r>
    <x v="680"/>
    <n v="74.22"/>
    <n v="17304725"/>
  </r>
  <r>
    <x v="681"/>
    <n v="71.41"/>
    <n v="24378272"/>
  </r>
  <r>
    <x v="682"/>
    <n v="75.959999999999994"/>
    <n v="24155489"/>
  </r>
  <r>
    <x v="683"/>
    <n v="78.7"/>
    <n v="33775344"/>
  </r>
  <r>
    <x v="684"/>
    <n v="80.63"/>
    <n v="16039542"/>
  </r>
  <r>
    <x v="685"/>
    <n v="79.37"/>
    <n v="11225248"/>
  </r>
  <r>
    <x v="686"/>
    <n v="83.49"/>
    <n v="14822425"/>
  </r>
  <r>
    <x v="687"/>
    <n v="83.06"/>
    <n v="16529720"/>
  </r>
  <r>
    <x v="688"/>
    <n v="85.91"/>
    <n v="12770046"/>
  </r>
  <r>
    <x v="689"/>
    <n v="83.14"/>
    <n v="17743592"/>
  </r>
  <r>
    <x v="690"/>
    <n v="90.01"/>
    <n v="12500026"/>
  </r>
  <r>
    <x v="691"/>
    <n v="92.81"/>
    <n v="15222846"/>
  </r>
  <r>
    <x v="692"/>
    <n v="93.87"/>
    <n v="15810433"/>
  </r>
  <r>
    <x v="693"/>
    <n v="91.26"/>
    <n v="10628335"/>
  </r>
  <r>
    <x v="694"/>
    <n v="92.17"/>
    <n v="14099585"/>
  </r>
  <r>
    <x v="695"/>
    <n v="91.35"/>
    <n v="21975838"/>
  </r>
  <r>
    <x v="696"/>
    <n v="91.05"/>
    <n v="29055428"/>
  </r>
  <r>
    <x v="697"/>
    <n v="86.18"/>
    <n v="14442401"/>
  </r>
  <r>
    <x v="698"/>
    <n v="86.95"/>
    <n v="13433395"/>
  </r>
  <r>
    <x v="699"/>
    <n v="84.76"/>
    <n v="13556372"/>
  </r>
  <r>
    <x v="700"/>
    <n v="81.760000000000005"/>
    <n v="9847731"/>
  </r>
  <r>
    <x v="701"/>
    <n v="78.55"/>
    <n v="15033245"/>
  </r>
  <r>
    <x v="702"/>
    <n v="76.69"/>
    <n v="18239778"/>
  </r>
  <r>
    <x v="703"/>
    <n v="78.349999999999994"/>
    <n v="12789179"/>
  </r>
  <r>
    <x v="704"/>
    <n v="80.290000000000006"/>
    <n v="10499519"/>
  </r>
  <r>
    <x v="705"/>
    <n v="85.11"/>
    <n v="18806720"/>
  </r>
  <r>
    <x v="706"/>
    <n v="84.99"/>
    <n v="15644279"/>
  </r>
  <r>
    <x v="707"/>
    <n v="83.45"/>
    <n v="8615734"/>
  </r>
  <r>
    <x v="708"/>
    <n v="82.57"/>
    <n v="10822029"/>
  </r>
  <r>
    <x v="709"/>
    <n v="84.95"/>
    <n v="24267785"/>
  </r>
  <r>
    <x v="710"/>
    <n v="87.94"/>
    <n v="16726114"/>
  </r>
  <r>
    <x v="711"/>
    <n v="87.93"/>
    <n v="14448510"/>
  </r>
  <r>
    <x v="712"/>
    <n v="82.65"/>
    <n v="7333675"/>
  </r>
  <r>
    <x v="713"/>
    <n v="81.78"/>
    <n v="13593375"/>
  </r>
  <r>
    <x v="714"/>
    <n v="81.97"/>
    <n v="15917744"/>
  </r>
  <r>
    <x v="715"/>
    <n v="77.12"/>
    <n v="14028282"/>
  </r>
  <r>
    <x v="716"/>
    <n v="72.69"/>
    <n v="14155727"/>
  </r>
  <r>
    <x v="717"/>
    <n v="77.099999999999994"/>
    <n v="12881444"/>
  </r>
  <r>
    <x v="718"/>
    <n v="80.05"/>
    <n v="12935233"/>
  </r>
  <r>
    <x v="719"/>
    <n v="77.48"/>
    <n v="18106931"/>
  </r>
  <r>
    <x v="720"/>
    <n v="73.58"/>
    <n v="16965241"/>
  </r>
  <r>
    <x v="721"/>
    <n v="73.38"/>
    <n v="14877222"/>
  </r>
  <r>
    <x v="722"/>
    <n v="76.17"/>
    <n v="24475008"/>
  </r>
  <r>
    <x v="723"/>
    <n v="77.319999999999993"/>
    <n v="20110898"/>
  </r>
  <r>
    <x v="724"/>
    <n v="70.86"/>
    <n v="14189575"/>
  </r>
  <r>
    <x v="725"/>
    <n v="69.86"/>
    <n v="12687303"/>
  </r>
  <r>
    <x v="726"/>
    <n v="67.87"/>
    <n v="11802076"/>
  </r>
  <r>
    <x v="727"/>
    <n v="66.010000000000005"/>
    <n v="12326869"/>
  </r>
  <r>
    <x v="728"/>
    <n v="67.86"/>
    <n v="17165131"/>
  </r>
  <r>
    <x v="729"/>
    <n v="67.84"/>
    <n v="14537687"/>
  </r>
  <r>
    <x v="730"/>
    <n v="64.98"/>
    <n v="17542580"/>
  </r>
  <r>
    <x v="731"/>
    <n v="60.47"/>
    <n v="24768036"/>
  </r>
  <r>
    <x v="732"/>
    <n v="54.88"/>
    <n v="18158136"/>
  </r>
  <r>
    <x v="733"/>
    <n v="54.32"/>
    <n v="12063525"/>
  </r>
  <r>
    <x v="734"/>
    <n v="55.41"/>
    <n v="25497436"/>
  </r>
  <r>
    <x v="735"/>
    <n v="51.45"/>
    <n v="25324467"/>
  </r>
  <r>
    <x v="736"/>
    <n v="54.39"/>
    <n v="14594834"/>
  </r>
  <r>
    <x v="737"/>
    <n v="57.11"/>
    <n v="13305455"/>
  </r>
  <r>
    <x v="738"/>
    <n v="55.43"/>
    <n v="11187844"/>
  </r>
  <r>
    <x v="739"/>
    <n v="52.84"/>
    <n v="16971707"/>
  </r>
  <r>
    <x v="740"/>
    <n v="52.98"/>
    <n v="18681828"/>
  </r>
  <r>
    <x v="741"/>
    <n v="60.06"/>
    <n v="19237314"/>
  </r>
  <r>
    <x v="742"/>
    <n v="55.13"/>
    <n v="14903140"/>
  </r>
  <r>
    <x v="743"/>
    <n v="56.06"/>
    <n v="19639819"/>
  </r>
  <r>
    <x v="744"/>
    <n v="53.25"/>
    <n v="19445844"/>
  </r>
  <r>
    <x v="745"/>
    <n v="50.92"/>
    <n v="14169419"/>
  </r>
  <r>
    <x v="746"/>
    <n v="50.02"/>
    <n v="25109377"/>
  </r>
  <r>
    <x v="747"/>
    <n v="45.68"/>
    <n v="21011921"/>
  </r>
  <r>
    <x v="748"/>
    <n v="41.9"/>
    <n v="39281510"/>
  </r>
  <r>
    <x v="749"/>
    <n v="38"/>
    <n v="27608513"/>
  </r>
  <r>
    <x v="750"/>
    <n v="35.76"/>
    <n v="29639101"/>
  </r>
  <r>
    <x v="751"/>
    <n v="43.21"/>
    <n v="22765115"/>
  </r>
  <r>
    <x v="752"/>
    <n v="46.96"/>
    <n v="15039596"/>
  </r>
  <r>
    <x v="753"/>
    <n v="51.81"/>
    <n v="16853316"/>
  </r>
  <r>
    <x v="754"/>
    <n v="55.27"/>
    <n v="19877003"/>
  </r>
  <r>
    <x v="755"/>
    <n v="50.94"/>
    <n v="14869065"/>
  </r>
  <r>
    <x v="756"/>
    <n v="54.12"/>
    <n v="11504064"/>
  </r>
  <r>
    <x v="757"/>
    <n v="58.58"/>
    <n v="13276542"/>
  </r>
  <r>
    <x v="758"/>
    <n v="60.32"/>
    <n v="14239866"/>
  </r>
  <r>
    <x v="759"/>
    <n v="64.44"/>
    <n v="8432676"/>
  </r>
  <r>
    <x v="760"/>
    <n v="60.97"/>
    <n v="6998745"/>
  </r>
  <r>
    <x v="761"/>
    <n v="63.59"/>
    <n v="16004837"/>
  </r>
  <r>
    <x v="762"/>
    <n v="61.34"/>
    <n v="32344949"/>
  </r>
  <r>
    <x v="763"/>
    <n v="73.709999999999994"/>
    <n v="15828881"/>
  </r>
  <r>
    <x v="764"/>
    <n v="70.650000000000006"/>
    <n v="11591278"/>
  </r>
  <r>
    <x v="765"/>
    <n v="60.91"/>
    <n v="20424184"/>
  </r>
  <r>
    <x v="766"/>
    <n v="64.37"/>
    <n v="17013103"/>
  </r>
  <r>
    <x v="767"/>
    <n v="64.58"/>
    <n v="15115215"/>
  </r>
  <r>
    <x v="768"/>
    <n v="65.37"/>
    <n v="19500983"/>
  </r>
  <r>
    <x v="769"/>
    <n v="56.81"/>
    <n v="21045302"/>
  </r>
  <r>
    <x v="770"/>
    <n v="62.55"/>
    <n v="20859205"/>
  </r>
  <r>
    <x v="771"/>
    <n v="68.36"/>
    <n v="29315016"/>
  </r>
  <r>
    <x v="772"/>
    <n v="78"/>
    <n v="18488800"/>
  </r>
  <r>
    <x v="773"/>
    <n v="81.56"/>
    <n v="16131400"/>
  </r>
  <r>
    <x v="774"/>
    <n v="90.08"/>
    <n v="24367990"/>
  </r>
  <r>
    <x v="775"/>
    <n v="90.84"/>
    <n v="19566731"/>
  </r>
  <r>
    <x v="776"/>
    <n v="82.28"/>
    <n v="10640264"/>
  </r>
  <r>
    <x v="777"/>
    <n v="82.82"/>
    <n v="10920544"/>
  </r>
  <r>
    <x v="778"/>
    <n v="82.68"/>
    <n v="12222936"/>
  </r>
  <r>
    <x v="779"/>
    <n v="87.85"/>
    <n v="14625252"/>
  </r>
  <r>
    <x v="780"/>
    <n v="88.16"/>
    <n v="15924245"/>
  </r>
  <r>
    <x v="781"/>
    <n v="77.34"/>
    <n v="13031359"/>
  </r>
  <r>
    <x v="782"/>
    <n v="79.489999999999995"/>
    <n v="14533321"/>
  </r>
  <r>
    <x v="783"/>
    <n v="79.52"/>
    <n v="18874937"/>
  </r>
  <r>
    <x v="784"/>
    <n v="73.94"/>
    <n v="15019582"/>
  </r>
  <r>
    <x v="785"/>
    <n v="74.97"/>
    <n v="13956919"/>
  </r>
  <r>
    <x v="786"/>
    <n v="77.25"/>
    <n v="20545729"/>
  </r>
  <r>
    <x v="787"/>
    <n v="80.540000000000006"/>
    <n v="31276955"/>
  </r>
  <r>
    <x v="788"/>
    <n v="85.98"/>
    <n v="20075965"/>
  </r>
  <r>
    <x v="789"/>
    <n v="88.86"/>
    <n v="10965609"/>
  </r>
  <r>
    <x v="790"/>
    <n v="91.71"/>
    <n v="10645351"/>
  </r>
  <r>
    <x v="791"/>
    <n v="86.83"/>
    <n v="13995011"/>
  </r>
  <r>
    <x v="792"/>
    <n v="90.95"/>
    <n v="15103769"/>
  </r>
  <r>
    <x v="793"/>
    <n v="90.37"/>
    <n v="12108720"/>
  </r>
  <r>
    <x v="794"/>
    <n v="96.86"/>
    <n v="11968908"/>
  </r>
  <r>
    <x v="795"/>
    <n v="94.46"/>
    <n v="9875426"/>
  </r>
  <r>
    <x v="796"/>
    <n v="96.71"/>
    <n v="8442171"/>
  </r>
  <r>
    <x v="797"/>
    <n v="92.9"/>
    <n v="12911055"/>
  </r>
  <r>
    <x v="798"/>
    <n v="96.87"/>
    <n v="15848241"/>
  </r>
  <r>
    <x v="799"/>
    <n v="91.27"/>
    <n v="12900786"/>
  </r>
  <r>
    <x v="800"/>
    <n v="87.02"/>
    <n v="15326290"/>
  </r>
  <r>
    <x v="801"/>
    <n v="84.8"/>
    <n v="16957961"/>
  </r>
  <r>
    <x v="802"/>
    <n v="86.7"/>
    <n v="14231589"/>
  </r>
  <r>
    <x v="803"/>
    <n v="88.13"/>
    <n v="10570111"/>
  </r>
  <r>
    <x v="804"/>
    <n v="89.09"/>
    <n v="10213179"/>
  </r>
  <r>
    <x v="805"/>
    <n v="87.92"/>
    <n v="9634101"/>
  </r>
  <r>
    <x v="806"/>
    <n v="88"/>
    <n v="11990048"/>
  </r>
  <r>
    <x v="807"/>
    <n v="93.42"/>
    <n v="16620054"/>
  </r>
  <r>
    <x v="808"/>
    <n v="89.96"/>
    <n v="21817514"/>
  </r>
  <r>
    <x v="809"/>
    <n v="84.01"/>
    <n v="16760005"/>
  </r>
  <r>
    <x v="810"/>
    <n v="84.04"/>
    <n v="20639795"/>
  </r>
  <r>
    <x v="811"/>
    <n v="84.1"/>
    <n v="16319721"/>
  </r>
  <r>
    <x v="812"/>
    <n v="90.62"/>
    <n v="10466689"/>
  </r>
  <r>
    <x v="813"/>
    <n v="94.29"/>
    <n v="13027326"/>
  </r>
  <r>
    <x v="814"/>
    <n v="95.92"/>
    <n v="11271825"/>
  </r>
  <r>
    <x v="815"/>
    <n v="100.22"/>
    <n v="8805909"/>
  </r>
  <r>
    <x v="816"/>
    <n v="98.47"/>
    <n v="13739193"/>
  </r>
  <r>
    <x v="817"/>
    <n v="93.6"/>
    <n v="11631796"/>
  </r>
  <r>
    <x v="818"/>
    <n v="96.8"/>
    <n v="14012995"/>
  </r>
  <r>
    <x v="819"/>
    <n v="99.74"/>
    <n v="9987446"/>
  </r>
  <r>
    <x v="820"/>
    <n v="102.43"/>
    <n v="8909897"/>
  </r>
  <r>
    <x v="821"/>
    <n v="103.94"/>
    <n v="11966222"/>
  </r>
  <r>
    <x v="822"/>
    <n v="103.32"/>
    <n v="9437600"/>
  </r>
  <r>
    <x v="823"/>
    <n v="107.51"/>
    <n v="8152188"/>
  </r>
  <r>
    <x v="824"/>
    <n v="106.06"/>
    <n v="8769500"/>
  </r>
  <r>
    <x v="825"/>
    <n v="104.75"/>
    <n v="11743025"/>
  </r>
  <r>
    <x v="826"/>
    <n v="104.1"/>
    <n v="19321300"/>
  </r>
  <r>
    <x v="827"/>
    <n v="109.18"/>
    <n v="5932800"/>
  </r>
  <r>
    <x v="828"/>
    <n v="108.21"/>
    <n v="4850900"/>
  </r>
  <r>
    <x v="829"/>
    <n v="109.68"/>
    <n v="5481404"/>
  </r>
  <r>
    <x v="830"/>
    <n v="111.08"/>
    <n v="8765919"/>
  </r>
  <r>
    <x v="831"/>
    <n v="108"/>
    <n v="16119022"/>
  </r>
  <r>
    <x v="832"/>
    <n v="109.04"/>
    <n v="14628603"/>
  </r>
  <r>
    <x v="833"/>
    <n v="108.56"/>
    <n v="10704142"/>
  </r>
  <r>
    <x v="834"/>
    <n v="109.63"/>
    <n v="16416532"/>
  </r>
  <r>
    <x v="835"/>
    <n v="115.67"/>
    <n v="10351058"/>
  </r>
  <r>
    <x v="836"/>
    <n v="117.25"/>
    <n v="17330210"/>
  </r>
  <r>
    <x v="837"/>
    <n v="110.84"/>
    <n v="4967900"/>
  </r>
  <r>
    <x v="838"/>
    <n v="110.97"/>
    <n v="12709713"/>
  </r>
  <r>
    <x v="839"/>
    <n v="109.96"/>
    <n v="15344110"/>
  </r>
  <r>
    <x v="840"/>
    <n v="111.37"/>
    <n v="8317600"/>
  </r>
  <r>
    <x v="841"/>
    <n v="109.4"/>
    <n v="8928315"/>
  </r>
  <r>
    <x v="842"/>
    <n v="111.29"/>
    <n v="10711838"/>
  </r>
  <r>
    <x v="843"/>
    <n v="105.96"/>
    <n v="19573418"/>
  </r>
  <r>
    <x v="844"/>
    <n v="106.55"/>
    <n v="10448435"/>
  </r>
  <r>
    <x v="845"/>
    <n v="108.26"/>
    <n v="7499505"/>
  </r>
  <r>
    <x v="846"/>
    <n v="109.5"/>
    <n v="11131150"/>
  </r>
  <r>
    <x v="847"/>
    <n v="107.22"/>
    <n v="7592044"/>
  </r>
  <r>
    <x v="848"/>
    <n v="109.03"/>
    <n v="9987373"/>
  </r>
  <r>
    <x v="849"/>
    <n v="107.91"/>
    <n v="7760709"/>
  </r>
  <r>
    <x v="850"/>
    <n v="108.82"/>
    <n v="8560869"/>
  </r>
  <r>
    <x v="851"/>
    <n v="107.43"/>
    <n v="11735836"/>
  </r>
  <r>
    <x v="852"/>
    <n v="112.71"/>
    <n v="13089428"/>
  </r>
  <r>
    <x v="853"/>
    <n v="111.14"/>
    <n v="9492106"/>
  </r>
  <r>
    <x v="854"/>
    <n v="114.67"/>
    <n v="7054275"/>
  </r>
  <r>
    <x v="855"/>
    <n v="112.5"/>
    <n v="10795685"/>
  </r>
  <r>
    <x v="856"/>
    <n v="120.97"/>
    <n v="6576400"/>
  </r>
  <r>
    <x v="857"/>
    <n v="117.05"/>
    <n v="8237876"/>
  </r>
  <r>
    <x v="858"/>
    <n v="113.39"/>
    <n v="7674500"/>
  </r>
  <r>
    <x v="859"/>
    <n v="114.98"/>
    <n v="10642200"/>
  </r>
  <r>
    <x v="860"/>
    <n v="109.89"/>
    <n v="9106200"/>
  </r>
  <r>
    <x v="861"/>
    <n v="110.98"/>
    <n v="8178800"/>
  </r>
  <r>
    <x v="862"/>
    <n v="108.86"/>
    <n v="7492200"/>
  </r>
  <r>
    <x v="863"/>
    <n v="107.53"/>
    <n v="6192400"/>
  </r>
  <r>
    <x v="864"/>
    <n v="108.62"/>
    <n v="5826800"/>
  </r>
  <r>
    <x v="865"/>
    <n v="107.47"/>
    <n v="16224900"/>
  </r>
  <r>
    <x v="866"/>
    <n v="115.06"/>
    <n v="8832000"/>
  </r>
  <r>
    <x v="867"/>
    <n v="115.3"/>
    <n v="6726500"/>
  </r>
  <r>
    <x v="868"/>
    <n v="114.87"/>
    <n v="7813900"/>
  </r>
  <r>
    <x v="869"/>
    <n v="117.36"/>
    <n v="3711300"/>
  </r>
  <r>
    <x v="870"/>
    <n v="117.44"/>
    <n v="8262000"/>
  </r>
  <r>
    <x v="871"/>
    <n v="114.75"/>
    <n v="6843800"/>
  </r>
  <r>
    <x v="872"/>
    <n v="112.07"/>
    <n v="7814400"/>
  </r>
  <r>
    <x v="873"/>
    <n v="114.03"/>
    <n v="8411600"/>
  </r>
  <r>
    <x v="874"/>
    <n v="116.2"/>
    <n v="11111100"/>
  </r>
  <r>
    <x v="875"/>
    <n v="113.98"/>
    <n v="8944200"/>
  </r>
  <r>
    <x v="876"/>
    <n v="112.3"/>
    <n v="8744100"/>
  </r>
  <r>
    <x v="877"/>
    <n v="108.68"/>
    <n v="11859600"/>
  </r>
  <r>
    <x v="878"/>
    <n v="106.03"/>
    <n v="14245400"/>
  </r>
  <r>
    <x v="879"/>
    <n v="105.9"/>
    <n v="11843500"/>
  </r>
  <r>
    <x v="880"/>
    <n v="100.71"/>
    <n v="7635500"/>
  </r>
  <r>
    <x v="881"/>
    <n v="101.82"/>
    <n v="7908100"/>
  </r>
  <r>
    <x v="882"/>
    <n v="99.15"/>
    <n v="11172700"/>
  </r>
  <r>
    <x v="883"/>
    <n v="103.88"/>
    <n v="13692100"/>
  </r>
  <r>
    <x v="884"/>
    <n v="98.34"/>
    <n v="12050200"/>
  </r>
  <r>
    <x v="885"/>
    <n v="104.51"/>
    <n v="10917400"/>
  </r>
  <r>
    <x v="886"/>
    <n v="105.29"/>
    <n v="17190600"/>
  </r>
  <r>
    <x v="887"/>
    <n v="108.49"/>
    <n v="11537800"/>
  </r>
  <r>
    <x v="888"/>
    <n v="109.01"/>
    <n v="8313800"/>
  </r>
  <r>
    <x v="889"/>
    <n v="114.4"/>
    <n v="5011500"/>
  </r>
  <r>
    <x v="890"/>
    <n v="116.86"/>
    <n v="8714900"/>
  </r>
  <r>
    <x v="891"/>
    <n v="115.04"/>
    <n v="10857900"/>
  </r>
  <r>
    <x v="892"/>
    <n v="109.64"/>
    <n v="7576600"/>
  </r>
  <r>
    <x v="893"/>
    <n v="106.57"/>
    <n v="7989600"/>
  </r>
  <r>
    <x v="894"/>
    <n v="111.13"/>
    <n v="5389300"/>
  </r>
  <r>
    <x v="895"/>
    <n v="107.49"/>
    <n v="8082600"/>
  </r>
  <r>
    <x v="896"/>
    <n v="109.34"/>
    <n v="9725600"/>
  </r>
  <r>
    <x v="897"/>
    <n v="115.06"/>
    <n v="5230000"/>
  </r>
  <r>
    <x v="898"/>
    <n v="119.31"/>
    <n v="9410500"/>
  </r>
  <r>
    <x v="899"/>
    <n v="115.13"/>
    <n v="5544400"/>
  </r>
  <r>
    <x v="900"/>
    <n v="115.39"/>
    <n v="6956300"/>
  </r>
  <r>
    <x v="901"/>
    <n v="114.85"/>
    <n v="5549800"/>
  </r>
  <r>
    <x v="902"/>
    <n v="117.1"/>
    <n v="7579400"/>
  </r>
  <r>
    <x v="903"/>
    <n v="112.94"/>
    <n v="5673600"/>
  </r>
  <r>
    <x v="904"/>
    <n v="111.81"/>
    <n v="8755100"/>
  </r>
  <r>
    <x v="905"/>
    <n v="114.94"/>
    <n v="7659900"/>
  </r>
  <r>
    <x v="906"/>
    <n v="112.01"/>
    <n v="7569100"/>
  </r>
  <r>
    <x v="907"/>
    <n v="111.5"/>
    <n v="9293200"/>
  </r>
  <r>
    <x v="908"/>
    <n v="107.16"/>
    <n v="6538900"/>
  </r>
  <r>
    <x v="909"/>
    <n v="105.05"/>
    <n v="7602700"/>
  </r>
  <r>
    <x v="910"/>
    <n v="99.75"/>
    <n v="5239100"/>
  </r>
  <r>
    <x v="911"/>
    <n v="98.49"/>
    <n v="7159200"/>
  </r>
  <r>
    <x v="912"/>
    <n v="102.46"/>
    <n v="6139700"/>
  </r>
  <r>
    <x v="913"/>
    <n v="99.95"/>
    <n v="8535300"/>
  </r>
  <r>
    <x v="914"/>
    <n v="100"/>
    <n v="6418500"/>
  </r>
  <r>
    <x v="915"/>
    <n v="102.59"/>
    <n v="7121400"/>
  </r>
  <r>
    <x v="916"/>
    <n v="103.39"/>
    <n v="4292700"/>
  </r>
  <r>
    <x v="917"/>
    <n v="104.56"/>
    <n v="11156300"/>
  </r>
  <r>
    <x v="918"/>
    <n v="99.9"/>
    <n v="6258800"/>
  </r>
  <r>
    <x v="919"/>
    <n v="98.08"/>
    <n v="9172000"/>
  </r>
  <r>
    <x v="920"/>
    <n v="97.82"/>
    <n v="5777400"/>
  </r>
  <r>
    <x v="921"/>
    <n v="98.18"/>
    <n v="4869800"/>
  </r>
  <r>
    <x v="922"/>
    <n v="97.8"/>
    <n v="8979700"/>
  </r>
  <r>
    <x v="923"/>
    <n v="96"/>
    <n v="5595100"/>
  </r>
  <r>
    <x v="924"/>
    <n v="93.54"/>
    <n v="9257500"/>
  </r>
  <r>
    <x v="925"/>
    <n v="90.63"/>
    <n v="8483300"/>
  </r>
  <r>
    <x v="926"/>
    <n v="88.53"/>
    <n v="7938400"/>
  </r>
  <r>
    <x v="927"/>
    <n v="87.6"/>
    <n v="7887100"/>
  </r>
  <r>
    <x v="928"/>
    <n v="87.4"/>
    <n v="10277200"/>
  </r>
  <r>
    <x v="929"/>
    <n v="87.13"/>
    <n v="10146100"/>
  </r>
  <r>
    <x v="930"/>
    <n v="83.1"/>
    <n v="18280600"/>
  </r>
  <r>
    <x v="931"/>
    <n v="80.19"/>
    <n v="7973900"/>
  </r>
  <r>
    <x v="932"/>
    <n v="79.760000000000005"/>
    <n v="6898200"/>
  </r>
  <r>
    <x v="933"/>
    <n v="80.510000000000005"/>
    <n v="9627900"/>
  </r>
  <r>
    <x v="934"/>
    <n v="81.680000000000007"/>
    <n v="7470100"/>
  </r>
  <r>
    <x v="935"/>
    <n v="84.77"/>
    <n v="8093700"/>
  </r>
  <r>
    <x v="936"/>
    <n v="84.65"/>
    <n v="7875700"/>
  </r>
  <r>
    <x v="937"/>
    <n v="84.6"/>
    <n v="7562200"/>
  </r>
  <r>
    <x v="938"/>
    <n v="84.09"/>
    <n v="7316700"/>
  </r>
  <r>
    <x v="939"/>
    <n v="85.1"/>
    <n v="10666000"/>
  </r>
  <r>
    <x v="940"/>
    <n v="83.04"/>
    <n v="8397500"/>
  </r>
  <r>
    <x v="941"/>
    <n v="83.96"/>
    <n v="8519300"/>
  </r>
  <r>
    <x v="942"/>
    <n v="82.24"/>
    <n v="14152300"/>
  </r>
  <r>
    <x v="943"/>
    <n v="80.099999999999994"/>
    <n v="22677500"/>
  </r>
  <r>
    <x v="944"/>
    <n v="87.32"/>
    <n v="9530100"/>
  </r>
  <r>
    <x v="945"/>
    <n v="86.44"/>
    <n v="13649600"/>
  </r>
  <r>
    <x v="946"/>
    <n v="90.69"/>
    <n v="5651900"/>
  </r>
  <r>
    <x v="947"/>
    <n v="89.88"/>
    <n v="7078700"/>
  </r>
  <r>
    <x v="948"/>
    <n v="88.31"/>
    <n v="6578000"/>
  </r>
  <r>
    <x v="949"/>
    <n v="84.61"/>
    <n v="9453100"/>
  </r>
  <r>
    <x v="950"/>
    <n v="86.7"/>
    <n v="6987300"/>
  </r>
  <r>
    <x v="951"/>
    <n v="84.95"/>
    <n v="7841100"/>
  </r>
  <r>
    <x v="952"/>
    <n v="85.61"/>
    <n v="11739500"/>
  </r>
  <r>
    <x v="953"/>
    <n v="83.95"/>
    <n v="13251300"/>
  </r>
  <r>
    <x v="954"/>
    <n v="91.02"/>
    <n v="6042200"/>
  </r>
  <r>
    <x v="955"/>
    <n v="92.35"/>
    <n v="7776300"/>
  </r>
  <r>
    <x v="956"/>
    <n v="93.89"/>
    <n v="6049300"/>
  </r>
  <r>
    <x v="957"/>
    <n v="96.13"/>
    <n v="12094900"/>
  </r>
  <r>
    <x v="958"/>
    <n v="99.73"/>
    <n v="6036600"/>
  </r>
  <r>
    <x v="959"/>
    <n v="99.6"/>
    <n v="6431200"/>
  </r>
  <r>
    <x v="960"/>
    <n v="98.44"/>
    <n v="4491900"/>
  </r>
  <r>
    <x v="961"/>
    <n v="97.35"/>
    <n v="7116700"/>
  </r>
  <r>
    <x v="962"/>
    <n v="98.01"/>
    <n v="8596300"/>
  </r>
  <r>
    <x v="963"/>
    <n v="96.36"/>
    <n v="10133000"/>
  </r>
  <r>
    <x v="964"/>
    <n v="94.43"/>
    <n v="11256000"/>
  </r>
  <r>
    <x v="965"/>
    <n v="90.34"/>
    <n v="10005600"/>
  </r>
  <r>
    <x v="966"/>
    <n v="93.32"/>
    <n v="13888800"/>
  </r>
  <r>
    <x v="967"/>
    <n v="94.91"/>
    <n v="11604700"/>
  </r>
  <r>
    <x v="968"/>
    <n v="98.49"/>
    <n v="5446200"/>
  </r>
  <r>
    <x v="969"/>
    <n v="98.76"/>
    <n v="7242600"/>
  </r>
  <r>
    <x v="970"/>
    <n v="100.01"/>
    <n v="12923000"/>
  </r>
  <r>
    <x v="971"/>
    <n v="98.85"/>
    <n v="8812500"/>
  </r>
  <r>
    <x v="972"/>
    <n v="96.7"/>
    <n v="8507200"/>
  </r>
  <r>
    <x v="973"/>
    <n v="95.71"/>
    <n v="3876400"/>
  </r>
  <r>
    <x v="974"/>
    <n v="94.05"/>
    <n v="6551100"/>
  </r>
  <r>
    <x v="975"/>
    <n v="95.37"/>
    <n v="7374300"/>
  </r>
  <r>
    <x v="976"/>
    <n v="91.94"/>
    <n v="10370500"/>
  </r>
  <r>
    <x v="977"/>
    <n v="91.12"/>
    <n v="8832600"/>
  </r>
  <r>
    <x v="978"/>
    <n v="87.78"/>
    <n v="8817700"/>
  </r>
  <r>
    <x v="979"/>
    <n v="86.2"/>
    <n v="7819600"/>
  </r>
  <r>
    <x v="980"/>
    <n v="85.94"/>
    <n v="6214200"/>
  </r>
  <r>
    <x v="981"/>
    <n v="86.26"/>
    <n v="7805000"/>
  </r>
  <r>
    <x v="982"/>
    <n v="84.59"/>
    <n v="13311800"/>
  </r>
  <r>
    <x v="983"/>
    <n v="88.11"/>
    <n v="7279200"/>
  </r>
  <r>
    <x v="984"/>
    <n v="85.66"/>
    <n v="5305300"/>
  </r>
  <r>
    <x v="985"/>
    <n v="83.01"/>
    <n v="6372200"/>
  </r>
  <r>
    <x v="986"/>
    <n v="81.33"/>
    <n v="10095500"/>
  </r>
  <r>
    <x v="987"/>
    <n v="79.3"/>
    <n v="5701100"/>
  </r>
  <r>
    <x v="988"/>
    <n v="76.430000000000007"/>
    <n v="6069500"/>
  </r>
  <r>
    <x v="989"/>
    <n v="78.14"/>
    <n v="6838200"/>
  </r>
  <r>
    <x v="990"/>
    <n v="81.88"/>
    <n v="5883300"/>
  </r>
  <r>
    <x v="991"/>
    <n v="80.569999999999993"/>
    <n v="7906200"/>
  </r>
  <r>
    <x v="992"/>
    <n v="80.8"/>
    <n v="5321500"/>
  </r>
  <r>
    <x v="993"/>
    <n v="79.94"/>
    <n v="4448700"/>
  </r>
  <r>
    <x v="994"/>
    <n v="80.5"/>
    <n v="6761100"/>
  </r>
  <r>
    <x v="995"/>
    <n v="79.83"/>
    <n v="7073100"/>
  </r>
  <r>
    <x v="996"/>
    <n v="78.23"/>
    <n v="5741900"/>
  </r>
  <r>
    <x v="997"/>
    <n v="76.94"/>
    <n v="5156700"/>
  </r>
  <r>
    <x v="998"/>
    <n v="74.22"/>
    <n v="4100000"/>
  </r>
  <r>
    <x v="999"/>
    <n v="73.58"/>
    <n v="5552800"/>
  </r>
  <r>
    <x v="1000"/>
    <n v="70.64"/>
    <n v="5093900"/>
  </r>
  <r>
    <x v="1001"/>
    <n v="71"/>
    <n v="6179600"/>
  </r>
  <r>
    <x v="1002"/>
    <n v="71.62"/>
    <n v="4452000"/>
  </r>
  <r>
    <x v="1003"/>
    <n v="71.91"/>
    <n v="6442300"/>
  </r>
  <r>
    <x v="1004"/>
    <n v="74.150000000000006"/>
    <n v="5596800"/>
  </r>
  <r>
    <x v="1005"/>
    <n v="74.5"/>
    <n v="5524400"/>
  </r>
  <r>
    <x v="1006"/>
    <n v="73.819999999999993"/>
    <n v="6680900"/>
  </r>
  <r>
    <x v="1007"/>
    <n v="76.069999999999993"/>
    <n v="8597600"/>
  </r>
  <r>
    <x v="1008"/>
    <n v="72.790000000000006"/>
    <n v="8604600"/>
  </r>
  <r>
    <x v="1009"/>
    <n v="71.28"/>
    <n v="13064400"/>
  </r>
  <r>
    <x v="1010"/>
    <n v="67.84"/>
    <n v="7965700"/>
  </r>
  <r>
    <x v="1011"/>
    <n v="69.5"/>
    <n v="6127800"/>
  </r>
  <r>
    <x v="1012"/>
    <n v="68.680000000000007"/>
    <n v="5872400"/>
  </r>
  <r>
    <x v="1013"/>
    <n v="69.010000000000005"/>
    <n v="4120500"/>
  </r>
  <r>
    <x v="1014"/>
    <n v="68.91"/>
    <n v="8202600"/>
  </r>
  <r>
    <x v="1015"/>
    <n v="66.13"/>
    <n v="10047900"/>
  </r>
  <r>
    <x v="1016"/>
    <n v="67.28"/>
    <n v="6622400"/>
  </r>
  <r>
    <x v="1017"/>
    <n v="69.63"/>
    <n v="5118400"/>
  </r>
  <r>
    <x v="1018"/>
    <n v="69.94"/>
    <n v="13021300"/>
  </r>
  <r>
    <x v="1019"/>
    <n v="65.040000000000006"/>
    <n v="17121800"/>
  </r>
  <r>
    <x v="1020"/>
    <n v="67.89"/>
    <n v="8643700"/>
  </r>
  <r>
    <x v="1021"/>
    <n v="68.86"/>
    <n v="3800000"/>
  </r>
  <r>
    <x v="1022"/>
    <n v="69.430000000000007"/>
    <n v="16243400"/>
  </r>
  <r>
    <x v="1023"/>
    <n v="73.75"/>
    <n v="6143500"/>
  </r>
  <r>
    <x v="1024"/>
    <n v="72.53"/>
    <n v="7180900"/>
  </r>
  <r>
    <x v="1025"/>
    <n v="72.7"/>
    <n v="5993500"/>
  </r>
  <r>
    <x v="1026"/>
    <n v="70.48"/>
    <n v="11240100"/>
  </r>
  <r>
    <x v="1027"/>
    <n v="76.900000000000006"/>
    <n v="5469000"/>
  </r>
  <r>
    <x v="1028"/>
    <n v="76.900000000000006"/>
    <n v="6496343"/>
  </r>
  <r>
    <x v="1029"/>
    <n v="75.760000000000005"/>
    <n v="8089100"/>
  </r>
  <r>
    <x v="1030"/>
    <n v="72.56"/>
    <n v="7777200"/>
  </r>
  <r>
    <x v="1031"/>
    <n v="72.95"/>
    <n v="13212800"/>
  </r>
  <r>
    <x v="1032"/>
    <n v="68.56"/>
    <n v="5810400"/>
  </r>
  <r>
    <x v="1033"/>
    <n v="66.91"/>
    <n v="6259400"/>
  </r>
  <r>
    <x v="1034"/>
    <n v="63.79"/>
    <n v="6054900"/>
  </r>
  <r>
    <x v="1035"/>
    <n v="66.25"/>
    <n v="11130200"/>
  </r>
  <r>
    <x v="1036"/>
    <n v="65.239999999999995"/>
    <n v="6805900"/>
  </r>
  <r>
    <x v="1037"/>
    <n v="66.680000000000007"/>
    <n v="5283900"/>
  </r>
  <r>
    <x v="1038"/>
    <n v="67.099999999999994"/>
    <n v="5256700"/>
  </r>
  <r>
    <x v="1039"/>
    <n v="67.09"/>
    <n v="6181200"/>
  </r>
  <r>
    <x v="1040"/>
    <n v="67.36"/>
    <n v="5015100"/>
  </r>
  <r>
    <x v="1041"/>
    <n v="65.2"/>
    <n v="6955600"/>
  </r>
  <r>
    <x v="1042"/>
    <n v="64.66"/>
    <n v="8528500"/>
  </r>
  <r>
    <x v="1043"/>
    <n v="65.25"/>
    <n v="7938400"/>
  </r>
  <r>
    <x v="1044"/>
    <n v="65.319999999999993"/>
    <n v="6645600"/>
  </r>
  <r>
    <x v="1045"/>
    <n v="63.74"/>
    <n v="8062300"/>
  </r>
  <r>
    <x v="1046"/>
    <n v="61.52"/>
    <n v="6881800"/>
  </r>
  <r>
    <x v="1047"/>
    <n v="62.54"/>
    <n v="13557600"/>
  </r>
  <r>
    <x v="1048"/>
    <n v="63.01"/>
    <n v="7118400"/>
  </r>
  <r>
    <x v="1049"/>
    <n v="63.86"/>
    <n v="6797900"/>
  </r>
  <r>
    <x v="1050"/>
    <n v="63.21"/>
    <n v="13053600"/>
  </r>
  <r>
    <x v="1051"/>
    <n v="63.98"/>
    <n v="6195400"/>
  </r>
  <r>
    <x v="1052"/>
    <n v="61.14"/>
    <n v="7643400"/>
  </r>
  <r>
    <x v="1053"/>
    <n v="62.5"/>
    <n v="8951800"/>
  </r>
  <r>
    <x v="1054"/>
    <n v="62.05"/>
    <n v="9072500"/>
  </r>
  <r>
    <x v="1055"/>
    <n v="60.74"/>
    <n v="8920800"/>
  </r>
  <r>
    <x v="1056"/>
    <n v="58.79"/>
    <n v="9708000"/>
  </r>
  <r>
    <x v="1057"/>
    <n v="58.9"/>
    <n v="8884200"/>
  </r>
  <r>
    <x v="1058"/>
    <n v="57.46"/>
    <n v="9101300"/>
  </r>
  <r>
    <x v="1059"/>
    <n v="55.85"/>
    <n v="8782300"/>
  </r>
  <r>
    <x v="1060"/>
    <n v="56.5"/>
    <n v="8182300"/>
  </r>
  <r>
    <x v="1061"/>
    <n v="57.26"/>
    <n v="13989100"/>
  </r>
  <r>
    <x v="1062"/>
    <n v="49.8"/>
    <n v="9464400"/>
  </r>
  <r>
    <x v="1063"/>
    <n v="50.84"/>
    <n v="8423400"/>
  </r>
  <r>
    <x v="1064"/>
    <n v="51.4"/>
    <n v="8407200"/>
  </r>
  <r>
    <x v="1065"/>
    <n v="51.3"/>
    <n v="4218700"/>
  </r>
  <r>
    <x v="1066"/>
    <n v="51.7"/>
    <n v="5436000"/>
  </r>
  <r>
    <x v="1067"/>
    <n v="52.12"/>
    <n v="5594700"/>
  </r>
  <r>
    <x v="1068"/>
    <n v="52.6"/>
    <n v="8796100"/>
  </r>
  <r>
    <x v="1069"/>
    <n v="50.8"/>
    <n v="7178700"/>
  </r>
  <r>
    <x v="1070"/>
    <n v="55.55"/>
    <n v="7019300"/>
  </r>
  <r>
    <x v="1071"/>
    <n v="57.35"/>
    <n v="10389600"/>
  </r>
  <r>
    <x v="1072"/>
    <n v="55.5"/>
    <n v="3990000"/>
  </r>
  <r>
    <x v="1073"/>
    <n v="53.95"/>
    <n v="3216500"/>
  </r>
  <r>
    <x v="1074"/>
    <n v="54.35"/>
    <n v="9019800"/>
  </r>
  <r>
    <x v="1075"/>
    <n v="52.1"/>
    <n v="4750000"/>
  </r>
  <r>
    <x v="1076"/>
    <n v="53.64"/>
    <n v="5623200"/>
  </r>
  <r>
    <x v="1077"/>
    <n v="52.57"/>
    <n v="4098000"/>
  </r>
  <r>
    <x v="1078"/>
    <n v="52.74"/>
    <n v="5865300"/>
  </r>
  <r>
    <x v="1079"/>
    <n v="53.45"/>
    <n v="12545600"/>
  </r>
  <r>
    <x v="1080"/>
    <n v="54.6"/>
    <n v="7322600"/>
  </r>
  <r>
    <x v="1081"/>
    <n v="53.82"/>
    <n v="9212600"/>
  </r>
  <r>
    <x v="1082"/>
    <n v="54.05"/>
    <n v="7365300"/>
  </r>
  <r>
    <x v="1083"/>
    <n v="53.34"/>
    <n v="9821400"/>
  </r>
  <r>
    <x v="1084"/>
    <n v="51.46"/>
    <n v="11828100"/>
  </r>
  <r>
    <x v="1085"/>
    <n v="51.06"/>
    <n v="13219800"/>
  </r>
  <r>
    <x v="1086"/>
    <n v="50.45"/>
    <n v="9871900"/>
  </r>
  <r>
    <x v="1087"/>
    <n v="47.75"/>
    <n v="14279600"/>
  </r>
  <r>
    <x v="1088"/>
    <n v="44.5"/>
    <n v="8502500"/>
  </r>
  <r>
    <x v="1089"/>
    <n v="46.51"/>
    <n v="5754200"/>
  </r>
  <r>
    <x v="1090"/>
    <n v="47.35"/>
    <n v="4815300"/>
  </r>
  <r>
    <x v="1091"/>
    <n v="48.62"/>
    <n v="5112500"/>
  </r>
  <r>
    <x v="1092"/>
    <n v="48.95"/>
    <n v="6608600"/>
  </r>
  <r>
    <x v="1093"/>
    <n v="48.85"/>
    <n v="7837900"/>
  </r>
  <r>
    <x v="1094"/>
    <n v="46.72"/>
    <n v="9890600"/>
  </r>
  <r>
    <x v="1095"/>
    <n v="47.03"/>
    <n v="15692100"/>
  </r>
  <r>
    <x v="1096"/>
    <n v="49.21"/>
    <n v="11786500"/>
  </r>
  <r>
    <x v="1097"/>
    <n v="49.9"/>
    <n v="8749900"/>
  </r>
  <r>
    <x v="1098"/>
    <n v="53.15"/>
    <n v="5208500"/>
  </r>
  <r>
    <x v="1099"/>
    <n v="53.4"/>
    <n v="25873700"/>
  </r>
  <r>
    <x v="1100"/>
    <n v="56.39"/>
    <n v="7891000"/>
  </r>
  <r>
    <x v="1101"/>
    <n v="56.07"/>
    <n v="6969000"/>
  </r>
  <r>
    <x v="1102"/>
    <n v="54.34"/>
    <n v="5558600"/>
  </r>
  <r>
    <x v="1103"/>
    <n v="53.95"/>
    <n v="4049300"/>
  </r>
  <r>
    <x v="1104"/>
    <n v="52.96"/>
    <n v="4204600"/>
  </r>
  <r>
    <x v="1105"/>
    <n v="54.33"/>
    <n v="4567800"/>
  </r>
  <r>
    <x v="1106"/>
    <n v="51.58"/>
    <n v="6031000"/>
  </r>
  <r>
    <x v="1107"/>
    <n v="51.49"/>
    <n v="9602400"/>
  </r>
  <r>
    <x v="1108"/>
    <n v="54.34"/>
    <n v="6249900"/>
  </r>
  <r>
    <x v="1109"/>
    <n v="54.1"/>
    <n v="6129000"/>
  </r>
  <r>
    <x v="1110"/>
    <n v="55"/>
    <n v="6812200"/>
  </r>
  <r>
    <x v="1111"/>
    <n v="54.4"/>
    <n v="7497700"/>
  </r>
  <r>
    <x v="1112"/>
    <n v="58.1"/>
    <n v="4635600"/>
  </r>
  <r>
    <x v="1113"/>
    <n v="57.56"/>
    <n v="8119200"/>
  </r>
  <r>
    <x v="1114"/>
    <n v="57.45"/>
    <n v="9590100"/>
  </r>
  <r>
    <x v="1115"/>
    <n v="60.3"/>
    <n v="10724700"/>
  </r>
  <r>
    <x v="1116"/>
    <n v="58.45"/>
    <n v="7054800"/>
  </r>
  <r>
    <x v="1117"/>
    <n v="55.14"/>
    <n v="5235700"/>
  </r>
  <r>
    <x v="1118"/>
    <n v="54.96"/>
    <n v="8128100"/>
  </r>
  <r>
    <x v="1119"/>
    <n v="53.4"/>
    <n v="9527800"/>
  </r>
  <r>
    <x v="1120"/>
    <n v="53.55"/>
    <n v="8078900"/>
  </r>
  <r>
    <x v="1121"/>
    <n v="53.14"/>
    <n v="5590600"/>
  </r>
  <r>
    <x v="1122"/>
    <n v="50.82"/>
    <n v="9589200"/>
  </r>
  <r>
    <x v="1123"/>
    <n v="50.41"/>
    <n v="14476400"/>
  </r>
  <r>
    <x v="1124"/>
    <n v="54.08"/>
    <n v="8074700"/>
  </r>
  <r>
    <x v="1125"/>
    <n v="52.19"/>
    <n v="5139100"/>
  </r>
  <r>
    <x v="1126"/>
    <n v="51.83"/>
    <n v="14337100"/>
  </r>
  <r>
    <x v="1127"/>
    <n v="48.05"/>
    <n v="4947800"/>
  </r>
  <r>
    <x v="1128"/>
    <n v="48.32"/>
    <n v="10247800"/>
  </r>
  <r>
    <x v="1129"/>
    <n v="45.86"/>
    <n v="6256600"/>
  </r>
  <r>
    <x v="1130"/>
    <n v="46.4"/>
    <n v="2965400"/>
  </r>
  <r>
    <x v="1131"/>
    <n v="45.6"/>
    <n v="8288400"/>
  </r>
  <r>
    <x v="1132"/>
    <n v="44.96"/>
    <n v="6612900"/>
  </r>
  <r>
    <x v="1133"/>
    <n v="42.25"/>
    <n v="7275300"/>
  </r>
  <r>
    <x v="1134"/>
    <n v="39.479999999999997"/>
    <n v="2997600"/>
  </r>
  <r>
    <x v="1135"/>
    <n v="38.14"/>
    <n v="4362300"/>
  </r>
  <r>
    <x v="1136"/>
    <n v="38.090000000000003"/>
    <n v="4593900"/>
  </r>
  <r>
    <x v="1137"/>
    <n v="38.700000000000003"/>
    <n v="4461800"/>
  </r>
  <r>
    <x v="1138"/>
    <n v="36.75"/>
    <n v="7477600"/>
  </r>
  <r>
    <x v="1139"/>
    <n v="34.450000000000003"/>
    <n v="13919600"/>
  </r>
  <r>
    <x v="1140"/>
    <n v="39.979999999999997"/>
    <n v="1202800"/>
  </r>
  <r>
    <x v="1141"/>
    <n v="40.21"/>
    <n v="4429400"/>
  </r>
  <r>
    <x v="1142"/>
    <n v="42.1"/>
    <n v="5069200"/>
  </r>
  <r>
    <x v="1143"/>
    <n v="41.35"/>
    <n v="2905200"/>
  </r>
  <r>
    <x v="1144"/>
    <n v="40.14"/>
    <n v="3410100"/>
  </r>
  <r>
    <x v="1145"/>
    <n v="39.97"/>
    <n v="2891700"/>
  </r>
  <r>
    <x v="1146"/>
    <n v="41"/>
    <n v="3579600"/>
  </r>
  <r>
    <x v="1147"/>
    <n v="40.89"/>
    <n v="3666700"/>
  </r>
  <r>
    <x v="1148"/>
    <n v="41.25"/>
    <n v="4637100"/>
  </r>
  <r>
    <x v="1149"/>
    <n v="42.08"/>
    <n v="4183100"/>
  </r>
  <r>
    <x v="1150"/>
    <n v="39.99"/>
    <n v="4200200"/>
  </r>
  <r>
    <x v="1151"/>
    <n v="40.200000000000003"/>
    <n v="9305600"/>
  </r>
  <r>
    <x v="1152"/>
    <n v="37.479999999999997"/>
    <n v="4460900"/>
  </r>
  <r>
    <x v="1153"/>
    <n v="37.96"/>
    <n v="5608200"/>
  </r>
  <r>
    <x v="1154"/>
    <n v="39.6"/>
    <n v="4591400"/>
  </r>
  <r>
    <x v="1155"/>
    <n v="40.85"/>
    <n v="3743200"/>
  </r>
  <r>
    <x v="1156"/>
    <n v="39.72"/>
    <n v="5301600"/>
  </r>
  <r>
    <x v="1157"/>
    <n v="40.51"/>
    <n v="4969200"/>
  </r>
  <r>
    <x v="1158"/>
    <n v="38.409999999999997"/>
    <n v="7631300"/>
  </r>
  <r>
    <x v="1159"/>
    <n v="41.28"/>
    <n v="3803900"/>
  </r>
  <r>
    <x v="1160"/>
    <n v="42.48"/>
    <n v="4563100"/>
  </r>
  <r>
    <x v="1161"/>
    <n v="43.5"/>
    <n v="5003100"/>
  </r>
  <r>
    <x v="1162"/>
    <n v="39.799999999999997"/>
    <n v="4058100"/>
  </r>
  <r>
    <x v="1163"/>
    <n v="37.49"/>
    <n v="7719500"/>
  </r>
  <r>
    <x v="1164"/>
    <n v="41.68"/>
    <n v="4534400"/>
  </r>
  <r>
    <x v="1165"/>
    <n v="40.17"/>
    <n v="9243800"/>
  </r>
  <r>
    <x v="1166"/>
    <n v="40.799999999999997"/>
    <n v="8011400"/>
  </r>
  <r>
    <x v="1167"/>
    <n v="43.92"/>
    <n v="4202500"/>
  </r>
  <r>
    <x v="1168"/>
    <n v="41.95"/>
    <n v="6124000"/>
  </r>
  <r>
    <x v="1169"/>
    <n v="41.68"/>
    <n v="4352400"/>
  </r>
  <r>
    <x v="1170"/>
    <n v="44.59"/>
    <n v="4659200"/>
  </r>
  <r>
    <x v="1171"/>
    <n v="43.33"/>
    <n v="4594500"/>
  </r>
  <r>
    <x v="1172"/>
    <n v="44.29"/>
    <n v="5512700"/>
  </r>
  <r>
    <x v="1173"/>
    <n v="43.71"/>
    <n v="6069200"/>
  </r>
  <r>
    <x v="1174"/>
    <n v="39.909999999999997"/>
    <n v="6076700"/>
  </r>
  <r>
    <x v="1175"/>
    <n v="41.5"/>
    <n v="6756200"/>
  </r>
  <r>
    <x v="1176"/>
    <n v="43.81"/>
    <n v="8036000"/>
  </r>
  <r>
    <x v="1177"/>
    <n v="39.96"/>
    <n v="4574300"/>
  </r>
  <r>
    <x v="1178"/>
    <n v="38.53"/>
    <n v="9628600"/>
  </r>
  <r>
    <x v="1179"/>
    <n v="39.200000000000003"/>
    <n v="12433200"/>
  </r>
  <r>
    <x v="1180"/>
    <n v="46.99"/>
    <n v="6353900"/>
  </r>
  <r>
    <x v="1181"/>
    <n v="47.48"/>
    <n v="4857400"/>
  </r>
  <r>
    <x v="1182"/>
    <n v="49.85"/>
    <n v="5911200"/>
  </r>
  <r>
    <x v="1183"/>
    <n v="46.98"/>
    <n v="5030700"/>
  </r>
  <r>
    <x v="1184"/>
    <n v="45.17"/>
    <n v="3391000"/>
  </r>
  <r>
    <x v="1185"/>
    <n v="46.75"/>
    <n v="6917900"/>
  </r>
  <r>
    <x v="1186"/>
    <n v="43.06"/>
    <n v="2741400"/>
  </r>
  <r>
    <x v="1187"/>
    <n v="42.67"/>
    <n v="3960400"/>
  </r>
  <r>
    <x v="1188"/>
    <n v="40.64"/>
    <n v="4798000"/>
  </r>
  <r>
    <x v="1189"/>
    <n v="42.75"/>
    <n v="4443400"/>
  </r>
  <r>
    <x v="1190"/>
    <n v="44.34"/>
    <n v="7675000"/>
  </r>
  <r>
    <x v="1191"/>
    <n v="40.549999999999997"/>
    <n v="4347800"/>
  </r>
  <r>
    <x v="1192"/>
    <n v="39.200000000000003"/>
    <n v="4704200"/>
  </r>
  <r>
    <x v="1193"/>
    <n v="39.26"/>
    <n v="3555000"/>
  </r>
  <r>
    <x v="1194"/>
    <n v="39.549999999999997"/>
    <n v="2851800"/>
  </r>
  <r>
    <x v="1195"/>
    <n v="41.25"/>
    <n v="2926500"/>
  </r>
  <r>
    <x v="1196"/>
    <n v="40"/>
    <n v="2223900"/>
  </r>
  <r>
    <x v="1197"/>
    <n v="41.5625"/>
    <n v="3912300"/>
  </r>
  <r>
    <x v="1198"/>
    <n v="39.3125"/>
    <n v="3344200"/>
  </r>
  <r>
    <x v="1199"/>
    <n v="39.125"/>
    <n v="3317300"/>
  </r>
  <r>
    <x v="1200"/>
    <n v="40.0625"/>
    <n v="4250800"/>
  </r>
  <r>
    <x v="1201"/>
    <n v="42.4375"/>
    <n v="5302700"/>
  </r>
  <r>
    <x v="1202"/>
    <n v="39.3125"/>
    <n v="3499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4">
  <r>
    <x v="0"/>
    <n v="51.42069"/>
  </r>
  <r>
    <x v="1"/>
    <n v="51.172199999999997"/>
  </r>
  <r>
    <x v="2"/>
    <n v="48.293259999999997"/>
  </r>
  <r>
    <x v="3"/>
    <n v="48.754330000000003"/>
  </r>
  <r>
    <x v="4"/>
    <n v="46.913220000000003"/>
  </r>
  <r>
    <x v="5"/>
    <n v="48.125999999999998"/>
  </r>
  <r>
    <x v="6"/>
    <n v="44.856780000000001"/>
  </r>
  <r>
    <x v="7"/>
    <n v="45.81203"/>
  </r>
  <r>
    <x v="8"/>
    <n v="45.061520000000002"/>
  </r>
  <r>
    <x v="9"/>
    <n v="45.610520000000001"/>
  </r>
  <r>
    <x v="10"/>
    <n v="44.612569999999998"/>
  </r>
  <r>
    <x v="11"/>
    <n v="46.157890000000002"/>
  </r>
  <r>
    <x v="12"/>
    <n v="47.797319999999999"/>
  </r>
  <r>
    <x v="13"/>
    <n v="47.725709999999999"/>
  </r>
  <r>
    <x v="14"/>
    <n v="47.068179999999998"/>
  </r>
  <r>
    <x v="15"/>
    <n v="45.868130000000001"/>
  </r>
  <r>
    <x v="16"/>
    <n v="46.655180000000001"/>
  </r>
  <r>
    <x v="17"/>
    <n v="44.915210000000002"/>
  </r>
  <r>
    <x v="18"/>
    <n v="43.097569999999997"/>
  </r>
  <r>
    <x v="19"/>
    <n v="43.262799999999999"/>
  </r>
  <r>
    <x v="20"/>
    <n v="43.976880000000001"/>
  </r>
  <r>
    <x v="21"/>
    <n v="42.209090000000003"/>
  </r>
  <r>
    <x v="22"/>
    <n v="43.618380000000002"/>
  </r>
  <r>
    <x v="23"/>
    <n v="43.648119999999999"/>
  </r>
  <r>
    <x v="24"/>
    <n v="46.011659999999999"/>
  </r>
  <r>
    <x v="25"/>
    <n v="43.408230000000003"/>
  </r>
  <r>
    <x v="26"/>
    <n v="43.386839999999999"/>
  </r>
  <r>
    <x v="27"/>
    <n v="41.400860000000002"/>
  </r>
  <r>
    <x v="28"/>
    <n v="39.413789999999999"/>
  </r>
  <r>
    <x v="29"/>
    <n v="37.6813"/>
  </r>
  <r>
    <x v="30"/>
    <n v="37.269089999999998"/>
  </r>
  <r>
    <x v="31"/>
    <n v="38.262839999999997"/>
  </r>
  <r>
    <x v="32"/>
    <n v="40.169710000000002"/>
  </r>
  <r>
    <x v="33"/>
    <n v="40.99877"/>
  </r>
  <r>
    <x v="34"/>
    <n v="39.828960000000002"/>
  </r>
  <r>
    <x v="35"/>
    <n v="39.885379999999998"/>
  </r>
  <r>
    <x v="36"/>
    <n v="40.881929999999997"/>
  </r>
  <r>
    <x v="37"/>
    <n v="35.256419999999999"/>
  </r>
  <r>
    <x v="38"/>
    <n v="35.591560000000001"/>
  </r>
  <r>
    <x v="39"/>
    <n v="33.708410000000001"/>
  </r>
  <r>
    <x v="40"/>
    <n v="32.12771"/>
  </r>
  <r>
    <x v="41"/>
    <n v="30.029720000000001"/>
  </r>
  <r>
    <x v="42"/>
    <n v="30.158100000000001"/>
  </r>
  <r>
    <x v="43"/>
    <n v="29.252040000000001"/>
  </r>
  <r>
    <x v="44"/>
    <n v="33.623519999999999"/>
  </r>
  <r>
    <x v="45"/>
    <n v="36.480939999999997"/>
  </r>
  <r>
    <x v="46"/>
    <n v="35.353619999999999"/>
  </r>
  <r>
    <x v="47"/>
    <n v="36.65654"/>
  </r>
  <r>
    <x v="48"/>
    <n v="39.617109999999997"/>
  </r>
  <r>
    <x v="49"/>
    <n v="41.381869999999999"/>
  </r>
  <r>
    <x v="50"/>
    <n v="42.850059999999999"/>
  </r>
  <r>
    <x v="51"/>
    <n v="39.666330000000002"/>
  </r>
  <r>
    <x v="52"/>
    <n v="38.687190000000001"/>
  </r>
  <r>
    <x v="53"/>
    <n v="36.478099999999998"/>
  </r>
  <r>
    <x v="54"/>
    <n v="36.982460000000003"/>
  </r>
  <r>
    <x v="55"/>
    <n v="37.608429999999998"/>
  </r>
  <r>
    <x v="56"/>
    <n v="37.985019999999999"/>
  </r>
  <r>
    <x v="57"/>
    <n v="36.90493"/>
  </r>
  <r>
    <x v="58"/>
    <n v="36.783209999999997"/>
  </r>
  <r>
    <x v="59"/>
    <n v="40.528799999999997"/>
  </r>
  <r>
    <x v="60"/>
    <n v="40.922910000000002"/>
  </r>
  <r>
    <x v="61"/>
    <n v="39.55348"/>
  </r>
  <r>
    <x v="62"/>
    <n v="40.376510000000003"/>
  </r>
  <r>
    <x v="63"/>
    <n v="41.261380000000003"/>
  </r>
  <r>
    <x v="64"/>
    <n v="42.828940000000003"/>
  </r>
  <r>
    <x v="65"/>
    <n v="44.996940000000002"/>
  </r>
  <r>
    <x v="66"/>
    <n v="44.334780000000002"/>
  </r>
  <r>
    <x v="67"/>
    <n v="44.178370000000001"/>
  </r>
  <r>
    <x v="68"/>
    <n v="47.157359999999997"/>
  </r>
  <r>
    <x v="69"/>
    <n v="49.030850000000001"/>
  </r>
  <r>
    <x v="70"/>
    <n v="51.590240000000001"/>
  </r>
  <r>
    <x v="71"/>
    <n v="46.889679999999998"/>
  </r>
  <r>
    <x v="72"/>
    <n v="44.862160000000003"/>
  </r>
  <r>
    <x v="73"/>
    <n v="51.742319999999999"/>
  </r>
  <r>
    <x v="74"/>
    <n v="55.602339999999998"/>
  </r>
  <r>
    <x v="75"/>
    <n v="59.298589999999997"/>
  </r>
  <r>
    <x v="76"/>
    <n v="60.167859999999997"/>
  </r>
  <r>
    <x v="77"/>
    <n v="58.754620000000003"/>
  </r>
  <r>
    <x v="78"/>
    <n v="59.033239999999999"/>
  </r>
  <r>
    <x v="79"/>
    <n v="61.821640000000002"/>
  </r>
  <r>
    <x v="80"/>
    <n v="63.349350000000001"/>
  </r>
  <r>
    <x v="81"/>
    <n v="63.975009999999997"/>
  </r>
  <r>
    <x v="82"/>
    <n v="62.308149999999998"/>
  </r>
  <r>
    <x v="83"/>
    <n v="60.295070000000003"/>
  </r>
  <r>
    <x v="84"/>
    <n v="60.681159999999998"/>
  </r>
  <r>
    <x v="85"/>
    <n v="58.681469999999997"/>
  </r>
  <r>
    <x v="86"/>
    <n v="60.985080000000004"/>
  </r>
  <r>
    <x v="87"/>
    <n v="64.251729999999995"/>
  </r>
  <r>
    <x v="88"/>
    <n v="64.240340000000003"/>
  </r>
  <r>
    <x v="89"/>
    <n v="64.892560000000003"/>
  </r>
  <r>
    <x v="90"/>
    <n v="61.906739999999999"/>
  </r>
  <r>
    <x v="91"/>
    <n v="62.498739999999998"/>
  </r>
  <r>
    <x v="92"/>
    <n v="61.325960000000002"/>
  </r>
  <r>
    <x v="93"/>
    <n v="61.323889999999999"/>
  </r>
  <r>
    <x v="94"/>
    <n v="63.261629999999997"/>
  </r>
  <r>
    <x v="95"/>
    <n v="67.156109999999998"/>
  </r>
  <r>
    <x v="96"/>
    <n v="69.24203"/>
  </r>
  <r>
    <x v="97"/>
    <n v="68.573840000000004"/>
  </r>
  <r>
    <x v="98"/>
    <n v="70.293679999999995"/>
  </r>
  <r>
    <x v="99"/>
    <n v="69.791110000000003"/>
  </r>
  <r>
    <x v="100"/>
    <n v="69.457300000000004"/>
  </r>
  <r>
    <x v="101"/>
    <n v="68.487200000000001"/>
  </r>
  <r>
    <x v="102"/>
    <n v="67.749830000000003"/>
  </r>
  <r>
    <x v="103"/>
    <n v="67.774190000000004"/>
  </r>
  <r>
    <x v="104"/>
    <n v="69.478269999999995"/>
  </r>
  <r>
    <x v="105"/>
    <n v="68.503799999999998"/>
  </r>
  <r>
    <x v="106"/>
    <n v="69.059889999999996"/>
  </r>
  <r>
    <x v="107"/>
    <n v="69.014989999999997"/>
  </r>
  <r>
    <x v="108"/>
    <n v="69.007800000000003"/>
  </r>
  <r>
    <x v="109"/>
    <n v="67.046250000000001"/>
  </r>
  <r>
    <x v="110"/>
    <n v="68.916610000000006"/>
  </r>
  <r>
    <x v="111"/>
    <n v="68.867739999999998"/>
  </r>
  <r>
    <x v="112"/>
    <n v="67.849760000000003"/>
  </r>
  <r>
    <x v="113"/>
    <n v="63.143320000000003"/>
  </r>
  <r>
    <x v="114"/>
    <n v="61.813740000000003"/>
  </r>
  <r>
    <x v="115"/>
    <n v="61.751379999999997"/>
  </r>
  <r>
    <x v="116"/>
    <n v="58.980409999999999"/>
  </r>
  <r>
    <x v="117"/>
    <n v="58.766680000000001"/>
  </r>
  <r>
    <x v="118"/>
    <n v="58.22766"/>
  </r>
  <r>
    <x v="119"/>
    <n v="57.310400000000001"/>
  </r>
  <r>
    <x v="120"/>
    <n v="54.885730000000002"/>
  </r>
  <r>
    <x v="121"/>
    <n v="53.844929999999998"/>
  </r>
  <r>
    <x v="122"/>
    <n v="53.62623"/>
  </r>
  <r>
    <x v="123"/>
    <n v="53.742100000000001"/>
  </r>
  <r>
    <x v="124"/>
    <n v="48.910670000000003"/>
  </r>
  <r>
    <x v="125"/>
    <n v="49.781680000000001"/>
  </r>
  <r>
    <x v="126"/>
    <n v="51.272959999999998"/>
  </r>
  <r>
    <x v="127"/>
    <n v="51.922809999999998"/>
  </r>
  <r>
    <x v="128"/>
    <n v="50.716090000000001"/>
  </r>
  <r>
    <x v="129"/>
    <n v="49.668410000000002"/>
  </r>
  <r>
    <x v="130"/>
    <n v="52.06259"/>
  </r>
  <r>
    <x v="131"/>
    <n v="51.447879999999998"/>
  </r>
  <r>
    <x v="132"/>
    <n v="50.6036"/>
  </r>
  <r>
    <x v="133"/>
    <n v="49.770449999999997"/>
  </r>
  <r>
    <x v="134"/>
    <n v="49.003929999999997"/>
  </r>
  <r>
    <x v="135"/>
    <n v="50.48986"/>
  </r>
  <r>
    <x v="136"/>
    <n v="47.219949999999997"/>
  </r>
  <r>
    <x v="137"/>
    <n v="48.150959999999998"/>
  </r>
  <r>
    <x v="138"/>
    <n v="48.617159999999998"/>
  </r>
  <r>
    <x v="139"/>
    <n v="47.214480000000002"/>
  </r>
  <r>
    <x v="140"/>
    <n v="46.050440000000002"/>
  </r>
  <r>
    <x v="141"/>
    <n v="49.22298"/>
  </r>
  <r>
    <x v="142"/>
    <n v="44.545949999999998"/>
  </r>
  <r>
    <x v="143"/>
    <n v="48.058889999999998"/>
  </r>
  <r>
    <x v="144"/>
    <n v="48.09478"/>
  </r>
  <r>
    <x v="145"/>
    <n v="48.722580000000001"/>
  </r>
  <r>
    <x v="146"/>
    <n v="45.875970000000002"/>
  </r>
  <r>
    <x v="147"/>
    <n v="44.280009999999997"/>
  </r>
  <r>
    <x v="148"/>
    <n v="46.609650000000002"/>
  </r>
  <r>
    <x v="149"/>
    <n v="45.513269999999999"/>
  </r>
  <r>
    <x v="150"/>
    <n v="44.925660000000001"/>
  </r>
  <r>
    <x v="151"/>
    <n v="45.606200000000001"/>
  </r>
  <r>
    <x v="152"/>
    <n v="44.808039999999998"/>
  </r>
  <r>
    <x v="153"/>
    <n v="44.383220000000001"/>
  </r>
  <r>
    <x v="154"/>
    <n v="42.827390000000001"/>
  </r>
  <r>
    <x v="155"/>
    <n v="40.266260000000003"/>
  </r>
  <r>
    <x v="156"/>
    <n v="40.268740000000001"/>
  </r>
  <r>
    <x v="157"/>
    <n v="40.22833"/>
  </r>
  <r>
    <x v="158"/>
    <n v="38.612099999999998"/>
  </r>
  <r>
    <x v="159"/>
    <n v="37.255989999999997"/>
  </r>
  <r>
    <x v="160"/>
    <n v="35.149900000000002"/>
  </r>
  <r>
    <x v="161"/>
    <n v="34.720689999999998"/>
  </r>
  <r>
    <x v="162"/>
    <n v="34.213619999999999"/>
  </r>
  <r>
    <x v="163"/>
    <n v="35.476320000000001"/>
  </r>
  <r>
    <x v="164"/>
    <n v="31.362950000000001"/>
  </r>
  <r>
    <x v="165"/>
    <n v="30.116209999999999"/>
  </r>
  <r>
    <x v="166"/>
    <n v="29.265360000000001"/>
  </r>
  <r>
    <x v="167"/>
    <n v="29.178429999999999"/>
  </r>
  <r>
    <x v="168"/>
    <n v="29.683019999999999"/>
  </r>
  <r>
    <x v="169"/>
    <n v="28.27535"/>
  </r>
  <r>
    <x v="170"/>
    <n v="28.591080000000002"/>
  </r>
  <r>
    <x v="171"/>
    <n v="28.225819999999999"/>
  </r>
  <r>
    <x v="172"/>
    <n v="26.27713"/>
  </r>
  <r>
    <x v="173"/>
    <n v="24.9816"/>
  </r>
  <r>
    <x v="174"/>
    <n v="21.696680000000001"/>
  </r>
  <r>
    <x v="175"/>
    <n v="25.425350000000002"/>
  </r>
  <r>
    <x v="176"/>
    <n v="28.06466"/>
  </r>
  <r>
    <x v="177"/>
    <n v="29.680700000000002"/>
  </r>
  <r>
    <x v="178"/>
    <n v="34.436149999999998"/>
  </r>
  <r>
    <x v="179"/>
    <n v="36.036709999999999"/>
  </r>
  <r>
    <x v="180"/>
    <n v="35.685119999999998"/>
  </r>
  <r>
    <x v="181"/>
    <n v="34.872660000000003"/>
  </r>
  <r>
    <x v="182"/>
    <n v="36.515909999999998"/>
  </r>
  <r>
    <x v="183"/>
    <n v="37.792580000000001"/>
  </r>
  <r>
    <x v="184"/>
    <n v="37.842610000000001"/>
  </r>
  <r>
    <x v="185"/>
    <n v="37.62171"/>
  </r>
  <r>
    <x v="186"/>
    <n v="38.41704"/>
  </r>
  <r>
    <x v="187"/>
    <n v="38.099499999999999"/>
  </r>
  <r>
    <x v="188"/>
    <n v="38.466920000000002"/>
  </r>
  <r>
    <x v="189"/>
    <n v="37.636749999999999"/>
  </r>
  <r>
    <x v="190"/>
    <n v="37.184510000000003"/>
  </r>
  <r>
    <x v="191"/>
    <n v="37.4375"/>
  </r>
  <r>
    <x v="192"/>
    <n v="37.859949999999998"/>
  </r>
  <r>
    <x v="193"/>
    <n v="36.178660000000001"/>
  </r>
  <r>
    <x v="194"/>
    <n v="35.818860000000001"/>
  </r>
  <r>
    <x v="195"/>
    <n v="35.425730000000001"/>
  </r>
  <r>
    <x v="196"/>
    <n v="34.316429999999997"/>
  </r>
  <r>
    <x v="197"/>
    <n v="32.628079999999997"/>
  </r>
  <r>
    <x v="198"/>
    <n v="31.798680000000001"/>
  </r>
  <r>
    <x v="199"/>
    <n v="32.881250000000001"/>
  </r>
  <r>
    <x v="200"/>
    <n v="33.147579999999998"/>
  </r>
  <r>
    <x v="201"/>
    <n v="34.435279999999999"/>
  </r>
  <r>
    <x v="202"/>
    <n v="33.48019"/>
  </r>
  <r>
    <x v="203"/>
    <n v="32.760719999999999"/>
  </r>
  <r>
    <x v="204"/>
    <n v="31.96893"/>
  </r>
  <r>
    <x v="205"/>
    <n v="31.731529999999999"/>
  </r>
  <r>
    <x v="206"/>
    <n v="32.29889"/>
  </r>
  <r>
    <x v="207"/>
    <n v="31.58043"/>
  </r>
  <r>
    <x v="208"/>
    <n v="33.699660000000002"/>
  </r>
  <r>
    <x v="209"/>
    <n v="32.985190000000003"/>
  </r>
  <r>
    <x v="210"/>
    <n v="33.054679999999998"/>
  </r>
  <r>
    <x v="211"/>
    <n v="33.15775"/>
  </r>
  <r>
    <x v="212"/>
    <n v="32.725279999999998"/>
  </r>
  <r>
    <x v="213"/>
    <n v="32.146059999999999"/>
  </r>
  <r>
    <x v="214"/>
    <n v="30.723870000000002"/>
  </r>
  <r>
    <x v="215"/>
    <n v="30.969539999999999"/>
  </r>
  <r>
    <x v="216"/>
    <n v="29.289090000000002"/>
  </r>
  <r>
    <x v="217"/>
    <n v="30.14705"/>
  </r>
  <r>
    <x v="218"/>
    <n v="31.16431"/>
  </r>
  <r>
    <x v="219"/>
    <n v="32.660339999999998"/>
  </r>
  <r>
    <x v="220"/>
    <n v="34.662820000000004"/>
  </r>
  <r>
    <x v="221"/>
    <n v="34.560650000000003"/>
  </r>
  <r>
    <x v="222"/>
    <n v="35.110599999999998"/>
  </r>
  <r>
    <x v="223"/>
    <n v="34.11168"/>
  </r>
  <r>
    <x v="224"/>
    <n v="33.549669999999999"/>
  </r>
  <r>
    <x v="225"/>
    <n v="32.552120000000002"/>
  </r>
  <r>
    <x v="226"/>
    <n v="32.083480000000002"/>
  </r>
  <r>
    <x v="227"/>
    <n v="33.224200000000003"/>
  </r>
  <r>
    <x v="228"/>
    <n v="31.078600000000002"/>
  </r>
  <r>
    <x v="229"/>
    <n v="31.16283"/>
  </r>
  <r>
    <x v="230"/>
    <n v="30.429970000000001"/>
  </r>
  <r>
    <x v="231"/>
    <n v="30.08764"/>
  </r>
  <r>
    <x v="232"/>
    <n v="28.698889999999999"/>
  </r>
  <r>
    <x v="233"/>
    <n v="29.590019999999999"/>
  </r>
  <r>
    <x v="234"/>
    <n v="29.917940000000002"/>
  </r>
  <r>
    <x v="235"/>
    <n v="29.45129"/>
  </r>
  <r>
    <x v="236"/>
    <n v="28.7075"/>
  </r>
  <r>
    <x v="237"/>
    <n v="27.978919999999999"/>
  </r>
  <r>
    <x v="238"/>
    <n v="27.355429999999998"/>
  </r>
  <r>
    <x v="239"/>
    <n v="27.178380000000001"/>
  </r>
  <r>
    <x v="240"/>
    <n v="28.162089999999999"/>
  </r>
  <r>
    <x v="241"/>
    <n v="29.626999999999999"/>
  </r>
  <r>
    <x v="242"/>
    <n v="31.95356"/>
  </r>
  <r>
    <x v="243"/>
    <n v="31.4773"/>
  </r>
  <r>
    <x v="244"/>
    <n v="32.478549999999998"/>
  </r>
  <r>
    <x v="245"/>
    <n v="32.45485"/>
  </r>
  <r>
    <x v="246"/>
    <n v="31.986229999999999"/>
  </r>
  <r>
    <x v="247"/>
    <n v="32.284869999999998"/>
  </r>
  <r>
    <x v="248"/>
    <n v="33.212159999999997"/>
  </r>
  <r>
    <x v="249"/>
    <n v="32.723289999999999"/>
  </r>
  <r>
    <x v="250"/>
    <n v="34.113019999999999"/>
  </r>
  <r>
    <x v="251"/>
    <n v="35.53884"/>
  </r>
  <r>
    <x v="252"/>
    <n v="37.1282"/>
  </r>
  <r>
    <x v="253"/>
    <n v="36.205820000000003"/>
  </r>
  <r>
    <x v="254"/>
    <n v="35.284170000000003"/>
  </r>
  <r>
    <x v="255"/>
    <n v="36.30395"/>
  </r>
  <r>
    <x v="256"/>
    <n v="36.638849999999998"/>
  </r>
  <r>
    <x v="257"/>
    <n v="35.16254"/>
  </r>
  <r>
    <x v="258"/>
    <n v="34.867319999999999"/>
  </r>
  <r>
    <x v="259"/>
    <n v="34.24004"/>
  </r>
  <r>
    <x v="260"/>
    <n v="34.71752"/>
  </r>
  <r>
    <x v="261"/>
    <n v="33.850720000000003"/>
  </r>
  <r>
    <x v="262"/>
    <n v="32.81561"/>
  </r>
  <r>
    <x v="263"/>
    <n v="32.418959999999998"/>
  </r>
  <r>
    <x v="264"/>
    <n v="32.637210000000003"/>
  </r>
  <r>
    <x v="265"/>
    <n v="34.093699999999998"/>
  </r>
  <r>
    <x v="266"/>
    <n v="35.314019999999999"/>
  </r>
  <r>
    <x v="267"/>
    <n v="36.849490000000003"/>
  </r>
  <r>
    <x v="268"/>
    <n v="38.517829999999996"/>
  </r>
  <r>
    <x v="269"/>
    <n v="38.959400000000002"/>
  </r>
  <r>
    <x v="270"/>
    <n v="40.077379999999998"/>
  </r>
  <r>
    <x v="271"/>
    <n v="41.159439999999996"/>
  </r>
  <r>
    <x v="272"/>
    <n v="43.700839999999999"/>
  </r>
  <r>
    <x v="273"/>
    <n v="43.611710000000002"/>
  </r>
  <r>
    <x v="274"/>
    <n v="46.212130000000002"/>
  </r>
  <r>
    <x v="275"/>
    <n v="44.924880000000002"/>
  </r>
  <r>
    <x v="276"/>
    <n v="43.99718"/>
  </r>
  <r>
    <x v="277"/>
    <n v="43.817419999999998"/>
  </r>
  <r>
    <x v="278"/>
    <n v="42.945590000000003"/>
  </r>
  <r>
    <x v="279"/>
    <n v="45.370989999999999"/>
  </r>
  <r>
    <x v="280"/>
    <n v="45.909190000000002"/>
  </r>
  <r>
    <x v="281"/>
    <n v="44.75412"/>
  </r>
  <r>
    <x v="282"/>
    <n v="46.135190000000001"/>
  </r>
  <r>
    <x v="283"/>
    <n v="46.330280000000002"/>
  </r>
  <r>
    <x v="284"/>
    <n v="44.15361"/>
  </r>
  <r>
    <x v="285"/>
    <n v="46.297400000000003"/>
  </r>
  <r>
    <x v="286"/>
    <n v="48.549419999999998"/>
  </r>
  <r>
    <x v="287"/>
    <n v="50.008499999999998"/>
  </r>
  <r>
    <x v="288"/>
    <n v="48.976860000000002"/>
  </r>
  <r>
    <x v="289"/>
    <n v="49.05538"/>
  </r>
  <r>
    <x v="290"/>
    <n v="47.78745"/>
  </r>
  <r>
    <x v="291"/>
    <n v="47.935899999999997"/>
  </r>
  <r>
    <x v="292"/>
    <n v="47.495310000000003"/>
  </r>
  <r>
    <x v="293"/>
    <n v="47.524810000000002"/>
  </r>
  <r>
    <x v="294"/>
    <n v="46.837009999999999"/>
  </r>
  <r>
    <x v="295"/>
    <n v="47.296909999999997"/>
  </r>
  <r>
    <x v="296"/>
    <n v="46.045499999999997"/>
  </r>
  <r>
    <x v="297"/>
    <n v="45.797719999999998"/>
  </r>
  <r>
    <x v="298"/>
    <n v="46.622010000000003"/>
  </r>
  <r>
    <x v="299"/>
    <n v="45.358620000000002"/>
  </r>
  <r>
    <x v="300"/>
    <n v="45.067909999999998"/>
  </r>
  <r>
    <x v="301"/>
    <n v="45.302140000000001"/>
  </r>
  <r>
    <x v="302"/>
    <n v="43.609760000000001"/>
  </r>
  <r>
    <x v="303"/>
    <n v="44.543340000000001"/>
  </r>
  <r>
    <x v="304"/>
    <n v="44.551270000000002"/>
  </r>
  <r>
    <x v="305"/>
    <n v="43.20626"/>
  </r>
  <r>
    <x v="306"/>
    <n v="42.21848"/>
  </r>
  <r>
    <x v="307"/>
    <n v="41.650039999999997"/>
  </r>
  <r>
    <x v="308"/>
    <n v="41.176569999999998"/>
  </r>
  <r>
    <x v="309"/>
    <n v="41.043959999999998"/>
  </r>
  <r>
    <x v="310"/>
    <n v="40.429000000000002"/>
  </r>
  <r>
    <x v="311"/>
    <n v="40.04"/>
  </r>
  <r>
    <x v="312"/>
    <n v="38.428289999999997"/>
  </r>
  <r>
    <x v="313"/>
    <n v="38.497799999999998"/>
  </r>
  <r>
    <x v="314"/>
    <n v="39.130189999999999"/>
  </r>
  <r>
    <x v="315"/>
    <n v="37.514069999999997"/>
  </r>
  <r>
    <x v="316"/>
    <n v="37.554479999999998"/>
  </r>
  <r>
    <x v="317"/>
    <n v="36.330910000000003"/>
  </r>
  <r>
    <x v="318"/>
    <n v="36.252360000000003"/>
  </r>
  <r>
    <x v="319"/>
    <n v="35.661149999999999"/>
  </r>
  <r>
    <x v="320"/>
    <n v="36.79204"/>
  </r>
  <r>
    <x v="321"/>
    <n v="35.233260000000001"/>
  </r>
  <r>
    <x v="322"/>
    <n v="35.257249999999999"/>
  </r>
  <r>
    <x v="323"/>
    <n v="34.999760000000002"/>
  </r>
  <r>
    <x v="324"/>
    <n v="36.474710000000002"/>
  </r>
  <r>
    <x v="325"/>
    <n v="35.865380000000002"/>
  </r>
  <r>
    <x v="326"/>
    <n v="32.891669999999998"/>
  </r>
  <r>
    <x v="327"/>
    <n v="33.040790000000001"/>
  </r>
  <r>
    <x v="328"/>
    <n v="33.397449999999999"/>
  </r>
  <r>
    <x v="329"/>
    <n v="34.290300000000002"/>
  </r>
  <r>
    <x v="330"/>
    <n v="33.898629999999997"/>
  </r>
  <r>
    <x v="331"/>
    <n v="34.284039999999997"/>
  </r>
  <r>
    <x v="332"/>
    <n v="33.180590000000002"/>
  </r>
  <r>
    <x v="333"/>
    <n v="34.183909999999997"/>
  </r>
  <r>
    <x v="334"/>
    <n v="34.100879999999997"/>
  </r>
  <r>
    <x v="335"/>
    <n v="33.894750000000002"/>
  </r>
  <r>
    <x v="336"/>
    <n v="33.378"/>
  </r>
  <r>
    <x v="337"/>
    <n v="33.78304"/>
  </r>
  <r>
    <x v="338"/>
    <n v="34.014670000000002"/>
  </r>
  <r>
    <x v="339"/>
    <n v="33.62518"/>
  </r>
  <r>
    <x v="340"/>
    <n v="33.677810000000001"/>
  </r>
  <r>
    <x v="341"/>
    <n v="33.61336"/>
  </r>
  <r>
    <x v="342"/>
    <n v="32.943550000000002"/>
  </r>
  <r>
    <x v="343"/>
    <n v="32.572679999999998"/>
  </r>
  <r>
    <x v="344"/>
    <n v="32.443190000000001"/>
  </r>
  <r>
    <x v="345"/>
    <n v="31.78126"/>
  </r>
  <r>
    <x v="346"/>
    <n v="30.862490000000001"/>
  </r>
  <r>
    <x v="347"/>
    <n v="31.236640000000001"/>
  </r>
  <r>
    <x v="348"/>
    <n v="30.757619999999999"/>
  </r>
  <r>
    <x v="349"/>
    <n v="31.113900000000001"/>
  </r>
  <r>
    <x v="350"/>
    <n v="30.798549999999999"/>
  </r>
  <r>
    <x v="351"/>
    <n v="30.796099999999999"/>
  </r>
  <r>
    <x v="352"/>
    <n v="30.362380000000002"/>
  </r>
  <r>
    <x v="353"/>
    <n v="30.326409999999999"/>
  </r>
  <r>
    <x v="354"/>
    <n v="30.294319999999999"/>
  </r>
  <r>
    <x v="355"/>
    <n v="31.11279"/>
  </r>
  <r>
    <x v="356"/>
    <n v="31.5563"/>
  </r>
  <r>
    <x v="357"/>
    <n v="30.357780000000002"/>
  </r>
  <r>
    <x v="358"/>
    <n v="31.186669999999999"/>
  </r>
  <r>
    <x v="359"/>
    <n v="32.093629999999997"/>
  </r>
  <r>
    <x v="360"/>
    <n v="31.79393"/>
  </r>
  <r>
    <x v="361"/>
    <n v="31.70166"/>
  </r>
  <r>
    <x v="362"/>
    <n v="31.685849999999999"/>
  </r>
  <r>
    <x v="363"/>
    <n v="30.53192"/>
  </r>
  <r>
    <x v="364"/>
    <n v="29.63522"/>
  </r>
  <r>
    <x v="365"/>
    <n v="28.25977"/>
  </r>
  <r>
    <x v="366"/>
    <n v="28.508990000000001"/>
  </r>
  <r>
    <x v="367"/>
    <n v="27.375499999999999"/>
  </r>
  <r>
    <x v="368"/>
    <n v="28.177720000000001"/>
  </r>
  <r>
    <x v="369"/>
    <n v="27.364519999999999"/>
  </r>
  <r>
    <x v="370"/>
    <n v="28.632829999999998"/>
  </r>
  <r>
    <x v="371"/>
    <n v="28.9495"/>
  </r>
  <r>
    <x v="372"/>
    <n v="29.513290000000001"/>
  </r>
  <r>
    <x v="373"/>
    <n v="29.576530000000002"/>
  </r>
  <r>
    <x v="374"/>
    <n v="28.893660000000001"/>
  </r>
  <r>
    <x v="375"/>
    <n v="30.07479"/>
  </r>
  <r>
    <x v="376"/>
    <n v="29.120039999999999"/>
  </r>
  <r>
    <x v="377"/>
    <n v="29.297840000000001"/>
  </r>
  <r>
    <x v="378"/>
    <n v="29.333559999999999"/>
  </r>
  <r>
    <x v="379"/>
    <n v="28.474350000000001"/>
  </r>
  <r>
    <x v="380"/>
    <n v="27.3095"/>
  </r>
  <r>
    <x v="381"/>
    <n v="27.381810000000002"/>
  </r>
  <r>
    <x v="382"/>
    <n v="27.271470000000001"/>
  </r>
  <r>
    <x v="383"/>
    <n v="27.41065"/>
  </r>
  <r>
    <x v="384"/>
    <n v="26.25788"/>
  </r>
  <r>
    <x v="385"/>
    <n v="24.88627"/>
  </r>
  <r>
    <x v="386"/>
    <n v="24.061219999999999"/>
  </r>
  <r>
    <x v="387"/>
    <n v="23.410959999999999"/>
  </r>
  <r>
    <x v="388"/>
    <n v="22.390789999999999"/>
  </r>
  <r>
    <x v="389"/>
    <n v="23.199200000000001"/>
  </r>
  <r>
    <x v="390"/>
    <n v="24.308920000000001"/>
  </r>
  <r>
    <x v="391"/>
    <n v="25.477589999999999"/>
  </r>
  <r>
    <x v="392"/>
    <n v="24.763500000000001"/>
  </r>
  <r>
    <x v="393"/>
    <n v="26.152979999999999"/>
  </r>
  <r>
    <x v="394"/>
    <n v="28.319500000000001"/>
  </r>
  <r>
    <x v="395"/>
    <n v="28.39658"/>
  </r>
  <r>
    <x v="396"/>
    <n v="27.735130000000002"/>
  </r>
  <r>
    <x v="397"/>
    <n v="26.82536"/>
  </r>
  <r>
    <x v="398"/>
    <n v="28.21266"/>
  </r>
  <r>
    <x v="399"/>
    <n v="29.214659999999999"/>
  </r>
  <r>
    <x v="400"/>
    <n v="28.721990000000002"/>
  </r>
  <r>
    <x v="401"/>
    <n v="27.471430000000002"/>
  </r>
  <r>
    <x v="402"/>
    <n v="29.591170000000002"/>
  </r>
  <r>
    <x v="403"/>
    <n v="29.746400000000001"/>
  </r>
  <r>
    <x v="404"/>
    <n v="30.324839999999998"/>
  </r>
  <r>
    <x v="405"/>
    <n v="29.450610000000001"/>
  </r>
  <r>
    <x v="406"/>
    <n v="30.001090000000001"/>
  </r>
  <r>
    <x v="407"/>
    <n v="28.05104"/>
  </r>
  <r>
    <x v="408"/>
    <n v="26.649529999999999"/>
  </r>
  <r>
    <x v="409"/>
    <n v="27.053460000000001"/>
  </r>
  <r>
    <x v="410"/>
    <n v="27.188289999999999"/>
  </r>
  <r>
    <x v="411"/>
    <n v="26.884899999999998"/>
  </r>
  <r>
    <x v="412"/>
    <n v="27.665859999999999"/>
  </r>
  <r>
    <x v="413"/>
    <n v="27.533529999999999"/>
  </r>
  <r>
    <x v="414"/>
    <n v="29.254359999999998"/>
  </r>
  <r>
    <x v="415"/>
    <n v="29.5093"/>
  </r>
  <r>
    <x v="416"/>
    <n v="30.22964"/>
  </r>
  <r>
    <x v="417"/>
    <n v="30.504570000000001"/>
  </r>
  <r>
    <x v="418"/>
    <n v="31.108560000000001"/>
  </r>
  <r>
    <x v="419"/>
    <n v="31.397130000000001"/>
  </r>
  <r>
    <x v="420"/>
    <n v="28.918959999999998"/>
  </r>
  <r>
    <x v="421"/>
    <n v="30.31643"/>
  </r>
  <r>
    <x v="422"/>
    <n v="29.67407"/>
  </r>
  <r>
    <x v="423"/>
    <n v="29.714880000000001"/>
  </r>
  <r>
    <x v="424"/>
    <n v="29.491689999999998"/>
  </r>
  <r>
    <x v="425"/>
    <n v="30.116499999999998"/>
  </r>
  <r>
    <x v="426"/>
    <n v="32.003300000000003"/>
  </r>
  <r>
    <x v="427"/>
    <n v="32.272539999999999"/>
  </r>
  <r>
    <x v="428"/>
    <n v="33.449800000000003"/>
  </r>
  <r>
    <x v="429"/>
    <n v="32.946730000000002"/>
  </r>
  <r>
    <x v="430"/>
    <n v="32.566600000000001"/>
  </r>
  <r>
    <x v="431"/>
    <n v="31.790500000000002"/>
  </r>
  <r>
    <x v="432"/>
    <n v="32.87227"/>
  </r>
  <r>
    <x v="433"/>
    <n v="31.682559999999999"/>
  </r>
  <r>
    <x v="434"/>
    <n v="31.754259999999999"/>
  </r>
  <r>
    <x v="435"/>
    <n v="31.898859999999999"/>
  </r>
  <r>
    <x v="436"/>
    <n v="30.5611"/>
  </r>
  <r>
    <x v="437"/>
    <n v="32.858939999999997"/>
  </r>
  <r>
    <x v="438"/>
    <n v="33.938760000000002"/>
  </r>
  <r>
    <x v="439"/>
    <n v="33.805309999999999"/>
  </r>
  <r>
    <x v="440"/>
    <n v="32.99194"/>
  </r>
  <r>
    <x v="441"/>
    <n v="32.55415"/>
  </r>
  <r>
    <x v="442"/>
    <n v="32.40446"/>
  </r>
  <r>
    <x v="443"/>
    <n v="31.317039999999999"/>
  </r>
  <r>
    <x v="444"/>
    <n v="31.89789"/>
  </r>
  <r>
    <x v="445"/>
    <n v="31.416930000000001"/>
  </r>
  <r>
    <x v="446"/>
    <n v="32.49906"/>
  </r>
  <r>
    <x v="447"/>
    <n v="33.212479999999999"/>
  </r>
  <r>
    <x v="448"/>
    <n v="32.828899999999997"/>
  </r>
  <r>
    <x v="449"/>
    <n v="32.617280000000001"/>
  </r>
  <r>
    <x v="450"/>
    <n v="33.105049999999999"/>
  </r>
  <r>
    <x v="451"/>
    <n v="33.115650000000002"/>
  </r>
  <r>
    <x v="452"/>
    <n v="31.323060000000002"/>
  </r>
  <r>
    <x v="453"/>
    <n v="30.390250000000002"/>
  </r>
  <r>
    <x v="454"/>
    <n v="30.958169999999999"/>
  </r>
  <r>
    <x v="455"/>
    <n v="31.519220000000001"/>
  </r>
  <r>
    <x v="456"/>
    <n v="30.320699999999999"/>
  </r>
  <r>
    <x v="457"/>
    <n v="29.501010000000001"/>
  </r>
  <r>
    <x v="458"/>
    <n v="29.093710000000002"/>
  </r>
  <r>
    <x v="459"/>
    <n v="30.975930000000002"/>
  </r>
  <r>
    <x v="460"/>
    <n v="32.268129999999999"/>
  </r>
  <r>
    <x v="461"/>
    <n v="33.539050000000003"/>
  </r>
  <r>
    <x v="462"/>
    <n v="32.843679999999999"/>
  </r>
  <r>
    <x v="463"/>
    <n v="33.3294"/>
  </r>
  <r>
    <x v="464"/>
    <n v="32.70476"/>
  </r>
  <r>
    <x v="465"/>
    <n v="32.451239999999999"/>
  </r>
  <r>
    <x v="466"/>
    <n v="31.631119999999999"/>
  </r>
  <r>
    <x v="467"/>
    <n v="31.54102"/>
  </r>
  <r>
    <x v="468"/>
    <n v="31.495699999999999"/>
  </r>
  <r>
    <x v="469"/>
    <n v="33.38449"/>
  </r>
  <r>
    <x v="470"/>
    <n v="34.48021"/>
  </r>
  <r>
    <x v="471"/>
    <n v="35.197760000000002"/>
  </r>
  <r>
    <x v="472"/>
    <n v="36.60595"/>
  </r>
  <r>
    <x v="473"/>
    <n v="36.148650000000004"/>
  </r>
  <r>
    <x v="474"/>
    <n v="35.77346"/>
  </r>
  <r>
    <x v="475"/>
    <n v="35.715069999999997"/>
  </r>
  <r>
    <x v="476"/>
    <n v="37.364040000000003"/>
  </r>
  <r>
    <x v="477"/>
    <n v="37.028489999999998"/>
  </r>
  <r>
    <x v="478"/>
    <n v="36.938690000000001"/>
  </r>
  <r>
    <x v="479"/>
    <n v="36.522680000000001"/>
  </r>
  <r>
    <x v="480"/>
    <n v="37.579979999999999"/>
  </r>
  <r>
    <x v="481"/>
    <n v="37.16245"/>
  </r>
  <r>
    <x v="482"/>
    <n v="36.739890000000003"/>
  </r>
  <r>
    <x v="483"/>
    <n v="37.000369999999997"/>
  </r>
  <r>
    <x v="484"/>
    <n v="36.757570000000001"/>
  </r>
  <r>
    <x v="485"/>
    <n v="38.442529999999998"/>
  </r>
  <r>
    <x v="486"/>
    <n v="37.683219999999999"/>
  </r>
  <r>
    <x v="487"/>
    <n v="35.13841"/>
  </r>
  <r>
    <x v="488"/>
    <n v="34.951549999999997"/>
  </r>
  <r>
    <x v="489"/>
    <n v="36.581440000000001"/>
  </r>
  <r>
    <x v="490"/>
    <n v="37.336829999999999"/>
  </r>
  <r>
    <x v="491"/>
    <n v="36.356540000000003"/>
  </r>
  <r>
    <x v="492"/>
    <n v="36.073999999999998"/>
  </r>
  <r>
    <x v="493"/>
    <n v="34.883380000000002"/>
  </r>
  <r>
    <x v="494"/>
    <n v="34.707850000000001"/>
  </r>
  <r>
    <x v="495"/>
    <n v="34.672719999999998"/>
  </r>
  <r>
    <x v="496"/>
    <n v="35.934229999999999"/>
  </r>
  <r>
    <x v="497"/>
    <n v="35.626269999999998"/>
  </r>
  <r>
    <x v="498"/>
    <n v="35.393410000000003"/>
  </r>
  <r>
    <x v="499"/>
    <n v="36.719259999999998"/>
  </r>
  <r>
    <x v="500"/>
    <n v="35.911589999999997"/>
  </r>
  <r>
    <x v="501"/>
    <n v="33.876600000000003"/>
  </r>
  <r>
    <x v="502"/>
    <n v="34.685119999999998"/>
  </r>
  <r>
    <x v="503"/>
    <n v="35.296430000000001"/>
  </r>
  <r>
    <x v="504"/>
    <n v="33.614629999999998"/>
  </r>
  <r>
    <x v="505"/>
    <n v="33.88449"/>
  </r>
  <r>
    <x v="506"/>
    <n v="32.588749999999997"/>
  </r>
  <r>
    <x v="507"/>
    <n v="33.487839999999998"/>
  </r>
  <r>
    <x v="508"/>
    <n v="34.508189999999999"/>
  </r>
  <r>
    <x v="509"/>
    <n v="32.819719999999997"/>
  </r>
  <r>
    <x v="510"/>
    <n v="32.466520000000003"/>
  </r>
  <r>
    <x v="511"/>
    <n v="32.673870000000001"/>
  </r>
  <r>
    <x v="512"/>
    <n v="33.32338"/>
  </r>
  <r>
    <x v="513"/>
    <n v="33.21555"/>
  </r>
  <r>
    <x v="514"/>
    <n v="30.95008"/>
  </r>
  <r>
    <x v="515"/>
    <n v="30.059989999999999"/>
  </r>
  <r>
    <x v="516"/>
    <n v="28.791319999999999"/>
  </r>
  <r>
    <x v="517"/>
    <n v="29.719139999999999"/>
  </r>
  <r>
    <x v="518"/>
    <n v="28.782360000000001"/>
  </r>
  <r>
    <x v="519"/>
    <n v="29.02103"/>
  </r>
  <r>
    <x v="520"/>
    <n v="28.412780000000001"/>
  </r>
  <r>
    <x v="521"/>
    <n v="28.100480000000001"/>
  </r>
  <r>
    <x v="522"/>
    <n v="27.381679999999999"/>
  </r>
  <r>
    <x v="523"/>
    <n v="26.129770000000001"/>
  </r>
  <r>
    <x v="524"/>
    <n v="24.665030000000002"/>
  </r>
  <r>
    <x v="525"/>
    <n v="24.865559999999999"/>
  </r>
  <r>
    <x v="526"/>
    <n v="24.956659999999999"/>
  </r>
  <r>
    <x v="527"/>
    <n v="25.640999999999998"/>
  </r>
  <r>
    <x v="528"/>
    <n v="25.80273"/>
  </r>
  <r>
    <x v="529"/>
    <n v="25.41019"/>
  </r>
  <r>
    <x v="530"/>
    <n v="26.064080000000001"/>
  </r>
  <r>
    <x v="531"/>
    <n v="25.48282"/>
  </r>
  <r>
    <x v="532"/>
    <n v="24.949000000000002"/>
  </r>
  <r>
    <x v="533"/>
    <n v="23.97926"/>
  </r>
  <r>
    <x v="534"/>
    <n v="23.434200000000001"/>
  </r>
  <r>
    <x v="535"/>
    <n v="22.777519999999999"/>
  </r>
  <r>
    <x v="536"/>
    <n v="23.034109999999998"/>
  </r>
  <r>
    <x v="537"/>
    <n v="22.578859999999999"/>
  </r>
  <r>
    <x v="538"/>
    <n v="23.1373"/>
  </r>
  <r>
    <x v="539"/>
    <n v="23.554300000000001"/>
  </r>
  <r>
    <x v="540"/>
    <n v="24.398869999999999"/>
  </r>
  <r>
    <x v="541"/>
    <n v="23.76521"/>
  </r>
  <r>
    <x v="542"/>
    <n v="22.588740000000001"/>
  </r>
  <r>
    <x v="543"/>
    <n v="22.64723"/>
  </r>
  <r>
    <x v="544"/>
    <n v="22.628350000000001"/>
  </r>
  <r>
    <x v="545"/>
    <n v="22.62471"/>
  </r>
  <r>
    <x v="546"/>
    <n v="23.931090000000001"/>
  </r>
  <r>
    <x v="547"/>
    <n v="23.554449999999999"/>
  </r>
  <r>
    <x v="548"/>
    <n v="23.05199"/>
  </r>
  <r>
    <x v="549"/>
    <n v="22.645199999999999"/>
  </r>
  <r>
    <x v="550"/>
    <n v="21.922319999999999"/>
  </r>
  <r>
    <x v="551"/>
    <n v="21.948519999999998"/>
  </r>
  <r>
    <x v="552"/>
    <n v="21.886880000000001"/>
  </r>
  <r>
    <x v="553"/>
    <n v="21.542850000000001"/>
  </r>
  <r>
    <x v="554"/>
    <n v="21.415700000000001"/>
  </r>
  <r>
    <x v="555"/>
    <n v="20.764189999999999"/>
  </r>
  <r>
    <x v="556"/>
    <n v="20.517880000000002"/>
  </r>
  <r>
    <x v="557"/>
    <n v="19.07178"/>
  </r>
  <r>
    <x v="558"/>
    <n v="18.968499999999999"/>
  </r>
  <r>
    <x v="559"/>
    <n v="20.042190000000002"/>
  </r>
  <r>
    <x v="560"/>
    <n v="20.558700000000002"/>
  </r>
  <r>
    <x v="561"/>
    <n v="20.983280000000001"/>
  </r>
  <r>
    <x v="562"/>
    <n v="20.059550000000002"/>
  </r>
  <r>
    <x v="563"/>
    <n v="20.03482"/>
  </r>
  <r>
    <x v="564"/>
    <n v="19.661650000000002"/>
  </r>
  <r>
    <x v="565"/>
    <n v="20.244109999999999"/>
  </r>
  <r>
    <x v="566"/>
    <n v="20.18666"/>
  </r>
  <r>
    <x v="567"/>
    <n v="19.71424"/>
  </r>
  <r>
    <x v="568"/>
    <n v="19.38448"/>
  </r>
  <r>
    <x v="569"/>
    <n v="19.217690000000001"/>
  </r>
  <r>
    <x v="570"/>
    <n v="19.5733"/>
  </r>
  <r>
    <x v="571"/>
    <n v="18.93891"/>
  </r>
  <r>
    <x v="572"/>
    <n v="19.05134"/>
  </r>
  <r>
    <x v="573"/>
    <n v="18.311589999999999"/>
  </r>
  <r>
    <x v="574"/>
    <n v="17.772580000000001"/>
  </r>
  <r>
    <x v="575"/>
    <n v="17.546800000000001"/>
  </r>
  <r>
    <x v="576"/>
    <n v="17.336040000000001"/>
  </r>
  <r>
    <x v="577"/>
    <n v="17.572240000000001"/>
  </r>
  <r>
    <x v="578"/>
    <n v="16.877050000000001"/>
  </r>
  <r>
    <x v="579"/>
    <n v="16.807009999999998"/>
  </r>
  <r>
    <x v="580"/>
    <n v="16.488189999999999"/>
  </r>
  <r>
    <x v="581"/>
    <n v="16.032330000000002"/>
  </r>
  <r>
    <x v="582"/>
    <n v="16.707529999999998"/>
  </r>
  <r>
    <x v="583"/>
    <n v="16.461179999999999"/>
  </r>
  <r>
    <x v="584"/>
    <n v="17.83408"/>
  </r>
  <r>
    <x v="585"/>
    <n v="18.426600000000001"/>
  </r>
  <r>
    <x v="586"/>
    <n v="18.981269999999999"/>
  </r>
  <r>
    <x v="587"/>
    <n v="18.556249999999999"/>
  </r>
  <r>
    <x v="588"/>
    <n v="18.373860000000001"/>
  </r>
  <r>
    <x v="589"/>
    <n v="18.41883"/>
  </r>
  <r>
    <x v="590"/>
    <n v="19.25141"/>
  </r>
  <r>
    <x v="591"/>
    <n v="19.01914"/>
  </r>
  <r>
    <x v="592"/>
    <n v="18.673639999999999"/>
  </r>
  <r>
    <x v="593"/>
    <n v="17.97166"/>
  </r>
  <r>
    <x v="594"/>
    <n v="17.81503"/>
  </r>
  <r>
    <x v="595"/>
    <n v="17.71058"/>
  </r>
  <r>
    <x v="596"/>
    <n v="17.993300000000001"/>
  </r>
  <r>
    <x v="597"/>
    <n v="17.26435"/>
  </r>
  <r>
    <x v="598"/>
    <n v="17.436769999999999"/>
  </r>
  <r>
    <x v="599"/>
    <n v="16.678280000000001"/>
  </r>
  <r>
    <x v="600"/>
    <n v="16.415900000000001"/>
  </r>
  <r>
    <x v="601"/>
    <n v="15.71438"/>
  </r>
  <r>
    <x v="602"/>
    <n v="15.56414"/>
  </r>
  <r>
    <x v="603"/>
    <n v="15.39648"/>
  </r>
  <r>
    <x v="604"/>
    <n v="15.2011"/>
  </r>
  <r>
    <x v="605"/>
    <n v="14.339219999999999"/>
  </r>
  <r>
    <x v="606"/>
    <n v="14.593360000000001"/>
  </r>
  <r>
    <x v="607"/>
    <n v="14.95998"/>
  </r>
  <r>
    <x v="608"/>
    <n v="13.671329999999999"/>
  </r>
  <r>
    <x v="609"/>
    <n v="15.101900000000001"/>
  </r>
  <r>
    <x v="610"/>
    <n v="15.748329999999999"/>
  </r>
  <r>
    <x v="611"/>
    <n v="14.86304"/>
  </r>
  <r>
    <x v="612"/>
    <n v="16.045549999999999"/>
  </r>
  <r>
    <x v="613"/>
    <n v="14.978339999999999"/>
  </r>
  <r>
    <x v="614"/>
    <n v="14.84506"/>
  </r>
  <r>
    <x v="615"/>
    <n v="13.13353"/>
  </r>
  <r>
    <x v="616"/>
    <n v="12.917759999999999"/>
  </r>
  <r>
    <x v="617"/>
    <n v="12.35468"/>
  </r>
  <r>
    <x v="618"/>
    <n v="14.2385"/>
  </r>
  <r>
    <x v="619"/>
    <n v="13.492419999999999"/>
  </r>
  <r>
    <x v="620"/>
    <n v="14.57938"/>
  </r>
  <r>
    <x v="621"/>
    <n v="14.69936"/>
  </r>
  <r>
    <x v="622"/>
    <n v="14.544"/>
  </r>
  <r>
    <x v="623"/>
    <n v="15.715439999999999"/>
  </r>
  <r>
    <x v="624"/>
    <n v="16.666650000000001"/>
  </r>
  <r>
    <x v="625"/>
    <n v="17.79053"/>
  </r>
  <r>
    <x v="626"/>
    <n v="18.17173"/>
  </r>
  <r>
    <x v="627"/>
    <n v="17.656700000000001"/>
  </r>
  <r>
    <x v="628"/>
    <n v="18.741579999999999"/>
  </r>
  <r>
    <x v="629"/>
    <n v="19.183540000000001"/>
  </r>
  <r>
    <x v="630"/>
    <n v="17.944279999999999"/>
  </r>
  <r>
    <x v="631"/>
    <n v="17.846060000000001"/>
  </r>
  <r>
    <x v="632"/>
    <n v="17.839379999999998"/>
  </r>
  <r>
    <x v="633"/>
    <n v="18.682510000000001"/>
  </r>
  <r>
    <x v="634"/>
    <n v="18.492989999999999"/>
  </r>
  <r>
    <x v="635"/>
    <n v="19.361979999999999"/>
  </r>
  <r>
    <x v="636"/>
    <n v="19.424990000000001"/>
  </r>
  <r>
    <x v="637"/>
    <n v="19.37069"/>
  </r>
  <r>
    <x v="638"/>
    <n v="19.77788"/>
  </r>
  <r>
    <x v="639"/>
    <n v="18.74559"/>
  </r>
  <r>
    <x v="640"/>
    <n v="18.43394"/>
  </r>
  <r>
    <x v="641"/>
    <n v="18.57554"/>
  </r>
  <r>
    <x v="642"/>
    <n v="18.39292"/>
  </r>
  <r>
    <x v="643"/>
    <n v="17.62566"/>
  </r>
  <r>
    <x v="644"/>
    <n v="17.28838"/>
  </r>
  <r>
    <x v="645"/>
    <n v="18.020579999999999"/>
  </r>
  <r>
    <x v="646"/>
    <n v="17.83465"/>
  </r>
  <r>
    <x v="647"/>
    <n v="18.22512"/>
  </r>
  <r>
    <x v="648"/>
    <n v="18.864599999999999"/>
  </r>
  <r>
    <x v="649"/>
    <n v="18.429120000000001"/>
  </r>
  <r>
    <x v="650"/>
    <n v="18.203990000000001"/>
  </r>
  <r>
    <x v="651"/>
    <n v="18.23461"/>
  </r>
  <r>
    <x v="652"/>
    <n v="18.49325"/>
  </r>
  <r>
    <x v="653"/>
    <n v="17.832930000000001"/>
  </r>
  <r>
    <x v="654"/>
    <n v="16.82189"/>
  </r>
  <r>
    <x v="655"/>
    <n v="16.844010000000001"/>
  </r>
  <r>
    <x v="656"/>
    <n v="16.766249999999999"/>
  </r>
  <r>
    <x v="657"/>
    <n v="16.602869999999999"/>
  </r>
  <r>
    <x v="658"/>
    <n v="16.93845"/>
  </r>
  <r>
    <x v="659"/>
    <n v="16.838259999999998"/>
  </r>
  <r>
    <x v="660"/>
    <n v="17.125789999999999"/>
  </r>
  <r>
    <x v="661"/>
    <n v="18.828800000000001"/>
  </r>
  <r>
    <x v="662"/>
    <n v="18.97118"/>
  </r>
  <r>
    <x v="663"/>
    <n v="18.768049999999999"/>
  </r>
  <r>
    <x v="664"/>
    <n v="18.682230000000001"/>
  </r>
  <r>
    <x v="665"/>
    <n v="18.87959"/>
  </r>
  <r>
    <x v="666"/>
    <n v="18.292670000000001"/>
  </r>
  <r>
    <x v="667"/>
    <n v="18.5182"/>
  </r>
  <r>
    <x v="668"/>
    <n v="18.05012"/>
  </r>
  <r>
    <x v="669"/>
    <n v="17.690049999999999"/>
  </r>
  <r>
    <x v="670"/>
    <n v="17.051130000000001"/>
  </r>
  <r>
    <x v="671"/>
    <n v="17.107060000000001"/>
  </r>
  <r>
    <x v="672"/>
    <n v="17.430700000000002"/>
  </r>
  <r>
    <x v="673"/>
    <n v="16.595289999999999"/>
  </r>
  <r>
    <x v="674"/>
    <n v="16.519100000000002"/>
  </r>
  <r>
    <x v="675"/>
    <n v="17.141279999999998"/>
  </r>
  <r>
    <x v="676"/>
    <n v="18.433109999999999"/>
  </r>
  <r>
    <x v="677"/>
    <n v="17.37341"/>
  </r>
  <r>
    <x v="678"/>
    <n v="16.85277"/>
  </r>
  <r>
    <x v="679"/>
    <n v="16.411049999999999"/>
  </r>
  <r>
    <x v="680"/>
    <n v="16.207129999999999"/>
  </r>
  <r>
    <x v="681"/>
    <n v="15.22214"/>
  </r>
  <r>
    <x v="682"/>
    <n v="15.35225"/>
  </r>
  <r>
    <x v="683"/>
    <n v="15.482150000000001"/>
  </r>
  <r>
    <x v="684"/>
    <n v="14.63602"/>
  </r>
  <r>
    <x v="685"/>
    <n v="14.33986"/>
  </r>
  <r>
    <x v="686"/>
    <n v="14.889810000000001"/>
  </r>
  <r>
    <x v="687"/>
    <n v="14.91567"/>
  </r>
  <r>
    <x v="688"/>
    <n v="15.34858"/>
  </r>
  <r>
    <x v="689"/>
    <n v="14.166079999999999"/>
  </r>
  <r>
    <x v="690"/>
    <n v="16.26484"/>
  </r>
  <r>
    <x v="691"/>
    <n v="17.859649999999998"/>
  </r>
  <r>
    <x v="692"/>
    <n v="17.666060000000002"/>
  </r>
  <r>
    <x v="693"/>
    <n v="17.377870000000001"/>
  </r>
  <r>
    <x v="694"/>
    <n v="17.585730000000002"/>
  </r>
  <r>
    <x v="695"/>
    <n v="17.4057"/>
  </r>
  <r>
    <x v="696"/>
    <n v="17.653300000000002"/>
  </r>
  <r>
    <x v="697"/>
    <n v="18.06851"/>
  </r>
  <r>
    <x v="698"/>
    <n v="17.727029999999999"/>
  </r>
  <r>
    <x v="699"/>
    <n v="16.179580000000001"/>
  </r>
  <r>
    <x v="700"/>
    <n v="16.710830000000001"/>
  </r>
  <r>
    <x v="701"/>
    <n v="16.034520000000001"/>
  </r>
  <r>
    <x v="702"/>
    <n v="16.54682"/>
  </r>
  <r>
    <x v="703"/>
    <n v="17.541810000000002"/>
  </r>
  <r>
    <x v="704"/>
    <n v="18.401499999999999"/>
  </r>
  <r>
    <x v="705"/>
    <n v="19.758120000000002"/>
  </r>
  <r>
    <x v="706"/>
    <n v="20.89864"/>
  </r>
  <r>
    <x v="707"/>
    <n v="19.33614"/>
  </r>
  <r>
    <x v="708"/>
    <n v="19.543340000000001"/>
  </r>
  <r>
    <x v="709"/>
    <n v="19.222359999999998"/>
  </r>
  <r>
    <x v="710"/>
    <n v="19.305"/>
  </r>
  <r>
    <x v="711"/>
    <n v="20.085260000000002"/>
  </r>
  <r>
    <x v="712"/>
    <n v="18.850860000000001"/>
  </r>
  <r>
    <x v="713"/>
    <n v="18.770399999999999"/>
  </r>
  <r>
    <x v="714"/>
    <n v="18.749569999999999"/>
  </r>
  <r>
    <x v="715"/>
    <n v="17.697890000000001"/>
  </r>
  <r>
    <x v="716"/>
    <n v="16.784300000000002"/>
  </r>
  <r>
    <x v="717"/>
    <n v="18.627130000000001"/>
  </r>
  <r>
    <x v="718"/>
    <n v="19.04815"/>
  </r>
  <r>
    <x v="719"/>
    <n v="18.763580000000001"/>
  </r>
  <r>
    <x v="720"/>
    <n v="17.689139999999998"/>
  </r>
  <r>
    <x v="721"/>
    <n v="18.44773"/>
  </r>
  <r>
    <x v="722"/>
    <n v="19.435680000000001"/>
  </r>
  <r>
    <x v="723"/>
    <n v="18.511520000000001"/>
  </r>
  <r>
    <x v="724"/>
    <n v="16.953800000000001"/>
  </r>
  <r>
    <x v="725"/>
    <n v="17.59478"/>
  </r>
  <r>
    <x v="726"/>
    <n v="16.25433"/>
  </r>
  <r>
    <x v="727"/>
    <n v="15.95782"/>
  </r>
  <r>
    <x v="728"/>
    <n v="16.308150000000001"/>
  </r>
  <r>
    <x v="729"/>
    <n v="15.80973"/>
  </r>
  <r>
    <x v="730"/>
    <n v="14.57652"/>
  </r>
  <r>
    <x v="731"/>
    <n v="13.554510000000001"/>
  </r>
  <r>
    <x v="732"/>
    <n v="12.44786"/>
  </r>
  <r>
    <x v="733"/>
    <n v="13.126799999999999"/>
  </r>
  <r>
    <x v="734"/>
    <n v="12.681900000000001"/>
  </r>
  <r>
    <x v="735"/>
    <n v="12.62255"/>
  </r>
  <r>
    <x v="736"/>
    <n v="14.023999999999999"/>
  </r>
  <r>
    <x v="737"/>
    <n v="14.56574"/>
  </r>
  <r>
    <x v="738"/>
    <n v="13.780139999999999"/>
  </r>
  <r>
    <x v="739"/>
    <n v="13.542350000000001"/>
  </r>
  <r>
    <x v="740"/>
    <n v="12.63095"/>
  </r>
  <r>
    <x v="741"/>
    <n v="13.985659999999999"/>
  </r>
  <r>
    <x v="742"/>
    <n v="11.425789999999999"/>
  </r>
  <r>
    <x v="743"/>
    <n v="11.362539999999999"/>
  </r>
  <r>
    <x v="744"/>
    <n v="12.884510000000001"/>
  </r>
  <r>
    <x v="745"/>
    <n v="11.67276"/>
  </r>
  <r>
    <x v="746"/>
    <n v="11.94994"/>
  </r>
  <r>
    <x v="747"/>
    <n v="11.105499999999999"/>
  </r>
  <r>
    <x v="748"/>
    <n v="10.19858"/>
  </r>
  <r>
    <x v="749"/>
    <n v="9.7531599999999994"/>
  </r>
  <r>
    <x v="750"/>
    <n v="8.5182699999999993"/>
  </r>
  <r>
    <x v="751"/>
    <n v="9.7658900000000006"/>
  </r>
  <r>
    <x v="752"/>
    <n v="11.154859999999999"/>
  </r>
  <r>
    <x v="753"/>
    <n v="13.163360000000001"/>
  </r>
  <r>
    <x v="754"/>
    <n v="13.38916"/>
  </r>
  <r>
    <x v="755"/>
    <n v="12.56948"/>
  </r>
  <r>
    <x v="756"/>
    <n v="11.31704"/>
  </r>
  <r>
    <x v="757"/>
    <n v="12.428599999999999"/>
  </r>
  <r>
    <x v="758"/>
    <n v="14.094849999999999"/>
  </r>
  <r>
    <x v="759"/>
    <n v="16.22118"/>
  </r>
  <r>
    <x v="760"/>
    <n v="15.632960000000001"/>
  </r>
  <r>
    <x v="761"/>
    <n v="15.59662"/>
  </r>
  <r>
    <x v="762"/>
    <n v="14.360300000000001"/>
  </r>
  <r>
    <x v="763"/>
    <n v="12.84811"/>
  </r>
  <r>
    <x v="764"/>
    <n v="14.27407"/>
  </r>
  <r>
    <x v="765"/>
    <n v="11.380050000000001"/>
  </r>
  <r>
    <x v="766"/>
    <n v="12.872350000000001"/>
  </r>
  <r>
    <x v="767"/>
    <n v="11.95706"/>
  </r>
  <r>
    <x v="768"/>
    <n v="10.994400000000001"/>
  </r>
  <r>
    <x v="769"/>
    <n v="12.25619"/>
  </r>
  <r>
    <x v="770"/>
    <n v="14.281779999999999"/>
  </r>
  <r>
    <x v="771"/>
    <n v="15.836869999999999"/>
  </r>
  <r>
    <x v="772"/>
    <n v="20.494489999999999"/>
  </r>
  <r>
    <x v="773"/>
    <n v="22.604330000000001"/>
  </r>
  <r>
    <x v="774"/>
    <n v="23.078410000000002"/>
  </r>
  <r>
    <x v="775"/>
    <n v="23.454419999999999"/>
  </r>
  <r>
    <x v="776"/>
    <n v="21.93901"/>
  </r>
  <r>
    <x v="777"/>
    <n v="23.396319999999999"/>
  </r>
  <r>
    <x v="778"/>
    <n v="23.005780000000001"/>
  </r>
  <r>
    <x v="779"/>
    <n v="22.95796"/>
  </r>
  <r>
    <x v="780"/>
    <n v="23.786149999999999"/>
  </r>
  <r>
    <x v="781"/>
    <n v="23.22"/>
  </r>
  <r>
    <x v="782"/>
    <n v="25.014880000000002"/>
  </r>
  <r>
    <x v="783"/>
    <n v="24.867080000000001"/>
  </r>
  <r>
    <x v="784"/>
    <n v="24.381399999999999"/>
  </r>
  <r>
    <x v="785"/>
    <n v="25.741440000000001"/>
  </r>
  <r>
    <x v="786"/>
    <n v="25.839839999999999"/>
  </r>
  <r>
    <x v="787"/>
    <n v="27.46875"/>
  </r>
  <r>
    <x v="788"/>
    <n v="28.68975"/>
  </r>
  <r>
    <x v="789"/>
    <n v="30.781569999999999"/>
  </r>
  <r>
    <x v="790"/>
    <n v="31.734719999999999"/>
  </r>
  <r>
    <x v="791"/>
    <n v="34.58229"/>
  </r>
  <r>
    <x v="792"/>
    <n v="33.853169999999999"/>
  </r>
  <r>
    <x v="793"/>
    <n v="31.270230000000002"/>
  </r>
  <r>
    <x v="794"/>
    <n v="31.181260000000002"/>
  </r>
  <r>
    <x v="795"/>
    <n v="31.386150000000001"/>
  </r>
  <r>
    <x v="796"/>
    <n v="32.191549999999999"/>
  </r>
  <r>
    <x v="797"/>
    <n v="31.667210000000001"/>
  </r>
  <r>
    <x v="798"/>
    <n v="31.969850000000001"/>
  </r>
  <r>
    <x v="799"/>
    <n v="30.625340000000001"/>
  </r>
  <r>
    <x v="800"/>
    <n v="29.59028"/>
  </r>
  <r>
    <x v="801"/>
    <n v="31.21377"/>
  </r>
  <r>
    <x v="802"/>
    <n v="32.974260000000001"/>
  </r>
  <r>
    <x v="803"/>
    <n v="33.21808"/>
  </r>
  <r>
    <x v="804"/>
    <n v="33.12941"/>
  </r>
  <r>
    <x v="805"/>
    <n v="33.005249999999997"/>
  </r>
  <r>
    <x v="806"/>
    <n v="31.666599999999999"/>
  </r>
  <r>
    <x v="807"/>
    <n v="32.470100000000002"/>
  </r>
  <r>
    <x v="808"/>
    <n v="31.687200000000001"/>
  </r>
  <r>
    <x v="809"/>
    <n v="32.245919999999998"/>
  </r>
  <r>
    <x v="810"/>
    <n v="35.135849999999998"/>
  </r>
  <r>
    <x v="811"/>
    <n v="33.462020000000003"/>
  </r>
  <r>
    <x v="812"/>
    <n v="34.30838"/>
  </r>
  <r>
    <x v="813"/>
    <n v="33.619410000000002"/>
  </r>
  <r>
    <x v="814"/>
    <n v="34.135620000000003"/>
  </r>
  <r>
    <x v="815"/>
    <n v="33.850740000000002"/>
  </r>
  <r>
    <x v="816"/>
    <n v="34.022739999999999"/>
  </r>
  <r>
    <x v="817"/>
    <n v="33.149520000000003"/>
  </r>
  <r>
    <x v="818"/>
    <n v="32.551859999999998"/>
  </r>
  <r>
    <x v="819"/>
    <n v="31.565539999999999"/>
  </r>
  <r>
    <x v="820"/>
    <n v="29.500579999999999"/>
  </r>
  <r>
    <x v="821"/>
    <n v="30.23339"/>
  </r>
  <r>
    <x v="822"/>
    <n v="29.927969999999998"/>
  </r>
  <r>
    <x v="823"/>
    <n v="31.17962"/>
  </r>
  <r>
    <x v="824"/>
    <n v="29.362549999999999"/>
  </r>
  <r>
    <x v="825"/>
    <n v="28.996700000000001"/>
  </r>
  <r>
    <x v="826"/>
    <n v="29.077259999999999"/>
  </r>
  <r>
    <x v="827"/>
    <n v="29.293700000000001"/>
  </r>
  <r>
    <x v="828"/>
    <n v="28.860720000000001"/>
  </r>
  <r>
    <x v="829"/>
    <n v="29.099219999999999"/>
  </r>
  <r>
    <x v="830"/>
    <n v="29.566050000000001"/>
  </r>
  <r>
    <x v="831"/>
    <n v="27.71668"/>
  </r>
  <r>
    <x v="832"/>
    <n v="28.576370000000001"/>
  </r>
  <r>
    <x v="833"/>
    <n v="29.377970000000001"/>
  </r>
  <r>
    <x v="834"/>
    <n v="29.196819999999999"/>
  </r>
  <r>
    <x v="835"/>
    <n v="31.19201"/>
  </r>
  <r>
    <x v="836"/>
    <n v="32.133029999999998"/>
  </r>
  <r>
    <x v="837"/>
    <n v="32.118839999999999"/>
  </r>
  <r>
    <x v="838"/>
    <n v="32.409970000000001"/>
  </r>
  <r>
    <x v="839"/>
    <n v="32.204090000000001"/>
  </r>
  <r>
    <x v="840"/>
    <n v="33.043660000000003"/>
  </r>
  <r>
    <x v="841"/>
    <n v="31.882190000000001"/>
  </r>
  <r>
    <x v="842"/>
    <n v="32.192120000000003"/>
  </r>
  <r>
    <x v="843"/>
    <n v="31.515689999999999"/>
  </r>
  <r>
    <x v="844"/>
    <n v="33.106850000000001"/>
  </r>
  <r>
    <x v="845"/>
    <n v="31.79374"/>
  </r>
  <r>
    <x v="846"/>
    <n v="34.28407"/>
  </r>
  <r>
    <x v="847"/>
    <n v="34.902929999999998"/>
  </r>
  <r>
    <x v="848"/>
    <n v="31.47503"/>
  </r>
  <r>
    <x v="849"/>
    <n v="31.733219999999999"/>
  </r>
  <r>
    <x v="850"/>
    <n v="30.998329999999999"/>
  </r>
  <r>
    <x v="851"/>
    <n v="30.271940000000001"/>
  </r>
  <r>
    <x v="852"/>
    <n v="29.331029999999998"/>
  </r>
  <r>
    <x v="853"/>
    <n v="30.50881"/>
  </r>
  <r>
    <x v="854"/>
    <n v="31.536770000000001"/>
  </r>
  <r>
    <x v="855"/>
    <n v="31.687180000000001"/>
  </r>
  <r>
    <x v="856"/>
    <n v="33.599220000000003"/>
  </r>
  <r>
    <x v="857"/>
    <n v="32.180750000000003"/>
  </r>
  <r>
    <x v="858"/>
    <n v="31.92728"/>
  </r>
  <r>
    <x v="859"/>
    <n v="31.9421"/>
  </r>
  <r>
    <x v="860"/>
    <n v="30.526330000000002"/>
  </r>
  <r>
    <x v="861"/>
    <n v="30.923909999999999"/>
  </r>
  <r>
    <x v="862"/>
    <n v="28.867750000000001"/>
  </r>
  <r>
    <x v="863"/>
    <n v="29.42353"/>
  </r>
  <r>
    <x v="864"/>
    <n v="30.189620000000001"/>
  </r>
  <r>
    <x v="865"/>
    <n v="29.423670000000001"/>
  </r>
  <r>
    <x v="866"/>
    <n v="30.061720000000001"/>
  </r>
  <r>
    <x v="867"/>
    <n v="31.067869999999999"/>
  </r>
  <r>
    <x v="868"/>
    <n v="29.927949999999999"/>
  </r>
  <r>
    <x v="869"/>
    <n v="28.6889"/>
  </r>
  <r>
    <x v="870"/>
    <n v="28.212800000000001"/>
  </r>
  <r>
    <x v="871"/>
    <n v="27.90821"/>
  </r>
  <r>
    <x v="872"/>
    <n v="28.082470000000001"/>
  </r>
  <r>
    <x v="873"/>
    <n v="27.80669"/>
  </r>
  <r>
    <x v="874"/>
    <n v="27.14132"/>
  </r>
  <r>
    <x v="875"/>
    <n v="27.285910000000001"/>
  </r>
  <r>
    <x v="876"/>
    <n v="26.188890000000001"/>
  </r>
  <r>
    <x v="877"/>
    <n v="26.234649999999998"/>
  </r>
  <r>
    <x v="878"/>
    <n v="26.329599999999999"/>
  </r>
  <r>
    <x v="879"/>
    <n v="25.99812"/>
  </r>
  <r>
    <x v="880"/>
    <n v="25.462070000000001"/>
  </r>
  <r>
    <x v="881"/>
    <n v="25.598970000000001"/>
  </r>
  <r>
    <x v="882"/>
    <n v="24.404140000000002"/>
  </r>
  <r>
    <x v="883"/>
    <n v="24.836649999999999"/>
  </r>
  <r>
    <x v="884"/>
    <n v="23.757909999999999"/>
  </r>
  <r>
    <x v="885"/>
    <n v="24.472809999999999"/>
  </r>
  <r>
    <x v="886"/>
    <n v="24.578140000000001"/>
  </r>
  <r>
    <x v="887"/>
    <n v="24.603079999999999"/>
  </r>
  <r>
    <x v="888"/>
    <n v="25.65062"/>
  </r>
  <r>
    <x v="889"/>
    <n v="27.27665"/>
  </r>
  <r>
    <x v="890"/>
    <n v="26.86129"/>
  </r>
  <r>
    <x v="891"/>
    <n v="25.793089999999999"/>
  </r>
  <r>
    <x v="892"/>
    <n v="25.729749999999999"/>
  </r>
  <r>
    <x v="893"/>
    <n v="26.567150000000002"/>
  </r>
  <r>
    <x v="894"/>
    <n v="27.484749999999998"/>
  </r>
  <r>
    <x v="895"/>
    <n v="26.682359999999999"/>
  </r>
  <r>
    <x v="896"/>
    <n v="26.42182"/>
  </r>
  <r>
    <x v="897"/>
    <n v="27.657630000000001"/>
  </r>
  <r>
    <x v="898"/>
    <n v="28.01351"/>
  </r>
  <r>
    <x v="899"/>
    <n v="26.697710000000001"/>
  </r>
  <r>
    <x v="900"/>
    <n v="25.843920000000001"/>
  </r>
  <r>
    <x v="901"/>
    <n v="25.17632"/>
  </r>
  <r>
    <x v="902"/>
    <n v="25.096060000000001"/>
  </r>
  <r>
    <x v="903"/>
    <n v="25.01848"/>
  </r>
  <r>
    <x v="904"/>
    <n v="25.41433"/>
  </r>
  <r>
    <x v="905"/>
    <n v="25.448540000000001"/>
  </r>
  <r>
    <x v="906"/>
    <n v="26.749610000000001"/>
  </r>
  <r>
    <x v="907"/>
    <n v="26.262599999999999"/>
  </r>
  <r>
    <x v="908"/>
    <n v="26.33353"/>
  </r>
  <r>
    <x v="909"/>
    <n v="26.271249999999998"/>
  </r>
  <r>
    <x v="910"/>
    <n v="27.592479999999998"/>
  </r>
  <r>
    <x v="911"/>
    <n v="28.211490000000001"/>
  </r>
  <r>
    <x v="912"/>
    <n v="27.964860000000002"/>
  </r>
  <r>
    <x v="913"/>
    <n v="26.138159999999999"/>
  </r>
  <r>
    <x v="914"/>
    <n v="26.95628"/>
  </r>
  <r>
    <x v="915"/>
    <n v="26.17972"/>
  </r>
  <r>
    <x v="916"/>
    <n v="24.233979999999999"/>
  </r>
  <r>
    <x v="917"/>
    <n v="24.33672"/>
  </r>
  <r>
    <x v="918"/>
    <n v="23.413650000000001"/>
  </r>
  <r>
    <x v="919"/>
    <n v="22.8934"/>
  </r>
  <r>
    <x v="920"/>
    <n v="21.784320000000001"/>
  </r>
  <r>
    <x v="921"/>
    <n v="22.000769999999999"/>
  </r>
  <r>
    <x v="922"/>
    <n v="22.023250000000001"/>
  </r>
  <r>
    <x v="923"/>
    <n v="22.235700000000001"/>
  </r>
  <r>
    <x v="924"/>
    <n v="22.06981"/>
  </r>
  <r>
    <x v="925"/>
    <n v="22.235800000000001"/>
  </r>
  <r>
    <x v="926"/>
    <n v="21.333069999999999"/>
  </r>
  <r>
    <x v="927"/>
    <n v="22.965299999999999"/>
  </r>
  <r>
    <x v="928"/>
    <n v="23.846260000000001"/>
  </r>
  <r>
    <x v="929"/>
    <n v="23.434439999999999"/>
  </r>
  <r>
    <x v="930"/>
    <n v="23.4925"/>
  </r>
  <r>
    <x v="931"/>
    <n v="24.42578"/>
  </r>
  <r>
    <x v="932"/>
    <n v="24.873249999999999"/>
  </r>
  <r>
    <x v="933"/>
    <n v="24.5929"/>
  </r>
  <r>
    <x v="934"/>
    <n v="24.685269999999999"/>
  </r>
  <r>
    <x v="935"/>
    <n v="25.26313"/>
  </r>
  <r>
    <x v="936"/>
    <n v="25.576740000000001"/>
  </r>
  <r>
    <x v="937"/>
    <n v="25.38129"/>
  </r>
  <r>
    <x v="938"/>
    <n v="24.801760000000002"/>
  </r>
  <r>
    <x v="939"/>
    <n v="24.411539999999999"/>
  </r>
  <r>
    <x v="940"/>
    <n v="23.318239999999999"/>
  </r>
  <r>
    <x v="941"/>
    <n v="22.781030000000001"/>
  </r>
  <r>
    <x v="942"/>
    <n v="23.08897"/>
  </r>
  <r>
    <x v="943"/>
    <n v="23.287800000000001"/>
  </r>
  <r>
    <x v="944"/>
    <n v="23.581939999999999"/>
  </r>
  <r>
    <x v="945"/>
    <n v="23.550630000000002"/>
  </r>
  <r>
    <x v="946"/>
    <n v="23.544090000000001"/>
  </r>
  <r>
    <x v="947"/>
    <n v="24.31615"/>
  </r>
  <r>
    <x v="948"/>
    <n v="23.68374"/>
  </r>
  <r>
    <x v="949"/>
    <n v="23.195799999999998"/>
  </r>
  <r>
    <x v="950"/>
    <n v="23.596240000000002"/>
  </r>
  <r>
    <x v="951"/>
    <n v="23.43366"/>
  </r>
  <r>
    <x v="952"/>
    <n v="24.780290000000001"/>
  </r>
  <r>
    <x v="953"/>
    <n v="24.53698"/>
  </r>
  <r>
    <x v="954"/>
    <n v="24.96724"/>
  </r>
  <r>
    <x v="955"/>
    <n v="24.036280000000001"/>
  </r>
  <r>
    <x v="956"/>
    <n v="24.32761"/>
  </r>
  <r>
    <x v="957"/>
    <n v="23.968800000000002"/>
  </r>
  <r>
    <x v="958"/>
    <n v="24.2316"/>
  </r>
  <r>
    <x v="959"/>
    <n v="24.52974"/>
  </r>
  <r>
    <x v="960"/>
    <n v="23.744260000000001"/>
  </r>
  <r>
    <x v="961"/>
    <n v="23.400670000000002"/>
  </r>
  <r>
    <x v="962"/>
    <n v="23.302140000000001"/>
  </r>
  <r>
    <x v="963"/>
    <n v="23.106390000000001"/>
  </r>
  <r>
    <x v="964"/>
    <n v="22.649619999999999"/>
  </r>
  <r>
    <x v="965"/>
    <n v="22.53293"/>
  </r>
  <r>
    <x v="966"/>
    <n v="22.10774"/>
  </r>
  <r>
    <x v="967"/>
    <n v="22.336849999999998"/>
  </r>
  <r>
    <x v="968"/>
    <n v="23.046530000000001"/>
  </r>
  <r>
    <x v="969"/>
    <n v="22.600860000000001"/>
  </r>
  <r>
    <x v="970"/>
    <n v="22.0913"/>
  </r>
  <r>
    <x v="971"/>
    <n v="21.548410000000001"/>
  </r>
  <r>
    <x v="972"/>
    <n v="21.781089999999999"/>
  </r>
  <r>
    <x v="973"/>
    <n v="20.895019999999999"/>
  </r>
  <r>
    <x v="974"/>
    <n v="20.528110000000002"/>
  </r>
  <r>
    <x v="975"/>
    <n v="20.96114"/>
  </r>
  <r>
    <x v="976"/>
    <n v="20.224499999999999"/>
  </r>
  <r>
    <x v="977"/>
    <n v="19.546790000000001"/>
  </r>
  <r>
    <x v="978"/>
    <n v="19.412310000000002"/>
  </r>
  <r>
    <x v="979"/>
    <n v="19.803709999999999"/>
  </r>
  <r>
    <x v="980"/>
    <n v="20.078289999999999"/>
  </r>
  <r>
    <x v="981"/>
    <n v="19.886389999999999"/>
  </r>
  <r>
    <x v="982"/>
    <n v="20.228999999999999"/>
  </r>
  <r>
    <x v="983"/>
    <n v="20.746200000000002"/>
  </r>
  <r>
    <x v="984"/>
    <n v="20.514279999999999"/>
  </r>
  <r>
    <x v="985"/>
    <n v="20.201830000000001"/>
  </r>
  <r>
    <x v="986"/>
    <n v="19.910509999999999"/>
  </r>
  <r>
    <x v="987"/>
    <n v="19.434329999999999"/>
  </r>
  <r>
    <x v="988"/>
    <n v="19.02666"/>
  </r>
  <r>
    <x v="989"/>
    <n v="19.351700000000001"/>
  </r>
  <r>
    <x v="990"/>
    <n v="20.022670000000002"/>
  </r>
  <r>
    <x v="991"/>
    <n v="20.024979999999999"/>
  </r>
  <r>
    <x v="992"/>
    <n v="20.467089999999999"/>
  </r>
  <r>
    <x v="993"/>
    <n v="20.818560000000002"/>
  </r>
  <r>
    <x v="994"/>
    <n v="21.934940000000001"/>
  </r>
  <r>
    <x v="995"/>
    <n v="21.088920000000002"/>
  </r>
  <r>
    <x v="996"/>
    <n v="20.206910000000001"/>
  </r>
  <r>
    <x v="997"/>
    <n v="20.463249999999999"/>
  </r>
  <r>
    <x v="998"/>
    <n v="20.59356"/>
  </r>
  <r>
    <x v="999"/>
    <n v="20.058669999999999"/>
  </r>
  <r>
    <x v="1000"/>
    <n v="20.55941"/>
  </r>
  <r>
    <x v="1001"/>
    <n v="20.282499999999999"/>
  </r>
  <r>
    <x v="1002"/>
    <n v="20.732990000000001"/>
  </r>
  <r>
    <x v="1003"/>
    <n v="22.037680000000002"/>
  </r>
  <r>
    <x v="1004"/>
    <n v="22.234760000000001"/>
  </r>
  <r>
    <x v="1005"/>
    <n v="22.384540000000001"/>
  </r>
  <r>
    <x v="1006"/>
    <n v="22.431629999999998"/>
  </r>
  <r>
    <x v="1007"/>
    <n v="23.047229999999999"/>
  </r>
  <r>
    <x v="1008"/>
    <n v="21.536079999999998"/>
  </r>
  <r>
    <x v="1009"/>
    <n v="21.805879999999998"/>
  </r>
  <r>
    <x v="1010"/>
    <n v="22.379100000000001"/>
  </r>
  <r>
    <x v="1011"/>
    <n v="24.003299999999999"/>
  </r>
  <r>
    <x v="1012"/>
    <n v="23.963519999999999"/>
  </r>
  <r>
    <x v="1013"/>
    <n v="23.871179999999999"/>
  </r>
  <r>
    <x v="1014"/>
    <n v="24.05123"/>
  </r>
  <r>
    <x v="1015"/>
    <n v="23.646180000000001"/>
  </r>
  <r>
    <x v="1016"/>
    <n v="22.4316"/>
  </r>
  <r>
    <x v="1017"/>
    <n v="22.930430000000001"/>
  </r>
  <r>
    <x v="1018"/>
    <n v="21.286719999999999"/>
  </r>
  <r>
    <x v="1019"/>
    <n v="21.96837"/>
  </r>
  <r>
    <x v="1020"/>
    <n v="20.605910000000002"/>
  </r>
  <r>
    <x v="1021"/>
    <n v="19.830400000000001"/>
  </r>
  <r>
    <x v="1022"/>
    <n v="20.124610000000001"/>
  </r>
  <r>
    <x v="1023"/>
    <n v="19.596640000000001"/>
  </r>
  <r>
    <x v="1024"/>
    <n v="19.977889999999999"/>
  </r>
  <r>
    <x v="1025"/>
    <n v="18.86027"/>
  </r>
  <r>
    <x v="1026"/>
    <n v="18.708120000000001"/>
  </r>
  <r>
    <x v="1027"/>
    <n v="18.923940000000002"/>
  </r>
  <r>
    <x v="1028"/>
    <n v="19.12818"/>
  </r>
  <r>
    <x v="1029"/>
    <n v="19.189730000000001"/>
  </r>
  <r>
    <x v="1030"/>
    <n v="18.821709999999999"/>
  </r>
  <r>
    <x v="1031"/>
    <n v="19.191220000000001"/>
  </r>
  <r>
    <x v="1032"/>
    <n v="19.76324"/>
  </r>
  <r>
    <x v="1033"/>
    <n v="18.07546"/>
  </r>
  <r>
    <x v="1034"/>
    <n v="16.957439999999998"/>
  </r>
  <r>
    <x v="1035"/>
    <n v="17.160350000000001"/>
  </r>
  <r>
    <x v="1036"/>
    <n v="17.195080000000001"/>
  </r>
  <r>
    <x v="1037"/>
    <n v="17.308199999999999"/>
  </r>
  <r>
    <x v="1038"/>
    <n v="16.013280000000002"/>
  </r>
  <r>
    <x v="1039"/>
    <n v="16.162739999999999"/>
  </r>
  <r>
    <x v="1040"/>
    <n v="15.85689"/>
  </r>
  <r>
    <x v="1041"/>
    <n v="15.169969999999999"/>
  </r>
  <r>
    <x v="1042"/>
    <n v="14.98766"/>
  </r>
  <r>
    <x v="1043"/>
    <n v="14.30817"/>
  </r>
  <r>
    <x v="1044"/>
    <n v="13.9495"/>
  </r>
  <r>
    <x v="1045"/>
    <n v="13.83977"/>
  </r>
  <r>
    <x v="1046"/>
    <n v="14.28829"/>
  </r>
  <r>
    <x v="1047"/>
    <n v="14.58709"/>
  </r>
  <r>
    <x v="1048"/>
    <n v="14.88926"/>
  </r>
  <r>
    <x v="1049"/>
    <n v="15.34075"/>
  </r>
  <r>
    <x v="1050"/>
    <n v="15.07206"/>
  </r>
  <r>
    <x v="1051"/>
    <n v="15.23827"/>
  </r>
  <r>
    <x v="1052"/>
    <n v="14.36547"/>
  </r>
  <r>
    <x v="1053"/>
    <n v="13.72784"/>
  </r>
  <r>
    <x v="1054"/>
    <n v="13.082549999999999"/>
  </r>
  <r>
    <x v="1055"/>
    <n v="11.852539999999999"/>
  </r>
  <r>
    <x v="1056"/>
    <n v="11.71026"/>
  </r>
  <r>
    <x v="1057"/>
    <n v="11.61877"/>
  </r>
  <r>
    <x v="1058"/>
    <n v="10.963419999999999"/>
  </r>
  <r>
    <x v="1059"/>
    <n v="10.43446"/>
  </r>
  <r>
    <x v="1060"/>
    <n v="9.7828999999999997"/>
  </r>
  <r>
    <x v="1061"/>
    <n v="10.50948"/>
  </r>
  <r>
    <x v="1062"/>
    <n v="9.7590199999999996"/>
  </r>
  <r>
    <x v="1063"/>
    <n v="10.011889999999999"/>
  </r>
  <r>
    <x v="1064"/>
    <n v="10.182930000000001"/>
  </r>
  <r>
    <x v="1065"/>
    <n v="10.65368"/>
  </r>
  <r>
    <x v="1066"/>
    <n v="10.687810000000001"/>
  </r>
  <r>
    <x v="1067"/>
    <n v="10.189109999999999"/>
  </r>
  <r>
    <x v="1068"/>
    <n v="10.81786"/>
  </r>
  <r>
    <x v="1069"/>
    <n v="11.17089"/>
  </r>
  <r>
    <x v="1070"/>
    <n v="11.95603"/>
  </r>
  <r>
    <x v="1071"/>
    <n v="11.10702"/>
  </r>
  <r>
    <x v="1072"/>
    <n v="11.359489999999999"/>
  </r>
  <r>
    <x v="1073"/>
    <n v="10.295489999999999"/>
  </r>
  <r>
    <x v="1074"/>
    <n v="10.64584"/>
  </r>
  <r>
    <x v="1075"/>
    <n v="10.276669999999999"/>
  </r>
  <r>
    <x v="1076"/>
    <n v="10.38034"/>
  </r>
  <r>
    <x v="1077"/>
    <n v="10.71748"/>
  </r>
  <r>
    <x v="1078"/>
    <n v="11.130979999999999"/>
  </r>
  <r>
    <x v="1079"/>
    <n v="11.065440000000001"/>
  </r>
  <r>
    <x v="1080"/>
    <n v="10.23231"/>
  </r>
  <r>
    <x v="1081"/>
    <n v="10.192410000000001"/>
  </r>
  <r>
    <x v="1082"/>
    <n v="9.1498000000000008"/>
  </r>
  <r>
    <x v="1083"/>
    <n v="10.22334"/>
  </r>
  <r>
    <x v="1084"/>
    <n v="8.6454699999999995"/>
  </r>
  <r>
    <x v="1085"/>
    <n v="8.5342599999999997"/>
  </r>
  <r>
    <x v="1086"/>
    <n v="8.8393099999999993"/>
  </r>
  <r>
    <x v="1087"/>
    <n v="9.5540199999999995"/>
  </r>
  <r>
    <x v="1088"/>
    <n v="10.01263"/>
  </r>
  <r>
    <x v="1089"/>
    <n v="10.779159999999999"/>
  </r>
  <r>
    <x v="1090"/>
    <n v="10.893359999999999"/>
  </r>
  <r>
    <x v="1091"/>
    <n v="10.6953"/>
  </r>
  <r>
    <x v="1092"/>
    <n v="10.32845"/>
  </r>
  <r>
    <x v="1093"/>
    <n v="10.192349999999999"/>
  </r>
  <r>
    <x v="1094"/>
    <n v="10.319369999999999"/>
  </r>
  <r>
    <x v="1095"/>
    <n v="9.4063400000000001"/>
  </r>
  <r>
    <x v="1096"/>
    <n v="10.246449999999999"/>
  </r>
  <r>
    <x v="1097"/>
    <n v="11.555020000000001"/>
  </r>
  <r>
    <x v="1098"/>
    <n v="13.185510000000001"/>
  </r>
  <r>
    <x v="1099"/>
    <n v="12.95256"/>
  </r>
  <r>
    <x v="1100"/>
    <n v="12.6295"/>
  </r>
  <r>
    <x v="1101"/>
    <n v="13.664569999999999"/>
  </r>
  <r>
    <x v="1102"/>
    <n v="14.08944"/>
  </r>
  <r>
    <x v="1103"/>
    <n v="14.44136"/>
  </r>
  <r>
    <x v="1104"/>
    <n v="14.037559999999999"/>
  </r>
  <r>
    <x v="1105"/>
    <n v="14.04678"/>
  </r>
  <r>
    <x v="1106"/>
    <n v="13.6845"/>
  </r>
  <r>
    <x v="1107"/>
    <n v="13.447990000000001"/>
  </r>
  <r>
    <x v="1108"/>
    <n v="13.414529999999999"/>
  </r>
  <r>
    <x v="1109"/>
    <n v="13.605309999999999"/>
  </r>
  <r>
    <x v="1110"/>
    <n v="13.54584"/>
  </r>
  <r>
    <x v="1111"/>
    <n v="14.82762"/>
  </r>
  <r>
    <x v="1112"/>
    <n v="14.93408"/>
  </r>
  <r>
    <x v="1113"/>
    <n v="15.216189999999999"/>
  </r>
  <r>
    <x v="1114"/>
    <n v="14.35177"/>
  </r>
  <r>
    <x v="1115"/>
    <n v="13.81697"/>
  </r>
  <r>
    <x v="1116"/>
    <n v="13.236549999999999"/>
  </r>
  <r>
    <x v="1117"/>
    <n v="12.64189"/>
  </r>
  <r>
    <x v="1118"/>
    <n v="13.15912"/>
  </r>
  <r>
    <x v="1119"/>
    <n v="13.0718"/>
  </r>
  <r>
    <x v="1120"/>
    <n v="12.853579999999999"/>
  </r>
  <r>
    <x v="1121"/>
    <n v="13.171430000000001"/>
  </r>
  <r>
    <x v="1122"/>
    <n v="13.80288"/>
  </r>
  <r>
    <x v="1123"/>
    <n v="14.8324"/>
  </r>
  <r>
    <x v="1124"/>
    <n v="14.10304"/>
  </r>
  <r>
    <x v="1125"/>
    <n v="13.24666"/>
  </r>
  <r>
    <x v="1126"/>
    <n v="13.14828"/>
  </r>
  <r>
    <x v="1127"/>
    <n v="13.73624"/>
  </r>
  <r>
    <x v="1128"/>
    <n v="14.040469999999999"/>
  </r>
  <r>
    <x v="1129"/>
    <n v="14.131500000000001"/>
  </r>
  <r>
    <x v="1130"/>
    <n v="14.22292"/>
  </r>
  <r>
    <x v="1131"/>
    <n v="14.17212"/>
  </r>
  <r>
    <x v="1132"/>
    <n v="14.16197"/>
  </r>
  <r>
    <x v="1133"/>
    <n v="13.74926"/>
  </r>
  <r>
    <x v="1134"/>
    <n v="14.09676"/>
  </r>
  <r>
    <x v="1135"/>
    <n v="14.408390000000001"/>
  </r>
  <r>
    <x v="1136"/>
    <n v="15.53654"/>
  </r>
  <r>
    <x v="1137"/>
    <n v="15.5907"/>
  </r>
  <r>
    <x v="1138"/>
    <n v="15.023250000000001"/>
  </r>
  <r>
    <x v="1139"/>
    <n v="14.20068"/>
  </r>
  <r>
    <x v="1140"/>
    <n v="11.87058"/>
  </r>
  <r>
    <x v="1141"/>
    <n v="13.246"/>
  </r>
  <r>
    <x v="1142"/>
    <n v="14.8421"/>
  </r>
  <r>
    <x v="1143"/>
    <n v="15.97123"/>
  </r>
  <r>
    <x v="1144"/>
    <n v="16.238299999999999"/>
  </r>
  <r>
    <x v="1145"/>
    <n v="16.099139999999998"/>
  </r>
  <r>
    <x v="1146"/>
    <n v="15.7263"/>
  </r>
  <r>
    <x v="1147"/>
    <n v="15.505000000000001"/>
  </r>
  <r>
    <x v="1148"/>
    <n v="16.312010000000001"/>
  </r>
  <r>
    <x v="1149"/>
    <n v="16.0364"/>
  </r>
  <r>
    <x v="1150"/>
    <n v="16.29974"/>
  </r>
  <r>
    <x v="1151"/>
    <n v="16.01397"/>
  </r>
  <r>
    <x v="1152"/>
    <n v="15.47057"/>
  </r>
  <r>
    <x v="1153"/>
    <n v="15.54443"/>
  </r>
  <r>
    <x v="1154"/>
    <n v="15.78079"/>
  </r>
  <r>
    <x v="1155"/>
    <n v="15.331329999999999"/>
  </r>
  <r>
    <x v="1156"/>
    <n v="15.83379"/>
  </r>
  <r>
    <x v="1157"/>
    <n v="16.142320000000002"/>
  </r>
  <r>
    <x v="1158"/>
    <n v="16.085609999999999"/>
  </r>
  <r>
    <x v="1159"/>
    <n v="16.28884"/>
  </r>
  <r>
    <x v="1160"/>
    <n v="16.666879999999999"/>
  </r>
  <r>
    <x v="1161"/>
    <n v="16.881409999999999"/>
  </r>
  <r>
    <x v="1162"/>
    <n v="16.480460000000001"/>
  </r>
  <r>
    <x v="1163"/>
    <n v="16.693560000000002"/>
  </r>
  <r>
    <x v="1164"/>
    <n v="17.164899999999999"/>
  </r>
  <r>
    <x v="1165"/>
    <n v="17.030190000000001"/>
  </r>
  <r>
    <x v="1166"/>
    <n v="19.670200000000001"/>
  </r>
  <r>
    <x v="1167"/>
    <n v="21.368749999999999"/>
  </r>
  <r>
    <x v="1168"/>
    <n v="21.045919999999999"/>
  </r>
  <r>
    <x v="1169"/>
    <n v="21.552409999999998"/>
  </r>
  <r>
    <x v="1170"/>
    <n v="21.400099999999998"/>
  </r>
  <r>
    <x v="1171"/>
    <n v="21.837610000000002"/>
  </r>
  <r>
    <x v="1172"/>
    <n v="22.552779999999998"/>
  </r>
  <r>
    <x v="1173"/>
    <n v="20.537389999999998"/>
  </r>
  <r>
    <x v="1174"/>
    <n v="20.91161"/>
  </r>
  <r>
    <x v="1175"/>
    <n v="20.906600000000001"/>
  </r>
  <r>
    <x v="1176"/>
    <n v="22.175850000000001"/>
  </r>
  <r>
    <x v="1177"/>
    <n v="21.608499999999999"/>
  </r>
  <r>
    <x v="1178"/>
    <n v="20.778749999999999"/>
  </r>
  <r>
    <x v="1179"/>
    <n v="20.299320000000002"/>
  </r>
  <r>
    <x v="1180"/>
    <n v="20.938479999999998"/>
  </r>
  <r>
    <x v="1181"/>
    <n v="19.687249999999999"/>
  </r>
  <r>
    <x v="1182"/>
    <n v="18.828880000000002"/>
  </r>
  <r>
    <x v="1183"/>
    <n v="17.88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45355-B8C9-4058-BEC0-A5558DD9A73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7:G305" firstHeaderRow="1" firstDataRow="1" firstDataCol="1"/>
  <pivotFields count="5">
    <pivotField numFmtId="164" showAll="0">
      <items count="1185"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axis="axisRow" showAll="0" avgSubtotal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avg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7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sd="0" x="25"/>
        <item t="default"/>
      </items>
    </pivotField>
  </pivotFields>
  <rowFields count="2">
    <field x="4"/>
    <field x="2"/>
  </rowFields>
  <rowItems count="298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Average of PX_LAST" fld="1" subtotal="average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DBB12-955B-4CA2-B35F-1F76ABA8F05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:H310" firstHeaderRow="1" firstDataRow="1" firstDataCol="1"/>
  <pivotFields count="6">
    <pivotField numFmtId="164" showAll="0">
      <items count="1204"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axis="axisRow" showAll="0" avgSubtotal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avg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7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sd="0" x="25"/>
        <item t="default"/>
      </items>
    </pivotField>
  </pivotFields>
  <rowFields count="2">
    <field x="5"/>
    <field x="3"/>
  </rowFields>
  <rowItems count="302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Average of PX_LAST" fld="1" subtotal="average" baseField="5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825B-7172-43C4-BDE8-905F2A2E2598}">
  <dimension ref="A1:R1191"/>
  <sheetViews>
    <sheetView tabSelected="1" workbookViewId="0">
      <selection activeCell="M5" sqref="M5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11.33203125" bestFit="1" customWidth="1"/>
    <col min="6" max="6" width="12.5546875" bestFit="1" customWidth="1"/>
    <col min="7" max="7" width="18.109375" bestFit="1" customWidth="1"/>
    <col min="8" max="8" width="15" bestFit="1" customWidth="1"/>
    <col min="9" max="9" width="12.33203125" bestFit="1" customWidth="1"/>
    <col min="10" max="10" width="12" bestFit="1" customWidth="1"/>
    <col min="12" max="12" width="10.109375" bestFit="1" customWidth="1"/>
  </cols>
  <sheetData>
    <row r="1" spans="1:18" x14ac:dyDescent="0.3">
      <c r="A1" t="s">
        <v>0</v>
      </c>
      <c r="B1" t="s">
        <v>1</v>
      </c>
      <c r="G1" s="13" t="s">
        <v>56</v>
      </c>
      <c r="H1" s="13" t="s">
        <v>55</v>
      </c>
      <c r="I1" s="13" t="s">
        <v>1274</v>
      </c>
      <c r="J1" s="14">
        <v>277</v>
      </c>
      <c r="L1" s="20" t="s">
        <v>1275</v>
      </c>
      <c r="M1" s="8">
        <f>SUM(P8:P280)/J1</f>
        <v>64.032600409235002</v>
      </c>
    </row>
    <row r="2" spans="1:18" x14ac:dyDescent="0.3">
      <c r="A2" t="s">
        <v>2</v>
      </c>
      <c r="B2" s="1">
        <v>36847</v>
      </c>
      <c r="G2" s="13" t="s">
        <v>57</v>
      </c>
      <c r="H2" s="14" t="s">
        <v>58</v>
      </c>
      <c r="I2" s="14">
        <f>SUM(J8:J280)/J1</f>
        <v>27.829966910950674</v>
      </c>
      <c r="L2" s="13" t="s">
        <v>1276</v>
      </c>
      <c r="M2" s="8">
        <f>SQRT(M1)</f>
        <v>8.002037266173847</v>
      </c>
    </row>
    <row r="3" spans="1:18" x14ac:dyDescent="0.3">
      <c r="A3" t="s">
        <v>3</v>
      </c>
      <c r="B3" s="1">
        <v>45135</v>
      </c>
      <c r="G3" s="13" t="s">
        <v>59</v>
      </c>
      <c r="H3" s="14" t="s">
        <v>60</v>
      </c>
      <c r="I3" s="14">
        <f>SUM(M8:M280)/SUM(L8:L280)</f>
        <v>0.11665404690763931</v>
      </c>
      <c r="L3" s="13" t="s">
        <v>1279</v>
      </c>
      <c r="M3" s="8">
        <f>SUM(R8:R280)/J1</f>
        <v>2.2939425671647253</v>
      </c>
    </row>
    <row r="4" spans="1:18" x14ac:dyDescent="0.3">
      <c r="A4" t="s">
        <v>4</v>
      </c>
      <c r="B4" t="s">
        <v>5</v>
      </c>
      <c r="L4" s="13" t="s">
        <v>1278</v>
      </c>
      <c r="M4" s="8">
        <f>100-M3</f>
        <v>97.70605743283528</v>
      </c>
    </row>
    <row r="5" spans="1:18" x14ac:dyDescent="0.3">
      <c r="A5" t="s">
        <v>6</v>
      </c>
      <c r="B5" t="s">
        <v>7</v>
      </c>
    </row>
    <row r="7" spans="1:18" x14ac:dyDescent="0.3">
      <c r="A7" t="s">
        <v>8</v>
      </c>
      <c r="B7" t="s">
        <v>9</v>
      </c>
      <c r="F7" s="3" t="s">
        <v>12</v>
      </c>
      <c r="G7" t="s">
        <v>17</v>
      </c>
      <c r="I7" s="18" t="s">
        <v>8</v>
      </c>
      <c r="J7" s="18" t="s">
        <v>9</v>
      </c>
      <c r="K7" s="19" t="s">
        <v>14</v>
      </c>
      <c r="L7" s="19" t="s">
        <v>15</v>
      </c>
      <c r="M7" s="19" t="s">
        <v>16</v>
      </c>
      <c r="N7" s="19" t="s">
        <v>37</v>
      </c>
      <c r="O7" s="19" t="s">
        <v>61</v>
      </c>
      <c r="P7" s="19" t="s">
        <v>62</v>
      </c>
      <c r="Q7" s="19" t="s">
        <v>1273</v>
      </c>
      <c r="R7" s="19" t="s">
        <v>67</v>
      </c>
    </row>
    <row r="8" spans="1:18" x14ac:dyDescent="0.3">
      <c r="A8" s="2">
        <v>45128</v>
      </c>
      <c r="B8">
        <v>51.42069</v>
      </c>
      <c r="F8" s="4" t="s">
        <v>38</v>
      </c>
      <c r="G8">
        <v>20.00384</v>
      </c>
      <c r="I8" t="str">
        <f>_xlfn.CONCAT($F$8,"-",F9)</f>
        <v>2000-Nov</v>
      </c>
      <c r="J8">
        <v>18.357289999999999</v>
      </c>
      <c r="K8">
        <v>-136.5</v>
      </c>
      <c r="L8">
        <f>K8*K8</f>
        <v>18632.25</v>
      </c>
      <c r="M8">
        <f>K8*J8</f>
        <v>-2505.7700849999997</v>
      </c>
      <c r="N8">
        <f>$I$2+$I$3*K8</f>
        <v>11.906689508057909</v>
      </c>
      <c r="O8">
        <f>J8-N8</f>
        <v>6.4506004919420903</v>
      </c>
      <c r="P8">
        <f>O8*O8</f>
        <v>41.610246706643537</v>
      </c>
      <c r="Q8">
        <f>ABS(O8)/$J$1</f>
        <v>2.3287366396902855E-2</v>
      </c>
      <c r="R8">
        <f>Q8*100</f>
        <v>2.3287366396902853</v>
      </c>
    </row>
    <row r="9" spans="1:18" x14ac:dyDescent="0.3">
      <c r="A9" s="2">
        <v>45121</v>
      </c>
      <c r="B9">
        <v>51.172199999999997</v>
      </c>
      <c r="F9" s="7" t="s">
        <v>27</v>
      </c>
      <c r="G9">
        <v>18.357289999999999</v>
      </c>
      <c r="I9" t="str">
        <f>_xlfn.CONCAT($F$8,"-",F10)</f>
        <v>2000-Dec</v>
      </c>
      <c r="J9">
        <v>20.662459999999999</v>
      </c>
      <c r="K9">
        <v>-135.5</v>
      </c>
      <c r="L9">
        <f t="shared" ref="L9:L72" si="0">K9*K9</f>
        <v>18360.25</v>
      </c>
      <c r="M9">
        <f t="shared" ref="M9:M72" si="1">K9*J9</f>
        <v>-2799.7633299999998</v>
      </c>
      <c r="N9">
        <f t="shared" ref="N9:N72" si="2">$I$2+$I$3*K9</f>
        <v>12.023343554965548</v>
      </c>
      <c r="O9">
        <f t="shared" ref="O9:O72" si="3">J9-N9</f>
        <v>8.6391164450344515</v>
      </c>
      <c r="P9">
        <f t="shared" ref="P9:P72" si="4">O9*O9</f>
        <v>74.634332950864703</v>
      </c>
      <c r="Q9">
        <f t="shared" ref="Q9:Q72" si="5">ABS(O9)/$J$1</f>
        <v>3.1188146010954699E-2</v>
      </c>
      <c r="R9">
        <f t="shared" ref="R9:R72" si="6">Q9*100</f>
        <v>3.1188146010954698</v>
      </c>
    </row>
    <row r="10" spans="1:18" x14ac:dyDescent="0.3">
      <c r="A10" s="2">
        <v>45114</v>
      </c>
      <c r="B10">
        <v>48.293259999999997</v>
      </c>
      <c r="F10" s="7" t="s">
        <v>28</v>
      </c>
      <c r="G10">
        <v>20.662459999999999</v>
      </c>
      <c r="I10" t="str">
        <f>_xlfn.CONCAT($F$11,"-",F12)</f>
        <v>2001-Jan</v>
      </c>
      <c r="J10">
        <v>21.132862499999998</v>
      </c>
      <c r="K10">
        <v>-134.5</v>
      </c>
      <c r="L10">
        <f t="shared" si="0"/>
        <v>18090.25</v>
      </c>
      <c r="M10">
        <f t="shared" si="1"/>
        <v>-2842.3700062499997</v>
      </c>
      <c r="N10">
        <f t="shared" si="2"/>
        <v>12.139997601873187</v>
      </c>
      <c r="O10">
        <f t="shared" si="3"/>
        <v>8.9928648981268111</v>
      </c>
      <c r="P10">
        <f t="shared" si="4"/>
        <v>80.871619075961334</v>
      </c>
      <c r="Q10">
        <f t="shared" si="5"/>
        <v>3.2465216238724948E-2</v>
      </c>
      <c r="R10">
        <f t="shared" si="6"/>
        <v>3.2465216238724945</v>
      </c>
    </row>
    <row r="11" spans="1:18" x14ac:dyDescent="0.3">
      <c r="A11" s="2">
        <v>45107</v>
      </c>
      <c r="B11">
        <v>48.754330000000003</v>
      </c>
      <c r="F11" s="4" t="s">
        <v>39</v>
      </c>
      <c r="G11">
        <v>16.518861730769228</v>
      </c>
      <c r="I11" t="str">
        <f t="shared" ref="I11:I21" si="7">_xlfn.CONCAT($F$11,"-",F13)</f>
        <v>2001-Feb</v>
      </c>
      <c r="J11">
        <v>21.835725</v>
      </c>
      <c r="K11">
        <v>-133.5</v>
      </c>
      <c r="L11">
        <f t="shared" si="0"/>
        <v>17822.25</v>
      </c>
      <c r="M11">
        <f t="shared" si="1"/>
        <v>-2915.0692875</v>
      </c>
      <c r="N11">
        <f t="shared" si="2"/>
        <v>12.256651648780826</v>
      </c>
      <c r="O11">
        <f t="shared" si="3"/>
        <v>9.5790733512191739</v>
      </c>
      <c r="P11">
        <f t="shared" si="4"/>
        <v>91.758646268037339</v>
      </c>
      <c r="Q11">
        <f t="shared" si="5"/>
        <v>3.4581492242668495E-2</v>
      </c>
      <c r="R11">
        <f t="shared" si="6"/>
        <v>3.4581492242668497</v>
      </c>
    </row>
    <row r="12" spans="1:18" x14ac:dyDescent="0.3">
      <c r="A12" s="2">
        <v>45100</v>
      </c>
      <c r="B12">
        <v>46.913220000000003</v>
      </c>
      <c r="F12" s="7" t="s">
        <v>30</v>
      </c>
      <c r="G12">
        <v>21.132862499999998</v>
      </c>
      <c r="I12" t="str">
        <f t="shared" si="7"/>
        <v>2001-Mar</v>
      </c>
      <c r="J12">
        <v>19.255991999999999</v>
      </c>
      <c r="K12">
        <v>-132.5</v>
      </c>
      <c r="L12">
        <f t="shared" si="0"/>
        <v>17556.25</v>
      </c>
      <c r="M12">
        <f t="shared" si="1"/>
        <v>-2551.41894</v>
      </c>
      <c r="N12">
        <f t="shared" si="2"/>
        <v>12.373305695688465</v>
      </c>
      <c r="O12">
        <f t="shared" si="3"/>
        <v>6.8826863043115338</v>
      </c>
      <c r="P12">
        <f t="shared" si="4"/>
        <v>47.371370763557557</v>
      </c>
      <c r="Q12">
        <f t="shared" si="5"/>
        <v>2.4847242975853914E-2</v>
      </c>
      <c r="R12">
        <f t="shared" si="6"/>
        <v>2.4847242975853914</v>
      </c>
    </row>
    <row r="13" spans="1:18" x14ac:dyDescent="0.3">
      <c r="A13" s="2">
        <v>45093</v>
      </c>
      <c r="B13">
        <v>48.125999999999998</v>
      </c>
      <c r="F13" s="7" t="s">
        <v>31</v>
      </c>
      <c r="G13">
        <v>21.835725</v>
      </c>
      <c r="I13" t="str">
        <f t="shared" si="7"/>
        <v>2001-Apr</v>
      </c>
      <c r="J13">
        <v>16.680577499999998</v>
      </c>
      <c r="K13">
        <v>-131.5</v>
      </c>
      <c r="L13">
        <f t="shared" si="0"/>
        <v>17292.25</v>
      </c>
      <c r="M13">
        <f t="shared" si="1"/>
        <v>-2193.4959412499998</v>
      </c>
      <c r="N13">
        <f t="shared" si="2"/>
        <v>12.489959742596104</v>
      </c>
      <c r="O13">
        <f t="shared" si="3"/>
        <v>4.1906177574038939</v>
      </c>
      <c r="P13">
        <f t="shared" si="4"/>
        <v>17.561277188668839</v>
      </c>
      <c r="Q13">
        <f t="shared" si="5"/>
        <v>1.5128583961746909E-2</v>
      </c>
      <c r="R13">
        <f t="shared" si="6"/>
        <v>1.5128583961746909</v>
      </c>
    </row>
    <row r="14" spans="1:18" x14ac:dyDescent="0.3">
      <c r="A14" s="2">
        <v>45086</v>
      </c>
      <c r="B14">
        <v>44.856780000000001</v>
      </c>
      <c r="F14" s="7" t="s">
        <v>19</v>
      </c>
      <c r="G14">
        <v>19.255991999999999</v>
      </c>
      <c r="I14" t="str">
        <f t="shared" si="7"/>
        <v>2001-May</v>
      </c>
      <c r="J14">
        <v>16.08764</v>
      </c>
      <c r="K14">
        <v>-130.5</v>
      </c>
      <c r="L14">
        <f t="shared" si="0"/>
        <v>17030.25</v>
      </c>
      <c r="M14">
        <f t="shared" si="1"/>
        <v>-2099.4370199999998</v>
      </c>
      <c r="N14">
        <f t="shared" si="2"/>
        <v>12.606613789503744</v>
      </c>
      <c r="O14">
        <f t="shared" si="3"/>
        <v>3.4810262104962568</v>
      </c>
      <c r="P14">
        <f t="shared" si="4"/>
        <v>12.117543478161931</v>
      </c>
      <c r="Q14">
        <f t="shared" si="5"/>
        <v>1.2566881626340277E-2</v>
      </c>
      <c r="R14">
        <f t="shared" si="6"/>
        <v>1.2566881626340276</v>
      </c>
    </row>
    <row r="15" spans="1:18" x14ac:dyDescent="0.3">
      <c r="A15" s="2">
        <v>45079</v>
      </c>
      <c r="B15">
        <v>45.81203</v>
      </c>
      <c r="F15" s="7" t="s">
        <v>20</v>
      </c>
      <c r="G15">
        <v>16.680577499999998</v>
      </c>
      <c r="I15" t="str">
        <f t="shared" si="7"/>
        <v>2001-Jun</v>
      </c>
      <c r="J15">
        <v>15.628217999999999</v>
      </c>
      <c r="K15">
        <v>-129.5</v>
      </c>
      <c r="L15">
        <f t="shared" si="0"/>
        <v>16770.25</v>
      </c>
      <c r="M15">
        <f t="shared" si="1"/>
        <v>-2023.8542309999998</v>
      </c>
      <c r="N15">
        <f t="shared" si="2"/>
        <v>12.723267836411383</v>
      </c>
      <c r="O15">
        <f t="shared" si="3"/>
        <v>2.9049501635886159</v>
      </c>
      <c r="P15">
        <f t="shared" si="4"/>
        <v>8.4387354529335266</v>
      </c>
      <c r="Q15">
        <f t="shared" si="5"/>
        <v>1.0487184706096086E-2</v>
      </c>
      <c r="R15">
        <f t="shared" si="6"/>
        <v>1.0487184706096087</v>
      </c>
    </row>
    <row r="16" spans="1:18" x14ac:dyDescent="0.3">
      <c r="A16" s="2">
        <v>45072</v>
      </c>
      <c r="B16">
        <v>45.061520000000002</v>
      </c>
      <c r="F16" s="7" t="s">
        <v>21</v>
      </c>
      <c r="G16">
        <v>16.08764</v>
      </c>
      <c r="I16" t="str">
        <f t="shared" si="7"/>
        <v>2001-Jul</v>
      </c>
      <c r="J16">
        <v>16.038287500000003</v>
      </c>
      <c r="K16">
        <v>-128.5</v>
      </c>
      <c r="L16">
        <f t="shared" si="0"/>
        <v>16512.25</v>
      </c>
      <c r="M16">
        <f t="shared" si="1"/>
        <v>-2060.9199437500001</v>
      </c>
      <c r="N16">
        <f t="shared" si="2"/>
        <v>12.839921883319022</v>
      </c>
      <c r="O16">
        <f t="shared" si="3"/>
        <v>3.1983656166809808</v>
      </c>
      <c r="P16">
        <f t="shared" si="4"/>
        <v>10.229542617967111</v>
      </c>
      <c r="Q16">
        <f t="shared" si="5"/>
        <v>1.1546446269606429E-2</v>
      </c>
      <c r="R16">
        <f t="shared" si="6"/>
        <v>1.154644626960643</v>
      </c>
    </row>
    <row r="17" spans="1:18" x14ac:dyDescent="0.3">
      <c r="A17" s="2">
        <v>45065</v>
      </c>
      <c r="B17">
        <v>45.610520000000001</v>
      </c>
      <c r="F17" s="7" t="s">
        <v>22</v>
      </c>
      <c r="G17">
        <v>15.628217999999999</v>
      </c>
      <c r="I17" t="str">
        <f t="shared" si="7"/>
        <v>2001-Aug</v>
      </c>
      <c r="J17">
        <v>15.775414000000001</v>
      </c>
      <c r="K17">
        <v>-127.5</v>
      </c>
      <c r="L17">
        <f t="shared" si="0"/>
        <v>16256.25</v>
      </c>
      <c r="M17">
        <f t="shared" si="1"/>
        <v>-2011.3652850000001</v>
      </c>
      <c r="N17">
        <f t="shared" si="2"/>
        <v>12.956575930226663</v>
      </c>
      <c r="O17">
        <f t="shared" si="3"/>
        <v>2.8188380697733386</v>
      </c>
      <c r="P17">
        <f t="shared" si="4"/>
        <v>7.9458480636034814</v>
      </c>
      <c r="Q17">
        <f t="shared" si="5"/>
        <v>1.0176310721203388E-2</v>
      </c>
      <c r="R17">
        <f t="shared" si="6"/>
        <v>1.0176310721203388</v>
      </c>
    </row>
    <row r="18" spans="1:18" x14ac:dyDescent="0.3">
      <c r="A18" s="2">
        <v>45058</v>
      </c>
      <c r="B18">
        <v>44.612569999999998</v>
      </c>
      <c r="F18" s="7" t="s">
        <v>23</v>
      </c>
      <c r="G18">
        <v>16.038287500000003</v>
      </c>
      <c r="I18" t="str">
        <f t="shared" si="7"/>
        <v>2001-Sep</v>
      </c>
      <c r="J18">
        <v>13.5851275</v>
      </c>
      <c r="K18">
        <v>-126.5</v>
      </c>
      <c r="L18">
        <f t="shared" si="0"/>
        <v>16002.25</v>
      </c>
      <c r="M18">
        <f t="shared" si="1"/>
        <v>-1718.5186287500001</v>
      </c>
      <c r="N18">
        <f t="shared" si="2"/>
        <v>13.073229977134302</v>
      </c>
      <c r="O18">
        <f t="shared" si="3"/>
        <v>0.51189752286569856</v>
      </c>
      <c r="P18">
        <f t="shared" si="4"/>
        <v>0.26203907391603837</v>
      </c>
      <c r="Q18">
        <f t="shared" si="5"/>
        <v>1.8480054977101032E-3</v>
      </c>
      <c r="R18">
        <f t="shared" si="6"/>
        <v>0.18480054977101032</v>
      </c>
    </row>
    <row r="19" spans="1:18" x14ac:dyDescent="0.3">
      <c r="A19" s="2">
        <v>45051</v>
      </c>
      <c r="B19">
        <v>46.157890000000002</v>
      </c>
      <c r="F19" s="7" t="s">
        <v>24</v>
      </c>
      <c r="G19">
        <v>15.775414000000001</v>
      </c>
      <c r="I19" t="str">
        <f t="shared" si="7"/>
        <v>2001-Oct</v>
      </c>
      <c r="J19">
        <v>14.9080975</v>
      </c>
      <c r="K19">
        <v>-125.5</v>
      </c>
      <c r="L19">
        <f t="shared" si="0"/>
        <v>15750.25</v>
      </c>
      <c r="M19">
        <f t="shared" si="1"/>
        <v>-1870.9662362500001</v>
      </c>
      <c r="N19">
        <f t="shared" si="2"/>
        <v>13.189884024041941</v>
      </c>
      <c r="O19">
        <f t="shared" si="3"/>
        <v>1.7182134759580592</v>
      </c>
      <c r="P19">
        <f t="shared" si="4"/>
        <v>2.952257548963876</v>
      </c>
      <c r="Q19">
        <f t="shared" si="5"/>
        <v>6.2029367363106826E-3</v>
      </c>
      <c r="R19">
        <f t="shared" si="6"/>
        <v>0.62029367363106824</v>
      </c>
    </row>
    <row r="20" spans="1:18" x14ac:dyDescent="0.3">
      <c r="A20" s="2">
        <v>45044</v>
      </c>
      <c r="B20">
        <v>47.797319999999999</v>
      </c>
      <c r="F20" s="7" t="s">
        <v>25</v>
      </c>
      <c r="G20">
        <v>13.5851275</v>
      </c>
      <c r="I20" t="str">
        <f t="shared" si="7"/>
        <v>2001-Nov</v>
      </c>
      <c r="J20">
        <v>14.087554000000001</v>
      </c>
      <c r="K20">
        <v>-124.5</v>
      </c>
      <c r="L20">
        <f t="shared" si="0"/>
        <v>15500.25</v>
      </c>
      <c r="M20">
        <f t="shared" si="1"/>
        <v>-1753.9004730000001</v>
      </c>
      <c r="N20">
        <f t="shared" si="2"/>
        <v>13.30653807094958</v>
      </c>
      <c r="O20">
        <f t="shared" si="3"/>
        <v>0.78101592905042061</v>
      </c>
      <c r="P20">
        <f t="shared" si="4"/>
        <v>0.60998588143049159</v>
      </c>
      <c r="Q20">
        <f t="shared" si="5"/>
        <v>2.8195520904347312E-3</v>
      </c>
      <c r="R20">
        <f t="shared" si="6"/>
        <v>0.2819552090434731</v>
      </c>
    </row>
    <row r="21" spans="1:18" x14ac:dyDescent="0.3">
      <c r="A21" s="2">
        <v>45037</v>
      </c>
      <c r="B21">
        <v>47.725709999999999</v>
      </c>
      <c r="F21" s="7" t="s">
        <v>26</v>
      </c>
      <c r="G21">
        <v>14.9080975</v>
      </c>
      <c r="I21" t="str">
        <f t="shared" si="7"/>
        <v>2001-Dec</v>
      </c>
      <c r="J21">
        <v>13.5429125</v>
      </c>
      <c r="K21">
        <v>-123.5</v>
      </c>
      <c r="L21">
        <f t="shared" si="0"/>
        <v>15252.25</v>
      </c>
      <c r="M21">
        <f t="shared" si="1"/>
        <v>-1672.54969375</v>
      </c>
      <c r="N21">
        <f t="shared" si="2"/>
        <v>13.423192117857219</v>
      </c>
      <c r="O21">
        <f t="shared" si="3"/>
        <v>0.11972038214278058</v>
      </c>
      <c r="P21">
        <f t="shared" si="4"/>
        <v>1.4332969900413415E-2</v>
      </c>
      <c r="Q21">
        <f t="shared" si="5"/>
        <v>4.3220354564180716E-4</v>
      </c>
      <c r="R21">
        <f t="shared" si="6"/>
        <v>4.3220354564180719E-2</v>
      </c>
    </row>
    <row r="22" spans="1:18" x14ac:dyDescent="0.3">
      <c r="A22" s="2">
        <v>45030</v>
      </c>
      <c r="B22">
        <v>47.068179999999998</v>
      </c>
      <c r="F22" s="7" t="s">
        <v>27</v>
      </c>
      <c r="G22">
        <v>14.087554000000001</v>
      </c>
      <c r="I22" t="str">
        <f t="shared" ref="I22:I33" si="8">_xlfn.CONCAT($F$24,"-",F25)</f>
        <v>2002-Jan</v>
      </c>
      <c r="J22">
        <v>13.977437500000001</v>
      </c>
      <c r="K22">
        <v>-122.5</v>
      </c>
      <c r="L22">
        <f t="shared" si="0"/>
        <v>15006.25</v>
      </c>
      <c r="M22">
        <f t="shared" si="1"/>
        <v>-1712.23609375</v>
      </c>
      <c r="N22">
        <f t="shared" si="2"/>
        <v>13.539846164764858</v>
      </c>
      <c r="O22">
        <f t="shared" si="3"/>
        <v>0.43759133523514215</v>
      </c>
      <c r="P22">
        <f t="shared" si="4"/>
        <v>0.19148617667287457</v>
      </c>
      <c r="Q22">
        <f t="shared" si="5"/>
        <v>1.579752112762246E-3</v>
      </c>
      <c r="R22">
        <f t="shared" si="6"/>
        <v>0.1579752112762246</v>
      </c>
    </row>
    <row r="23" spans="1:18" x14ac:dyDescent="0.3">
      <c r="A23" s="2">
        <v>45023</v>
      </c>
      <c r="B23">
        <v>45.868130000000001</v>
      </c>
      <c r="F23" s="7" t="s">
        <v>28</v>
      </c>
      <c r="G23">
        <v>13.5429125</v>
      </c>
      <c r="I23" t="str">
        <f t="shared" si="8"/>
        <v>2002-Feb</v>
      </c>
      <c r="J23">
        <v>12.931597500000001</v>
      </c>
      <c r="K23">
        <v>-121.5</v>
      </c>
      <c r="L23">
        <f t="shared" si="0"/>
        <v>14762.25</v>
      </c>
      <c r="M23">
        <f t="shared" si="1"/>
        <v>-1571.1890962500001</v>
      </c>
      <c r="N23">
        <f t="shared" si="2"/>
        <v>13.656500211672498</v>
      </c>
      <c r="O23">
        <f t="shared" si="3"/>
        <v>-0.72490271167249709</v>
      </c>
      <c r="P23">
        <f t="shared" si="4"/>
        <v>0.52548394139013943</v>
      </c>
      <c r="Q23">
        <f t="shared" si="5"/>
        <v>2.6169772984566682E-3</v>
      </c>
      <c r="R23">
        <f t="shared" si="6"/>
        <v>0.2616977298456668</v>
      </c>
    </row>
    <row r="24" spans="1:18" x14ac:dyDescent="0.3">
      <c r="A24" s="2">
        <v>45016</v>
      </c>
      <c r="B24">
        <v>46.655180000000001</v>
      </c>
      <c r="F24" s="4" t="s">
        <v>40</v>
      </c>
      <c r="G24">
        <v>12.020699230769232</v>
      </c>
      <c r="I24" t="str">
        <f t="shared" si="8"/>
        <v>2002-Mar</v>
      </c>
      <c r="J24">
        <v>14.311112</v>
      </c>
      <c r="K24">
        <v>-120.5</v>
      </c>
      <c r="L24">
        <f t="shared" si="0"/>
        <v>14520.25</v>
      </c>
      <c r="M24">
        <f t="shared" si="1"/>
        <v>-1724.488996</v>
      </c>
      <c r="N24">
        <f t="shared" si="2"/>
        <v>13.773154258580137</v>
      </c>
      <c r="O24">
        <f t="shared" si="3"/>
        <v>0.53795774141986286</v>
      </c>
      <c r="P24">
        <f t="shared" si="4"/>
        <v>0.28939853155356005</v>
      </c>
      <c r="Q24">
        <f t="shared" si="5"/>
        <v>1.9420857090969778E-3</v>
      </c>
      <c r="R24">
        <f t="shared" si="6"/>
        <v>0.19420857090969779</v>
      </c>
    </row>
    <row r="25" spans="1:18" x14ac:dyDescent="0.3">
      <c r="A25" s="2">
        <v>45009</v>
      </c>
      <c r="B25">
        <v>44.915210000000002</v>
      </c>
      <c r="F25" s="7" t="s">
        <v>30</v>
      </c>
      <c r="G25">
        <v>13.977437500000001</v>
      </c>
      <c r="I25" t="str">
        <f t="shared" si="8"/>
        <v>2002-Apr</v>
      </c>
      <c r="J25">
        <v>13.848324999999999</v>
      </c>
      <c r="K25">
        <v>-119.5</v>
      </c>
      <c r="L25">
        <f t="shared" si="0"/>
        <v>14280.25</v>
      </c>
      <c r="M25">
        <f t="shared" si="1"/>
        <v>-1654.8748374999998</v>
      </c>
      <c r="N25">
        <f t="shared" si="2"/>
        <v>13.889808305487776</v>
      </c>
      <c r="O25">
        <f t="shared" si="3"/>
        <v>-4.1483305487776789E-2</v>
      </c>
      <c r="P25">
        <f t="shared" si="4"/>
        <v>1.7208646341922119E-3</v>
      </c>
      <c r="Q25">
        <f t="shared" si="5"/>
        <v>1.4975922558764184E-4</v>
      </c>
      <c r="R25">
        <f t="shared" si="6"/>
        <v>1.4975922558764183E-2</v>
      </c>
    </row>
    <row r="26" spans="1:18" x14ac:dyDescent="0.3">
      <c r="A26" s="2">
        <v>45002</v>
      </c>
      <c r="B26">
        <v>43.097569999999997</v>
      </c>
      <c r="F26" s="7" t="s">
        <v>31</v>
      </c>
      <c r="G26">
        <v>12.931597500000001</v>
      </c>
      <c r="I26" t="str">
        <f t="shared" si="8"/>
        <v>2002-May</v>
      </c>
      <c r="J26">
        <v>13.931638000000001</v>
      </c>
      <c r="K26">
        <v>-118.5</v>
      </c>
      <c r="L26">
        <f t="shared" si="0"/>
        <v>14042.25</v>
      </c>
      <c r="M26">
        <f t="shared" si="1"/>
        <v>-1650.8991030000002</v>
      </c>
      <c r="N26">
        <f t="shared" si="2"/>
        <v>14.006462352395415</v>
      </c>
      <c r="O26">
        <f t="shared" si="3"/>
        <v>-7.482435239541374E-2</v>
      </c>
      <c r="P26">
        <f t="shared" si="4"/>
        <v>5.5986837113930583E-3</v>
      </c>
      <c r="Q26">
        <f t="shared" si="5"/>
        <v>2.7012401586791961E-4</v>
      </c>
      <c r="R26">
        <f t="shared" si="6"/>
        <v>2.7012401586791961E-2</v>
      </c>
    </row>
    <row r="27" spans="1:18" x14ac:dyDescent="0.3">
      <c r="A27" s="2">
        <v>44995</v>
      </c>
      <c r="B27">
        <v>43.262799999999999</v>
      </c>
      <c r="F27" s="7" t="s">
        <v>19</v>
      </c>
      <c r="G27">
        <v>14.311112</v>
      </c>
      <c r="I27" t="str">
        <f t="shared" si="8"/>
        <v>2002-Jun</v>
      </c>
      <c r="J27">
        <v>13.334017499999998</v>
      </c>
      <c r="K27">
        <v>-117.5</v>
      </c>
      <c r="L27">
        <f t="shared" si="0"/>
        <v>13806.25</v>
      </c>
      <c r="M27">
        <f t="shared" si="1"/>
        <v>-1566.7470562499998</v>
      </c>
      <c r="N27">
        <f t="shared" si="2"/>
        <v>14.123116399303054</v>
      </c>
      <c r="O27">
        <f t="shared" si="3"/>
        <v>-0.7890988993030561</v>
      </c>
      <c r="P27">
        <f t="shared" si="4"/>
        <v>0.6226770728812947</v>
      </c>
      <c r="Q27">
        <f t="shared" si="5"/>
        <v>2.8487324884586863E-3</v>
      </c>
      <c r="R27">
        <f t="shared" si="6"/>
        <v>0.28487324884586862</v>
      </c>
    </row>
    <row r="28" spans="1:18" x14ac:dyDescent="0.3">
      <c r="A28" s="2">
        <v>44988</v>
      </c>
      <c r="B28">
        <v>43.976880000000001</v>
      </c>
      <c r="F28" s="7" t="s">
        <v>20</v>
      </c>
      <c r="G28">
        <v>13.848324999999999</v>
      </c>
      <c r="I28" t="str">
        <f t="shared" si="8"/>
        <v>2002-Jul</v>
      </c>
      <c r="J28">
        <v>11.098330000000001</v>
      </c>
      <c r="K28">
        <v>-116.5</v>
      </c>
      <c r="L28">
        <f t="shared" si="0"/>
        <v>13572.25</v>
      </c>
      <c r="M28">
        <f t="shared" si="1"/>
        <v>-1292.9554450000001</v>
      </c>
      <c r="N28">
        <f t="shared" si="2"/>
        <v>14.239770446210695</v>
      </c>
      <c r="O28">
        <f t="shared" si="3"/>
        <v>-3.1414404462106944</v>
      </c>
      <c r="P28">
        <f t="shared" si="4"/>
        <v>9.8686480770884462</v>
      </c>
      <c r="Q28">
        <f t="shared" si="5"/>
        <v>1.1340940239027777E-2</v>
      </c>
      <c r="R28">
        <f t="shared" si="6"/>
        <v>1.1340940239027777</v>
      </c>
    </row>
    <row r="29" spans="1:18" x14ac:dyDescent="0.3">
      <c r="A29" s="2">
        <v>44981</v>
      </c>
      <c r="B29">
        <v>42.209090000000003</v>
      </c>
      <c r="F29" s="7" t="s">
        <v>21</v>
      </c>
      <c r="G29">
        <v>13.931638000000001</v>
      </c>
      <c r="I29" t="str">
        <f t="shared" si="8"/>
        <v>2002-Aug</v>
      </c>
      <c r="J29">
        <v>10.485766</v>
      </c>
      <c r="K29">
        <v>-115.5</v>
      </c>
      <c r="L29">
        <f t="shared" si="0"/>
        <v>13340.25</v>
      </c>
      <c r="M29">
        <f t="shared" si="1"/>
        <v>-1211.1059729999999</v>
      </c>
      <c r="N29">
        <f t="shared" si="2"/>
        <v>14.356424493118334</v>
      </c>
      <c r="O29">
        <f t="shared" si="3"/>
        <v>-3.8706584931183343</v>
      </c>
      <c r="P29">
        <f t="shared" si="4"/>
        <v>14.981997170349095</v>
      </c>
      <c r="Q29">
        <f t="shared" si="5"/>
        <v>1.3973496365048138E-2</v>
      </c>
      <c r="R29">
        <f t="shared" si="6"/>
        <v>1.3973496365048137</v>
      </c>
    </row>
    <row r="30" spans="1:18" x14ac:dyDescent="0.3">
      <c r="A30" s="2">
        <v>44974</v>
      </c>
      <c r="B30">
        <v>43.618380000000002</v>
      </c>
      <c r="F30" s="7" t="s">
        <v>22</v>
      </c>
      <c r="G30">
        <v>13.334017499999998</v>
      </c>
      <c r="I30" t="str">
        <f t="shared" si="8"/>
        <v>2002-Sep</v>
      </c>
      <c r="J30">
        <v>9.7962799999999994</v>
      </c>
      <c r="K30">
        <v>-114.5</v>
      </c>
      <c r="L30">
        <f t="shared" si="0"/>
        <v>13110.25</v>
      </c>
      <c r="M30">
        <f t="shared" si="1"/>
        <v>-1121.6740599999998</v>
      </c>
      <c r="N30">
        <f t="shared" si="2"/>
        <v>14.473078540025973</v>
      </c>
      <c r="O30">
        <f t="shared" si="3"/>
        <v>-4.6767985400259739</v>
      </c>
      <c r="P30">
        <f t="shared" si="4"/>
        <v>21.872444583989083</v>
      </c>
      <c r="Q30">
        <f t="shared" si="5"/>
        <v>1.6883749241971027E-2</v>
      </c>
      <c r="R30">
        <f t="shared" si="6"/>
        <v>1.6883749241971027</v>
      </c>
    </row>
    <row r="31" spans="1:18" x14ac:dyDescent="0.3">
      <c r="A31" s="2">
        <v>44967</v>
      </c>
      <c r="B31">
        <v>43.648119999999999</v>
      </c>
      <c r="F31" s="7" t="s">
        <v>23</v>
      </c>
      <c r="G31">
        <v>11.098330000000001</v>
      </c>
      <c r="I31" t="str">
        <f t="shared" si="8"/>
        <v>2002-Oct</v>
      </c>
      <c r="J31">
        <v>9.1382174999999997</v>
      </c>
      <c r="K31">
        <v>-113.5</v>
      </c>
      <c r="L31">
        <f t="shared" si="0"/>
        <v>12882.25</v>
      </c>
      <c r="M31">
        <f t="shared" si="1"/>
        <v>-1037.1876862500001</v>
      </c>
      <c r="N31">
        <f t="shared" si="2"/>
        <v>14.589732586933613</v>
      </c>
      <c r="O31">
        <f t="shared" si="3"/>
        <v>-5.4515150869336129</v>
      </c>
      <c r="P31">
        <f t="shared" si="4"/>
        <v>29.719016743064795</v>
      </c>
      <c r="Q31">
        <f t="shared" si="5"/>
        <v>1.9680559880626763E-2</v>
      </c>
      <c r="R31">
        <f t="shared" si="6"/>
        <v>1.9680559880626762</v>
      </c>
    </row>
    <row r="32" spans="1:18" x14ac:dyDescent="0.3">
      <c r="A32" s="2">
        <v>44960</v>
      </c>
      <c r="B32">
        <v>46.011659999999999</v>
      </c>
      <c r="F32" s="7" t="s">
        <v>24</v>
      </c>
      <c r="G32">
        <v>10.485766</v>
      </c>
      <c r="I32" t="str">
        <f t="shared" si="8"/>
        <v>2002-Nov</v>
      </c>
      <c r="J32">
        <v>10.667724</v>
      </c>
      <c r="K32">
        <v>-112.5</v>
      </c>
      <c r="L32">
        <f t="shared" si="0"/>
        <v>12656.25</v>
      </c>
      <c r="M32">
        <f t="shared" si="1"/>
        <v>-1200.11895</v>
      </c>
      <c r="N32">
        <f t="shared" si="2"/>
        <v>14.706386633841252</v>
      </c>
      <c r="O32">
        <f t="shared" si="3"/>
        <v>-4.0386626338412519</v>
      </c>
      <c r="P32">
        <f t="shared" si="4"/>
        <v>16.310795869985558</v>
      </c>
      <c r="Q32">
        <f t="shared" si="5"/>
        <v>1.4580009508452172E-2</v>
      </c>
      <c r="R32">
        <f t="shared" si="6"/>
        <v>1.4580009508452172</v>
      </c>
    </row>
    <row r="33" spans="1:18" x14ac:dyDescent="0.3">
      <c r="A33" s="2">
        <v>44953</v>
      </c>
      <c r="B33">
        <v>43.408230000000003</v>
      </c>
      <c r="F33" s="7" t="s">
        <v>25</v>
      </c>
      <c r="G33">
        <v>9.7962799999999994</v>
      </c>
      <c r="I33" t="str">
        <f t="shared" si="8"/>
        <v>2002-Dec</v>
      </c>
      <c r="J33">
        <v>10.399585</v>
      </c>
      <c r="K33">
        <v>-111.5</v>
      </c>
      <c r="L33">
        <f t="shared" si="0"/>
        <v>12432.25</v>
      </c>
      <c r="M33">
        <f t="shared" si="1"/>
        <v>-1159.5537274999999</v>
      </c>
      <c r="N33">
        <f t="shared" si="2"/>
        <v>14.823040680748891</v>
      </c>
      <c r="O33">
        <f t="shared" si="3"/>
        <v>-4.4234556807488907</v>
      </c>
      <c r="P33">
        <f t="shared" si="4"/>
        <v>19.566960159549634</v>
      </c>
      <c r="Q33">
        <f t="shared" si="5"/>
        <v>1.5969154082125958E-2</v>
      </c>
      <c r="R33">
        <f t="shared" si="6"/>
        <v>1.5969154082125958</v>
      </c>
    </row>
    <row r="34" spans="1:18" x14ac:dyDescent="0.3">
      <c r="A34" s="2">
        <v>44946</v>
      </c>
      <c r="B34">
        <v>43.386839999999999</v>
      </c>
      <c r="F34" s="7" t="s">
        <v>26</v>
      </c>
      <c r="G34">
        <v>9.1382174999999997</v>
      </c>
      <c r="I34" t="str">
        <f>_xlfn.CONCAT($F$37,"-",F38)</f>
        <v>2003-Jan</v>
      </c>
      <c r="J34">
        <v>11.282258000000001</v>
      </c>
      <c r="K34">
        <v>-110.5</v>
      </c>
      <c r="L34">
        <f t="shared" si="0"/>
        <v>12210.25</v>
      </c>
      <c r="M34">
        <f t="shared" si="1"/>
        <v>-1246.689509</v>
      </c>
      <c r="N34">
        <f t="shared" si="2"/>
        <v>14.93969472765653</v>
      </c>
      <c r="O34">
        <f t="shared" si="3"/>
        <v>-3.6574367276565294</v>
      </c>
      <c r="P34">
        <f t="shared" si="4"/>
        <v>13.376843416810901</v>
      </c>
      <c r="Q34">
        <f t="shared" si="5"/>
        <v>1.3203742699121045E-2</v>
      </c>
      <c r="R34">
        <f t="shared" si="6"/>
        <v>1.3203742699121046</v>
      </c>
    </row>
    <row r="35" spans="1:18" x14ac:dyDescent="0.3">
      <c r="A35" s="2">
        <v>44939</v>
      </c>
      <c r="B35">
        <v>41.400860000000002</v>
      </c>
      <c r="F35" s="7" t="s">
        <v>27</v>
      </c>
      <c r="G35">
        <v>10.667724</v>
      </c>
      <c r="I35" t="str">
        <f t="shared" ref="I35:I45" si="9">_xlfn.CONCAT($F$37,"-",F39)</f>
        <v>2003-Feb</v>
      </c>
      <c r="J35">
        <v>10.4283825</v>
      </c>
      <c r="K35">
        <v>-109.5</v>
      </c>
      <c r="L35">
        <f t="shared" si="0"/>
        <v>11990.25</v>
      </c>
      <c r="M35">
        <f t="shared" si="1"/>
        <v>-1141.9078837499999</v>
      </c>
      <c r="N35">
        <f t="shared" si="2"/>
        <v>15.056348774564169</v>
      </c>
      <c r="O35">
        <f t="shared" si="3"/>
        <v>-4.6279662745641694</v>
      </c>
      <c r="P35">
        <f t="shared" si="4"/>
        <v>21.418071838503359</v>
      </c>
      <c r="Q35">
        <f t="shared" si="5"/>
        <v>1.6707459474960901E-2</v>
      </c>
      <c r="R35">
        <f t="shared" si="6"/>
        <v>1.6707459474960902</v>
      </c>
    </row>
    <row r="36" spans="1:18" x14ac:dyDescent="0.3">
      <c r="A36" s="2">
        <v>44932</v>
      </c>
      <c r="B36">
        <v>39.413789999999999</v>
      </c>
      <c r="F36" s="7" t="s">
        <v>28</v>
      </c>
      <c r="G36">
        <v>10.399585</v>
      </c>
      <c r="I36" t="str">
        <f t="shared" si="9"/>
        <v>2003-Mar</v>
      </c>
      <c r="J36">
        <v>10.015822500000001</v>
      </c>
      <c r="K36">
        <v>-108.5</v>
      </c>
      <c r="L36">
        <f t="shared" si="0"/>
        <v>11772.25</v>
      </c>
      <c r="M36">
        <f t="shared" si="1"/>
        <v>-1086.71674125</v>
      </c>
      <c r="N36">
        <f t="shared" si="2"/>
        <v>15.173002821471808</v>
      </c>
      <c r="O36">
        <f t="shared" si="3"/>
        <v>-5.1571803214718077</v>
      </c>
      <c r="P36">
        <f t="shared" si="4"/>
        <v>26.596508868176059</v>
      </c>
      <c r="Q36">
        <f t="shared" si="5"/>
        <v>1.8617979499898223E-2</v>
      </c>
      <c r="R36">
        <f t="shared" si="6"/>
        <v>1.8617979499898223</v>
      </c>
    </row>
    <row r="37" spans="1:18" x14ac:dyDescent="0.3">
      <c r="A37" s="2">
        <v>44925</v>
      </c>
      <c r="B37">
        <v>37.6813</v>
      </c>
      <c r="F37" s="4" t="s">
        <v>41</v>
      </c>
      <c r="G37">
        <v>14.701146153846159</v>
      </c>
      <c r="I37" t="str">
        <f t="shared" si="9"/>
        <v>2003-Apr</v>
      </c>
      <c r="J37">
        <v>11.181727500000001</v>
      </c>
      <c r="K37">
        <v>-107.5</v>
      </c>
      <c r="L37">
        <f t="shared" si="0"/>
        <v>11556.25</v>
      </c>
      <c r="M37">
        <f t="shared" si="1"/>
        <v>-1202.0357062500002</v>
      </c>
      <c r="N37">
        <f t="shared" si="2"/>
        <v>15.289656868379447</v>
      </c>
      <c r="O37">
        <f t="shared" si="3"/>
        <v>-4.1079293683794464</v>
      </c>
      <c r="P37">
        <f t="shared" si="4"/>
        <v>16.875083695594359</v>
      </c>
      <c r="Q37">
        <f t="shared" si="5"/>
        <v>1.4830069921947461E-2</v>
      </c>
      <c r="R37">
        <f t="shared" si="6"/>
        <v>1.483006992194746</v>
      </c>
    </row>
    <row r="38" spans="1:18" x14ac:dyDescent="0.3">
      <c r="A38" s="2">
        <v>44918</v>
      </c>
      <c r="B38">
        <v>37.269089999999998</v>
      </c>
      <c r="F38" s="7" t="s">
        <v>30</v>
      </c>
      <c r="G38">
        <v>11.282258000000001</v>
      </c>
      <c r="I38" t="str">
        <f t="shared" si="9"/>
        <v>2003-May</v>
      </c>
      <c r="J38">
        <v>13.653334000000001</v>
      </c>
      <c r="K38">
        <v>-106.5</v>
      </c>
      <c r="L38">
        <f t="shared" si="0"/>
        <v>11342.25</v>
      </c>
      <c r="M38">
        <f t="shared" si="1"/>
        <v>-1454.0800710000001</v>
      </c>
      <c r="N38">
        <f t="shared" si="2"/>
        <v>15.406310915287088</v>
      </c>
      <c r="O38">
        <f t="shared" si="3"/>
        <v>-1.7529769152870873</v>
      </c>
      <c r="P38">
        <f t="shared" si="4"/>
        <v>3.0729280655294322</v>
      </c>
      <c r="Q38">
        <f t="shared" si="5"/>
        <v>6.3284365172819037E-3</v>
      </c>
      <c r="R38">
        <f t="shared" si="6"/>
        <v>0.63284365172819035</v>
      </c>
    </row>
    <row r="39" spans="1:18" x14ac:dyDescent="0.3">
      <c r="A39" s="2">
        <v>44911</v>
      </c>
      <c r="B39">
        <v>38.262839999999997</v>
      </c>
      <c r="F39" s="7" t="s">
        <v>31</v>
      </c>
      <c r="G39">
        <v>10.4283825</v>
      </c>
      <c r="I39" t="str">
        <f t="shared" si="9"/>
        <v>2003-Jun</v>
      </c>
      <c r="J39">
        <v>14.972289999999999</v>
      </c>
      <c r="K39">
        <v>-105.5</v>
      </c>
      <c r="L39">
        <f t="shared" si="0"/>
        <v>11130.25</v>
      </c>
      <c r="M39">
        <f t="shared" si="1"/>
        <v>-1579.576595</v>
      </c>
      <c r="N39">
        <f t="shared" si="2"/>
        <v>15.522964962194727</v>
      </c>
      <c r="O39">
        <f t="shared" si="3"/>
        <v>-0.55067496219472822</v>
      </c>
      <c r="P39">
        <f t="shared" si="4"/>
        <v>0.30324291398816539</v>
      </c>
      <c r="Q39">
        <f t="shared" si="5"/>
        <v>1.9879962534105713E-3</v>
      </c>
      <c r="R39">
        <f t="shared" si="6"/>
        <v>0.19879962534105713</v>
      </c>
    </row>
    <row r="40" spans="1:18" x14ac:dyDescent="0.3">
      <c r="A40" s="2">
        <v>44904</v>
      </c>
      <c r="B40">
        <v>40.169710000000002</v>
      </c>
      <c r="F40" s="7" t="s">
        <v>19</v>
      </c>
      <c r="G40">
        <v>10.015822500000001</v>
      </c>
      <c r="I40" t="str">
        <f t="shared" si="9"/>
        <v>2003-Jul</v>
      </c>
      <c r="J40">
        <v>14.096432499999999</v>
      </c>
      <c r="K40">
        <v>-104.5</v>
      </c>
      <c r="L40">
        <f t="shared" si="0"/>
        <v>10920.25</v>
      </c>
      <c r="M40">
        <f t="shared" si="1"/>
        <v>-1473.0771962499998</v>
      </c>
      <c r="N40">
        <f t="shared" si="2"/>
        <v>15.639619009102367</v>
      </c>
      <c r="O40">
        <f t="shared" si="3"/>
        <v>-1.5431865091023678</v>
      </c>
      <c r="P40">
        <f t="shared" si="4"/>
        <v>2.381424601875552</v>
      </c>
      <c r="Q40">
        <f t="shared" si="5"/>
        <v>5.5710704299724466E-3</v>
      </c>
      <c r="R40">
        <f t="shared" si="6"/>
        <v>0.55710704299724467</v>
      </c>
    </row>
    <row r="41" spans="1:18" x14ac:dyDescent="0.3">
      <c r="A41" s="2">
        <v>44897</v>
      </c>
      <c r="B41">
        <v>40.99877</v>
      </c>
      <c r="F41" s="7" t="s">
        <v>20</v>
      </c>
      <c r="G41">
        <v>11.181727500000001</v>
      </c>
      <c r="I41" t="str">
        <f t="shared" si="9"/>
        <v>2003-Aug</v>
      </c>
      <c r="J41">
        <v>15.638107999999999</v>
      </c>
      <c r="K41">
        <v>-103.5</v>
      </c>
      <c r="L41">
        <f t="shared" si="0"/>
        <v>10712.25</v>
      </c>
      <c r="M41">
        <f t="shared" si="1"/>
        <v>-1618.5441779999999</v>
      </c>
      <c r="N41">
        <f t="shared" si="2"/>
        <v>15.756273056010006</v>
      </c>
      <c r="O41">
        <f t="shared" si="3"/>
        <v>-0.11816505601000671</v>
      </c>
      <c r="P41">
        <f t="shared" si="4"/>
        <v>1.3962980461848023E-2</v>
      </c>
      <c r="Q41">
        <f t="shared" si="5"/>
        <v>4.2658864985561988E-4</v>
      </c>
      <c r="R41">
        <f t="shared" si="6"/>
        <v>4.2658864985561991E-2</v>
      </c>
    </row>
    <row r="42" spans="1:18" x14ac:dyDescent="0.3">
      <c r="A42" s="2">
        <v>44890</v>
      </c>
      <c r="B42">
        <v>39.828960000000002</v>
      </c>
      <c r="F42" s="7" t="s">
        <v>21</v>
      </c>
      <c r="G42">
        <v>13.653334000000001</v>
      </c>
      <c r="I42" t="str">
        <f t="shared" si="9"/>
        <v>2003-Sep</v>
      </c>
      <c r="J42">
        <v>17.155267500000001</v>
      </c>
      <c r="K42">
        <v>-102.5</v>
      </c>
      <c r="L42">
        <f t="shared" si="0"/>
        <v>10506.25</v>
      </c>
      <c r="M42">
        <f t="shared" si="1"/>
        <v>-1758.41491875</v>
      </c>
      <c r="N42">
        <f t="shared" si="2"/>
        <v>15.872927102917645</v>
      </c>
      <c r="O42">
        <f t="shared" si="3"/>
        <v>1.2823403970823559</v>
      </c>
      <c r="P42">
        <f t="shared" si="4"/>
        <v>1.6443968939893343</v>
      </c>
      <c r="Q42">
        <f t="shared" si="5"/>
        <v>4.6293877150987576E-3</v>
      </c>
      <c r="R42">
        <f t="shared" si="6"/>
        <v>0.46293877150987578</v>
      </c>
    </row>
    <row r="43" spans="1:18" x14ac:dyDescent="0.3">
      <c r="A43" s="2">
        <v>44883</v>
      </c>
      <c r="B43">
        <v>39.885379999999998</v>
      </c>
      <c r="F43" s="7" t="s">
        <v>22</v>
      </c>
      <c r="G43">
        <v>14.972289999999999</v>
      </c>
      <c r="I43" t="str">
        <f t="shared" si="9"/>
        <v>2003-Oct</v>
      </c>
      <c r="J43">
        <v>19.008271999999998</v>
      </c>
      <c r="K43">
        <v>-101.5</v>
      </c>
      <c r="L43">
        <f t="shared" si="0"/>
        <v>10302.25</v>
      </c>
      <c r="M43">
        <f t="shared" si="1"/>
        <v>-1929.3396079999998</v>
      </c>
      <c r="N43">
        <f t="shared" si="2"/>
        <v>15.989581149825284</v>
      </c>
      <c r="O43">
        <f t="shared" si="3"/>
        <v>3.0186908501747141</v>
      </c>
      <c r="P43">
        <f t="shared" si="4"/>
        <v>9.1124944489285387</v>
      </c>
      <c r="Q43">
        <f t="shared" si="5"/>
        <v>1.0897800903157813E-2</v>
      </c>
      <c r="R43">
        <f t="shared" si="6"/>
        <v>1.0897800903157813</v>
      </c>
    </row>
    <row r="44" spans="1:18" x14ac:dyDescent="0.3">
      <c r="A44" s="2">
        <v>44876</v>
      </c>
      <c r="B44">
        <v>40.881929999999997</v>
      </c>
      <c r="F44" s="7" t="s">
        <v>23</v>
      </c>
      <c r="G44">
        <v>14.096432499999999</v>
      </c>
      <c r="I44" t="str">
        <f t="shared" si="9"/>
        <v>2003-Nov</v>
      </c>
      <c r="J44">
        <v>18.905127499999999</v>
      </c>
      <c r="K44">
        <v>-100.5</v>
      </c>
      <c r="L44">
        <f t="shared" si="0"/>
        <v>10100.25</v>
      </c>
      <c r="M44">
        <f t="shared" si="1"/>
        <v>-1899.96531375</v>
      </c>
      <c r="N44">
        <f t="shared" si="2"/>
        <v>16.106235196732925</v>
      </c>
      <c r="O44">
        <f t="shared" si="3"/>
        <v>2.7988923032670741</v>
      </c>
      <c r="P44">
        <f t="shared" si="4"/>
        <v>7.8337981252876672</v>
      </c>
      <c r="Q44">
        <f t="shared" si="5"/>
        <v>1.0104304343924455E-2</v>
      </c>
      <c r="R44">
        <f t="shared" si="6"/>
        <v>1.0104304343924455</v>
      </c>
    </row>
    <row r="45" spans="1:18" x14ac:dyDescent="0.3">
      <c r="A45" s="2">
        <v>44869</v>
      </c>
      <c r="B45">
        <v>35.256419999999999</v>
      </c>
      <c r="F45" s="7" t="s">
        <v>24</v>
      </c>
      <c r="G45">
        <v>15.638107999999999</v>
      </c>
      <c r="I45" t="str">
        <f t="shared" si="9"/>
        <v>2003-Dec</v>
      </c>
      <c r="J45">
        <v>19.882384999999999</v>
      </c>
      <c r="K45">
        <v>-99.5</v>
      </c>
      <c r="L45">
        <f t="shared" si="0"/>
        <v>9900.25</v>
      </c>
      <c r="M45">
        <f t="shared" si="1"/>
        <v>-1978.2973075</v>
      </c>
      <c r="N45">
        <f t="shared" si="2"/>
        <v>16.222889243640562</v>
      </c>
      <c r="O45">
        <f t="shared" si="3"/>
        <v>3.659495756359437</v>
      </c>
      <c r="P45">
        <f t="shared" si="4"/>
        <v>13.391909190812727</v>
      </c>
      <c r="Q45">
        <f t="shared" si="5"/>
        <v>1.3211176015738039E-2</v>
      </c>
      <c r="R45">
        <f t="shared" si="6"/>
        <v>1.321117601573804</v>
      </c>
    </row>
    <row r="46" spans="1:18" x14ac:dyDescent="0.3">
      <c r="A46" s="2">
        <v>44862</v>
      </c>
      <c r="B46">
        <v>35.591560000000001</v>
      </c>
      <c r="F46" s="7" t="s">
        <v>25</v>
      </c>
      <c r="G46">
        <v>17.155267500000001</v>
      </c>
      <c r="I46" t="str">
        <f>_xlfn.CONCAT($F$50,"-",F51)</f>
        <v>2004-Jan</v>
      </c>
      <c r="J46">
        <v>21.844605999999999</v>
      </c>
      <c r="K46">
        <v>-98.5</v>
      </c>
      <c r="L46">
        <f t="shared" si="0"/>
        <v>9702.25</v>
      </c>
      <c r="M46">
        <f t="shared" si="1"/>
        <v>-2151.6936909999999</v>
      </c>
      <c r="N46">
        <f t="shared" si="2"/>
        <v>16.3395432905482</v>
      </c>
      <c r="O46">
        <f t="shared" si="3"/>
        <v>5.5050627094517992</v>
      </c>
      <c r="P46">
        <f t="shared" si="4"/>
        <v>30.305715434996785</v>
      </c>
      <c r="Q46">
        <f t="shared" si="5"/>
        <v>1.9873872597298912E-2</v>
      </c>
      <c r="R46">
        <f t="shared" si="6"/>
        <v>1.9873872597298912</v>
      </c>
    </row>
    <row r="47" spans="1:18" x14ac:dyDescent="0.3">
      <c r="A47" s="2">
        <v>44855</v>
      </c>
      <c r="B47">
        <v>33.708410000000001</v>
      </c>
      <c r="F47" s="7" t="s">
        <v>26</v>
      </c>
      <c r="G47">
        <v>19.008271999999998</v>
      </c>
      <c r="I47" t="str">
        <f t="shared" ref="I47:I57" si="10">_xlfn.CONCAT($F$50,"-",F52)</f>
        <v>2004-Feb</v>
      </c>
      <c r="J47">
        <v>23.883027500000001</v>
      </c>
      <c r="K47">
        <v>-97.5</v>
      </c>
      <c r="L47">
        <f t="shared" si="0"/>
        <v>9506.25</v>
      </c>
      <c r="M47">
        <f t="shared" si="1"/>
        <v>-2328.5951812500002</v>
      </c>
      <c r="N47">
        <f t="shared" si="2"/>
        <v>16.456197337455841</v>
      </c>
      <c r="O47">
        <f t="shared" si="3"/>
        <v>7.4268301625441602</v>
      </c>
      <c r="P47">
        <f t="shared" si="4"/>
        <v>55.157806263275717</v>
      </c>
      <c r="Q47">
        <f t="shared" si="5"/>
        <v>2.6811661236621518E-2</v>
      </c>
      <c r="R47">
        <f t="shared" si="6"/>
        <v>2.6811661236621518</v>
      </c>
    </row>
    <row r="48" spans="1:18" x14ac:dyDescent="0.3">
      <c r="A48" s="2">
        <v>44848</v>
      </c>
      <c r="B48">
        <v>32.12771</v>
      </c>
      <c r="F48" s="7" t="s">
        <v>27</v>
      </c>
      <c r="G48">
        <v>18.905127499999999</v>
      </c>
      <c r="I48" t="str">
        <f t="shared" si="10"/>
        <v>2004-Mar</v>
      </c>
      <c r="J48">
        <v>22.431089999999998</v>
      </c>
      <c r="K48">
        <v>-96.5</v>
      </c>
      <c r="L48">
        <f t="shared" si="0"/>
        <v>9312.25</v>
      </c>
      <c r="M48">
        <f t="shared" si="1"/>
        <v>-2164.6001849999998</v>
      </c>
      <c r="N48">
        <f t="shared" si="2"/>
        <v>16.572851384363481</v>
      </c>
      <c r="O48">
        <f t="shared" si="3"/>
        <v>5.858238615636516</v>
      </c>
      <c r="P48">
        <f t="shared" si="4"/>
        <v>34.318959677734846</v>
      </c>
      <c r="Q48">
        <f t="shared" si="5"/>
        <v>2.1148875868723886E-2</v>
      </c>
      <c r="R48">
        <f t="shared" si="6"/>
        <v>2.1148875868723884</v>
      </c>
    </row>
    <row r="49" spans="1:18" x14ac:dyDescent="0.3">
      <c r="A49" s="2">
        <v>44841</v>
      </c>
      <c r="B49">
        <v>30.029720000000001</v>
      </c>
      <c r="F49" s="7" t="s">
        <v>28</v>
      </c>
      <c r="G49">
        <v>19.882384999999999</v>
      </c>
      <c r="I49" t="str">
        <f t="shared" si="10"/>
        <v>2004-Apr</v>
      </c>
      <c r="J49">
        <v>22.427168000000002</v>
      </c>
      <c r="K49">
        <v>-95.5</v>
      </c>
      <c r="L49">
        <f t="shared" si="0"/>
        <v>9120.25</v>
      </c>
      <c r="M49">
        <f t="shared" si="1"/>
        <v>-2141.7945440000003</v>
      </c>
      <c r="N49">
        <f t="shared" si="2"/>
        <v>16.689505431271122</v>
      </c>
      <c r="O49">
        <f t="shared" si="3"/>
        <v>5.7376625687288794</v>
      </c>
      <c r="P49">
        <f t="shared" si="4"/>
        <v>32.920771752592479</v>
      </c>
      <c r="Q49">
        <f t="shared" si="5"/>
        <v>2.0713583280609672E-2</v>
      </c>
      <c r="R49">
        <f t="shared" si="6"/>
        <v>2.0713583280609673</v>
      </c>
    </row>
    <row r="50" spans="1:18" x14ac:dyDescent="0.3">
      <c r="A50" s="2">
        <v>44834</v>
      </c>
      <c r="B50">
        <v>30.158100000000001</v>
      </c>
      <c r="F50" s="4" t="s">
        <v>42</v>
      </c>
      <c r="G50">
        <v>21.239410377358499</v>
      </c>
      <c r="I50" t="str">
        <f t="shared" si="10"/>
        <v>2004-May</v>
      </c>
      <c r="J50">
        <v>20.408392499999998</v>
      </c>
      <c r="K50">
        <v>-94.5</v>
      </c>
      <c r="L50">
        <f t="shared" si="0"/>
        <v>8930.25</v>
      </c>
      <c r="M50">
        <f t="shared" si="1"/>
        <v>-1928.5930912499998</v>
      </c>
      <c r="N50">
        <f t="shared" si="2"/>
        <v>16.80615947817876</v>
      </c>
      <c r="O50">
        <f t="shared" si="3"/>
        <v>3.6022330218212382</v>
      </c>
      <c r="P50">
        <f t="shared" si="4"/>
        <v>12.976082743499369</v>
      </c>
      <c r="Q50">
        <f t="shared" si="5"/>
        <v>1.3004451342314939E-2</v>
      </c>
      <c r="R50">
        <f t="shared" si="6"/>
        <v>1.3004451342314938</v>
      </c>
    </row>
    <row r="51" spans="1:18" x14ac:dyDescent="0.3">
      <c r="A51" s="2">
        <v>44827</v>
      </c>
      <c r="B51">
        <v>29.252040000000001</v>
      </c>
      <c r="F51" s="7" t="s">
        <v>30</v>
      </c>
      <c r="G51">
        <v>21.844605999999999</v>
      </c>
      <c r="I51" t="str">
        <f t="shared" si="10"/>
        <v>2004-Jun</v>
      </c>
      <c r="J51">
        <v>20.588159999999998</v>
      </c>
      <c r="K51">
        <v>-93.5</v>
      </c>
      <c r="L51">
        <f t="shared" si="0"/>
        <v>8742.25</v>
      </c>
      <c r="M51">
        <f t="shared" si="1"/>
        <v>-1924.9929599999998</v>
      </c>
      <c r="N51">
        <f t="shared" si="2"/>
        <v>16.922813525086397</v>
      </c>
      <c r="O51">
        <f t="shared" si="3"/>
        <v>3.6653464749136013</v>
      </c>
      <c r="P51">
        <f t="shared" si="4"/>
        <v>13.434764781161563</v>
      </c>
      <c r="Q51">
        <f t="shared" si="5"/>
        <v>1.3232297743370402E-2</v>
      </c>
      <c r="R51">
        <f t="shared" si="6"/>
        <v>1.3232297743370403</v>
      </c>
    </row>
    <row r="52" spans="1:18" x14ac:dyDescent="0.3">
      <c r="A52" s="2">
        <v>44820</v>
      </c>
      <c r="B52">
        <v>33.623519999999999</v>
      </c>
      <c r="F52" s="7" t="s">
        <v>31</v>
      </c>
      <c r="G52">
        <v>23.883027500000001</v>
      </c>
      <c r="I52" t="str">
        <f t="shared" si="10"/>
        <v>2004-Jul</v>
      </c>
      <c r="J52">
        <v>20.653648</v>
      </c>
      <c r="K52">
        <v>-92.5</v>
      </c>
      <c r="L52">
        <f t="shared" si="0"/>
        <v>8556.25</v>
      </c>
      <c r="M52">
        <f t="shared" si="1"/>
        <v>-1910.46244</v>
      </c>
      <c r="N52">
        <f t="shared" si="2"/>
        <v>17.039467571994038</v>
      </c>
      <c r="O52">
        <f t="shared" si="3"/>
        <v>3.6141804280059624</v>
      </c>
      <c r="P52">
        <f t="shared" si="4"/>
        <v>13.062300166181361</v>
      </c>
      <c r="Q52">
        <f t="shared" si="5"/>
        <v>1.3047582772584701E-2</v>
      </c>
      <c r="R52">
        <f t="shared" si="6"/>
        <v>1.30475827725847</v>
      </c>
    </row>
    <row r="53" spans="1:18" x14ac:dyDescent="0.3">
      <c r="A53" s="2">
        <v>44813</v>
      </c>
      <c r="B53">
        <v>36.480939999999997</v>
      </c>
      <c r="F53" s="7" t="s">
        <v>19</v>
      </c>
      <c r="G53">
        <v>22.431089999999998</v>
      </c>
      <c r="I53" t="str">
        <f t="shared" si="10"/>
        <v>2004-Aug</v>
      </c>
      <c r="J53">
        <v>19.430799999999998</v>
      </c>
      <c r="K53">
        <v>-91.5</v>
      </c>
      <c r="L53">
        <f t="shared" si="0"/>
        <v>8372.25</v>
      </c>
      <c r="M53">
        <f t="shared" si="1"/>
        <v>-1777.9181999999998</v>
      </c>
      <c r="N53">
        <f t="shared" si="2"/>
        <v>17.156121618901679</v>
      </c>
      <c r="O53">
        <f t="shared" si="3"/>
        <v>2.2746783810983189</v>
      </c>
      <c r="P53">
        <f t="shared" si="4"/>
        <v>5.1741617374360684</v>
      </c>
      <c r="Q53">
        <f t="shared" si="5"/>
        <v>8.2118353108242559E-3</v>
      </c>
      <c r="R53">
        <f t="shared" si="6"/>
        <v>0.82118353108242559</v>
      </c>
    </row>
    <row r="54" spans="1:18" x14ac:dyDescent="0.3">
      <c r="A54" s="2">
        <v>44806</v>
      </c>
      <c r="B54">
        <v>35.353619999999999</v>
      </c>
      <c r="F54" s="7" t="s">
        <v>20</v>
      </c>
      <c r="G54">
        <v>22.427168000000002</v>
      </c>
      <c r="I54" t="str">
        <f t="shared" si="10"/>
        <v>2004-Sep</v>
      </c>
      <c r="J54">
        <v>20.4228275</v>
      </c>
      <c r="K54">
        <v>-90.5</v>
      </c>
      <c r="L54">
        <f t="shared" si="0"/>
        <v>8190.25</v>
      </c>
      <c r="M54">
        <f t="shared" si="1"/>
        <v>-1848.2658887499999</v>
      </c>
      <c r="N54">
        <f t="shared" si="2"/>
        <v>17.272775665809316</v>
      </c>
      <c r="O54">
        <f t="shared" si="3"/>
        <v>3.150051834190684</v>
      </c>
      <c r="P54">
        <f t="shared" si="4"/>
        <v>9.9228265580880919</v>
      </c>
      <c r="Q54">
        <f t="shared" si="5"/>
        <v>1.1372028282276838E-2</v>
      </c>
      <c r="R54">
        <f t="shared" si="6"/>
        <v>1.1372028282276838</v>
      </c>
    </row>
    <row r="55" spans="1:18" x14ac:dyDescent="0.3">
      <c r="A55" s="2">
        <v>44799</v>
      </c>
      <c r="B55">
        <v>36.65654</v>
      </c>
      <c r="F55" s="7" t="s">
        <v>21</v>
      </c>
      <c r="G55">
        <v>20.408392499999998</v>
      </c>
      <c r="I55" t="str">
        <f t="shared" si="10"/>
        <v>2004-Oct</v>
      </c>
      <c r="J55">
        <v>19.745497999999998</v>
      </c>
      <c r="K55">
        <v>-89.5</v>
      </c>
      <c r="L55">
        <f t="shared" si="0"/>
        <v>8010.25</v>
      </c>
      <c r="M55">
        <f t="shared" si="1"/>
        <v>-1767.2220709999997</v>
      </c>
      <c r="N55">
        <f t="shared" si="2"/>
        <v>17.389429712716954</v>
      </c>
      <c r="O55">
        <f t="shared" si="3"/>
        <v>2.3560682872830441</v>
      </c>
      <c r="P55">
        <f t="shared" si="4"/>
        <v>5.5510577743408565</v>
      </c>
      <c r="Q55">
        <f t="shared" si="5"/>
        <v>8.5056616869423982E-3</v>
      </c>
      <c r="R55">
        <f t="shared" si="6"/>
        <v>0.85056616869423984</v>
      </c>
    </row>
    <row r="56" spans="1:18" x14ac:dyDescent="0.3">
      <c r="A56" s="2">
        <v>44792</v>
      </c>
      <c r="B56">
        <v>39.617109999999997</v>
      </c>
      <c r="F56" s="7" t="s">
        <v>22</v>
      </c>
      <c r="G56">
        <v>20.588159999999998</v>
      </c>
      <c r="I56" t="str">
        <f t="shared" si="10"/>
        <v>2004-Nov</v>
      </c>
      <c r="J56">
        <v>20.652192499999998</v>
      </c>
      <c r="K56">
        <v>-88.5</v>
      </c>
      <c r="L56">
        <f t="shared" si="0"/>
        <v>7832.25</v>
      </c>
      <c r="M56">
        <f t="shared" si="1"/>
        <v>-1827.7190362499998</v>
      </c>
      <c r="N56">
        <f t="shared" si="2"/>
        <v>17.506083759624595</v>
      </c>
      <c r="O56">
        <f t="shared" si="3"/>
        <v>3.1461087403754036</v>
      </c>
      <c r="P56">
        <f t="shared" si="4"/>
        <v>9.8980002062665076</v>
      </c>
      <c r="Q56">
        <f t="shared" si="5"/>
        <v>1.1357793286553803E-2</v>
      </c>
      <c r="R56">
        <f t="shared" si="6"/>
        <v>1.1357793286553803</v>
      </c>
    </row>
    <row r="57" spans="1:18" x14ac:dyDescent="0.3">
      <c r="A57" s="2">
        <v>44785</v>
      </c>
      <c r="B57">
        <v>41.381869999999999</v>
      </c>
      <c r="F57" s="7" t="s">
        <v>23</v>
      </c>
      <c r="G57">
        <v>20.653648</v>
      </c>
      <c r="I57" t="str">
        <f t="shared" si="10"/>
        <v>2004-Dec</v>
      </c>
      <c r="J57">
        <v>22.213638000000003</v>
      </c>
      <c r="K57">
        <v>-87.5</v>
      </c>
      <c r="L57">
        <f t="shared" si="0"/>
        <v>7656.25</v>
      </c>
      <c r="M57">
        <f t="shared" si="1"/>
        <v>-1943.6933250000002</v>
      </c>
      <c r="N57">
        <f t="shared" si="2"/>
        <v>17.622737806532236</v>
      </c>
      <c r="O57">
        <f t="shared" si="3"/>
        <v>4.5909001934677676</v>
      </c>
      <c r="P57">
        <f t="shared" si="4"/>
        <v>21.076364586382386</v>
      </c>
      <c r="Q57">
        <f t="shared" si="5"/>
        <v>1.6573646907825874E-2</v>
      </c>
      <c r="R57">
        <f t="shared" si="6"/>
        <v>1.6573646907825874</v>
      </c>
    </row>
    <row r="58" spans="1:18" x14ac:dyDescent="0.3">
      <c r="A58" s="2">
        <v>44778</v>
      </c>
      <c r="B58">
        <v>42.850059999999999</v>
      </c>
      <c r="F58" s="7" t="s">
        <v>24</v>
      </c>
      <c r="G58">
        <v>19.430799999999998</v>
      </c>
      <c r="I58" t="str">
        <f>_xlfn.CONCAT($F$63,"-",F64)</f>
        <v>2005-Jan</v>
      </c>
      <c r="J58">
        <v>22.406784999999999</v>
      </c>
      <c r="K58">
        <v>-86.5</v>
      </c>
      <c r="L58">
        <f t="shared" si="0"/>
        <v>7482.25</v>
      </c>
      <c r="M58">
        <f t="shared" si="1"/>
        <v>-1938.1869024999999</v>
      </c>
      <c r="N58">
        <f t="shared" si="2"/>
        <v>17.739391853439873</v>
      </c>
      <c r="O58">
        <f t="shared" si="3"/>
        <v>4.6673931465601264</v>
      </c>
      <c r="P58">
        <f t="shared" si="4"/>
        <v>21.784558784556438</v>
      </c>
      <c r="Q58">
        <f t="shared" si="5"/>
        <v>1.6849794752924644E-2</v>
      </c>
      <c r="R58">
        <f t="shared" si="6"/>
        <v>1.6849794752924645</v>
      </c>
    </row>
    <row r="59" spans="1:18" x14ac:dyDescent="0.3">
      <c r="A59" s="2">
        <v>44771</v>
      </c>
      <c r="B59">
        <v>39.666330000000002</v>
      </c>
      <c r="F59" s="7" t="s">
        <v>25</v>
      </c>
      <c r="G59">
        <v>20.4228275</v>
      </c>
      <c r="I59" t="str">
        <f t="shared" ref="I59:I69" si="11">_xlfn.CONCAT($F$63,"-",F65)</f>
        <v>2005-Feb</v>
      </c>
      <c r="J59">
        <v>23.388365</v>
      </c>
      <c r="K59">
        <v>-85.5</v>
      </c>
      <c r="L59">
        <f t="shared" si="0"/>
        <v>7310.25</v>
      </c>
      <c r="M59">
        <f t="shared" si="1"/>
        <v>-1999.7052074999999</v>
      </c>
      <c r="N59">
        <f t="shared" si="2"/>
        <v>17.85604590034751</v>
      </c>
      <c r="O59">
        <f t="shared" si="3"/>
        <v>5.53231909965249</v>
      </c>
      <c r="P59">
        <f t="shared" si="4"/>
        <v>30.60655462037974</v>
      </c>
      <c r="Q59">
        <f t="shared" si="5"/>
        <v>1.9972271117879026E-2</v>
      </c>
      <c r="R59">
        <f t="shared" si="6"/>
        <v>1.9972271117879026</v>
      </c>
    </row>
    <row r="60" spans="1:18" x14ac:dyDescent="0.3">
      <c r="A60" s="2">
        <v>44764</v>
      </c>
      <c r="B60">
        <v>38.687190000000001</v>
      </c>
      <c r="F60" s="7" t="s">
        <v>26</v>
      </c>
      <c r="G60">
        <v>19.745497999999998</v>
      </c>
      <c r="I60" t="str">
        <f t="shared" si="11"/>
        <v>2005-Mar</v>
      </c>
      <c r="J60">
        <v>24.2644375</v>
      </c>
      <c r="K60">
        <v>-84.5</v>
      </c>
      <c r="L60">
        <f t="shared" si="0"/>
        <v>7140.25</v>
      </c>
      <c r="M60">
        <f t="shared" si="1"/>
        <v>-2050.3449687500001</v>
      </c>
      <c r="N60">
        <f t="shared" si="2"/>
        <v>17.972699947255151</v>
      </c>
      <c r="O60">
        <f t="shared" si="3"/>
        <v>6.2917375527448485</v>
      </c>
      <c r="P60">
        <f t="shared" si="4"/>
        <v>39.585961432619733</v>
      </c>
      <c r="Q60">
        <f t="shared" si="5"/>
        <v>2.2713853981028334E-2</v>
      </c>
      <c r="R60">
        <f t="shared" si="6"/>
        <v>2.2713853981028334</v>
      </c>
    </row>
    <row r="61" spans="1:18" x14ac:dyDescent="0.3">
      <c r="A61" s="2">
        <v>44757</v>
      </c>
      <c r="B61">
        <v>36.478099999999998</v>
      </c>
      <c r="F61" s="7" t="s">
        <v>27</v>
      </c>
      <c r="G61">
        <v>20.652192499999998</v>
      </c>
      <c r="I61" t="str">
        <f t="shared" si="11"/>
        <v>2005-Apr</v>
      </c>
      <c r="J61">
        <v>24.35089</v>
      </c>
      <c r="K61">
        <v>-83.5</v>
      </c>
      <c r="L61">
        <f t="shared" si="0"/>
        <v>6972.25</v>
      </c>
      <c r="M61">
        <f t="shared" si="1"/>
        <v>-2033.299315</v>
      </c>
      <c r="N61">
        <f t="shared" si="2"/>
        <v>18.089353994162792</v>
      </c>
      <c r="O61">
        <f t="shared" si="3"/>
        <v>6.2615360058372076</v>
      </c>
      <c r="P61">
        <f t="shared" si="4"/>
        <v>39.206833152395774</v>
      </c>
      <c r="Q61">
        <f t="shared" si="5"/>
        <v>2.2604823125766092E-2</v>
      </c>
      <c r="R61">
        <f t="shared" si="6"/>
        <v>2.2604823125766091</v>
      </c>
    </row>
    <row r="62" spans="1:18" x14ac:dyDescent="0.3">
      <c r="A62" s="2">
        <v>44750</v>
      </c>
      <c r="B62">
        <v>36.982460000000003</v>
      </c>
      <c r="F62" s="7" t="s">
        <v>28</v>
      </c>
      <c r="G62">
        <v>22.213638000000003</v>
      </c>
      <c r="I62" t="str">
        <f t="shared" si="11"/>
        <v>2005-May</v>
      </c>
      <c r="J62">
        <v>23.697982500000002</v>
      </c>
      <c r="K62">
        <v>-82.5</v>
      </c>
      <c r="L62">
        <f t="shared" si="0"/>
        <v>6806.25</v>
      </c>
      <c r="M62">
        <f t="shared" si="1"/>
        <v>-1955.0835562500001</v>
      </c>
      <c r="N62">
        <f t="shared" si="2"/>
        <v>18.206008041070433</v>
      </c>
      <c r="O62">
        <f t="shared" si="3"/>
        <v>5.4919744589295689</v>
      </c>
      <c r="P62">
        <f t="shared" si="4"/>
        <v>30.161783457534732</v>
      </c>
      <c r="Q62">
        <f t="shared" si="5"/>
        <v>1.9826622595413606E-2</v>
      </c>
      <c r="R62">
        <f t="shared" si="6"/>
        <v>1.9826622595413605</v>
      </c>
    </row>
    <row r="63" spans="1:18" x14ac:dyDescent="0.3">
      <c r="A63" s="2">
        <v>44743</v>
      </c>
      <c r="B63">
        <v>37.608429999999998</v>
      </c>
      <c r="F63" s="4" t="s">
        <v>43</v>
      </c>
      <c r="G63">
        <v>23.581693461538457</v>
      </c>
      <c r="I63" t="str">
        <f t="shared" si="11"/>
        <v>2005-Jun</v>
      </c>
      <c r="J63">
        <v>23.491115000000001</v>
      </c>
      <c r="K63">
        <v>-81.5</v>
      </c>
      <c r="L63">
        <f t="shared" si="0"/>
        <v>6642.25</v>
      </c>
      <c r="M63">
        <f t="shared" si="1"/>
        <v>-1914.5258725000001</v>
      </c>
      <c r="N63">
        <f t="shared" si="2"/>
        <v>18.32266208797807</v>
      </c>
      <c r="O63">
        <f t="shared" si="3"/>
        <v>5.1684529120219302</v>
      </c>
      <c r="P63">
        <f t="shared" si="4"/>
        <v>26.712905503787972</v>
      </c>
      <c r="Q63">
        <f t="shared" si="5"/>
        <v>1.8658674772642346E-2</v>
      </c>
      <c r="R63">
        <f t="shared" si="6"/>
        <v>1.8658674772642345</v>
      </c>
    </row>
    <row r="64" spans="1:18" x14ac:dyDescent="0.3">
      <c r="A64" s="2">
        <v>44736</v>
      </c>
      <c r="B64">
        <v>37.985019999999999</v>
      </c>
      <c r="F64" s="7" t="s">
        <v>30</v>
      </c>
      <c r="G64">
        <v>22.406784999999999</v>
      </c>
      <c r="I64" t="str">
        <f t="shared" si="11"/>
        <v>2005-Jul</v>
      </c>
      <c r="J64">
        <v>23.680308000000004</v>
      </c>
      <c r="K64">
        <v>-80.5</v>
      </c>
      <c r="L64">
        <f t="shared" si="0"/>
        <v>6480.25</v>
      </c>
      <c r="M64">
        <f t="shared" si="1"/>
        <v>-1906.2647940000004</v>
      </c>
      <c r="N64">
        <f t="shared" si="2"/>
        <v>18.439316134885708</v>
      </c>
      <c r="O64">
        <f t="shared" si="3"/>
        <v>5.2409918651142959</v>
      </c>
      <c r="P64">
        <f t="shared" si="4"/>
        <v>27.467995730194225</v>
      </c>
      <c r="Q64">
        <f t="shared" si="5"/>
        <v>1.8920548249510092E-2</v>
      </c>
      <c r="R64">
        <f t="shared" si="6"/>
        <v>1.8920548249510092</v>
      </c>
    </row>
    <row r="65" spans="1:18" x14ac:dyDescent="0.3">
      <c r="A65" s="2">
        <v>44729</v>
      </c>
      <c r="B65">
        <v>36.90493</v>
      </c>
      <c r="F65" s="7" t="s">
        <v>31</v>
      </c>
      <c r="G65">
        <v>23.388365</v>
      </c>
      <c r="I65" t="str">
        <f t="shared" si="11"/>
        <v>2005-Aug</v>
      </c>
      <c r="J65">
        <v>25.2266075</v>
      </c>
      <c r="K65">
        <v>-79.5</v>
      </c>
      <c r="L65">
        <f t="shared" si="0"/>
        <v>6320.25</v>
      </c>
      <c r="M65">
        <f t="shared" si="1"/>
        <v>-2005.5152962500001</v>
      </c>
      <c r="N65">
        <f t="shared" si="2"/>
        <v>18.555970181793349</v>
      </c>
      <c r="O65">
        <f t="shared" si="3"/>
        <v>6.6706373182066514</v>
      </c>
      <c r="P65">
        <f t="shared" si="4"/>
        <v>44.497402231051225</v>
      </c>
      <c r="Q65">
        <f t="shared" si="5"/>
        <v>2.4081723170421124E-2</v>
      </c>
      <c r="R65">
        <f t="shared" si="6"/>
        <v>2.4081723170421125</v>
      </c>
    </row>
    <row r="66" spans="1:18" x14ac:dyDescent="0.3">
      <c r="A66" s="2">
        <v>44722</v>
      </c>
      <c r="B66">
        <v>36.783209999999997</v>
      </c>
      <c r="F66" s="7" t="s">
        <v>19</v>
      </c>
      <c r="G66">
        <v>24.2644375</v>
      </c>
      <c r="I66" t="str">
        <f t="shared" si="11"/>
        <v>2005-Sep</v>
      </c>
      <c r="J66">
        <v>24.163774</v>
      </c>
      <c r="K66">
        <v>-78.5</v>
      </c>
      <c r="L66">
        <f t="shared" si="0"/>
        <v>6162.25</v>
      </c>
      <c r="M66">
        <f t="shared" si="1"/>
        <v>-1896.8562589999999</v>
      </c>
      <c r="N66">
        <f t="shared" si="2"/>
        <v>18.67262422870099</v>
      </c>
      <c r="O66">
        <f t="shared" si="3"/>
        <v>5.4911497712990105</v>
      </c>
      <c r="P66">
        <f t="shared" si="4"/>
        <v>30.152725810837175</v>
      </c>
      <c r="Q66">
        <f t="shared" si="5"/>
        <v>1.9823645383750942E-2</v>
      </c>
      <c r="R66">
        <f t="shared" si="6"/>
        <v>1.9823645383750941</v>
      </c>
    </row>
    <row r="67" spans="1:18" x14ac:dyDescent="0.3">
      <c r="A67" s="2">
        <v>44715</v>
      </c>
      <c r="B67">
        <v>40.528799999999997</v>
      </c>
      <c r="F67" s="7" t="s">
        <v>20</v>
      </c>
      <c r="G67">
        <v>24.35089</v>
      </c>
      <c r="I67" t="str">
        <f t="shared" si="11"/>
        <v>2005-Oct</v>
      </c>
      <c r="J67">
        <v>22.595107500000001</v>
      </c>
      <c r="K67">
        <v>-77.5</v>
      </c>
      <c r="L67">
        <f t="shared" si="0"/>
        <v>6006.25</v>
      </c>
      <c r="M67">
        <f t="shared" si="1"/>
        <v>-1751.12083125</v>
      </c>
      <c r="N67">
        <f t="shared" si="2"/>
        <v>18.789278275608627</v>
      </c>
      <c r="O67">
        <f t="shared" si="3"/>
        <v>3.8058292243913741</v>
      </c>
      <c r="P67">
        <f t="shared" si="4"/>
        <v>14.484336085231448</v>
      </c>
      <c r="Q67">
        <f t="shared" si="5"/>
        <v>1.3739455683723372E-2</v>
      </c>
      <c r="R67">
        <f t="shared" si="6"/>
        <v>1.3739455683723372</v>
      </c>
    </row>
    <row r="68" spans="1:18" x14ac:dyDescent="0.3">
      <c r="A68" s="2">
        <v>44708</v>
      </c>
      <c r="B68">
        <v>40.922910000000002</v>
      </c>
      <c r="F68" s="7" t="s">
        <v>21</v>
      </c>
      <c r="G68">
        <v>23.697982500000002</v>
      </c>
      <c r="I68" t="str">
        <f t="shared" si="11"/>
        <v>2005-Nov</v>
      </c>
      <c r="J68">
        <v>22.082382500000001</v>
      </c>
      <c r="K68">
        <v>-76.5</v>
      </c>
      <c r="L68">
        <f t="shared" si="0"/>
        <v>5852.25</v>
      </c>
      <c r="M68">
        <f t="shared" si="1"/>
        <v>-1689.3022612500001</v>
      </c>
      <c r="N68">
        <f t="shared" si="2"/>
        <v>18.905932322516264</v>
      </c>
      <c r="O68">
        <f t="shared" si="3"/>
        <v>3.176450177483737</v>
      </c>
      <c r="P68">
        <f t="shared" si="4"/>
        <v>10.089835730036464</v>
      </c>
      <c r="Q68">
        <f t="shared" si="5"/>
        <v>1.1467329160591108E-2</v>
      </c>
      <c r="R68">
        <f t="shared" si="6"/>
        <v>1.1467329160591109</v>
      </c>
    </row>
    <row r="69" spans="1:18" x14ac:dyDescent="0.3">
      <c r="A69" s="2">
        <v>44701</v>
      </c>
      <c r="B69">
        <v>39.55348</v>
      </c>
      <c r="F69" s="7" t="s">
        <v>22</v>
      </c>
      <c r="G69">
        <v>23.491115000000001</v>
      </c>
      <c r="I69" t="str">
        <f t="shared" si="11"/>
        <v>2005-Dec</v>
      </c>
      <c r="J69">
        <v>23.332414</v>
      </c>
      <c r="K69">
        <v>-75.5</v>
      </c>
      <c r="L69">
        <f t="shared" si="0"/>
        <v>5700.25</v>
      </c>
      <c r="M69">
        <f t="shared" si="1"/>
        <v>-1761.5972569999999</v>
      </c>
      <c r="N69">
        <f t="shared" si="2"/>
        <v>19.022586369423905</v>
      </c>
      <c r="O69">
        <f t="shared" si="3"/>
        <v>4.3098276305760947</v>
      </c>
      <c r="P69">
        <f t="shared" si="4"/>
        <v>18.574614205277154</v>
      </c>
      <c r="Q69">
        <f t="shared" si="5"/>
        <v>1.5558944514715144E-2</v>
      </c>
      <c r="R69">
        <f t="shared" si="6"/>
        <v>1.5558944514715143</v>
      </c>
    </row>
    <row r="70" spans="1:18" x14ac:dyDescent="0.3">
      <c r="A70" s="2">
        <v>44694</v>
      </c>
      <c r="B70">
        <v>40.376510000000003</v>
      </c>
      <c r="F70" s="7" t="s">
        <v>23</v>
      </c>
      <c r="G70">
        <v>23.680308000000004</v>
      </c>
      <c r="I70" t="str">
        <f>_xlfn.CONCAT($F$76,"-",F77)</f>
        <v>2006-Jan</v>
      </c>
      <c r="J70">
        <v>26.809755000000003</v>
      </c>
      <c r="K70">
        <v>-74.5</v>
      </c>
      <c r="L70">
        <f t="shared" si="0"/>
        <v>5550.25</v>
      </c>
      <c r="M70">
        <f t="shared" si="1"/>
        <v>-1997.3267475000002</v>
      </c>
      <c r="N70">
        <f t="shared" si="2"/>
        <v>19.139240416331546</v>
      </c>
      <c r="O70">
        <f t="shared" si="3"/>
        <v>7.6705145836684565</v>
      </c>
      <c r="P70">
        <f t="shared" si="4"/>
        <v>58.836793978270478</v>
      </c>
      <c r="Q70">
        <f t="shared" si="5"/>
        <v>2.7691388388694789E-2</v>
      </c>
      <c r="R70">
        <f t="shared" si="6"/>
        <v>2.7691388388694791</v>
      </c>
    </row>
    <row r="71" spans="1:18" x14ac:dyDescent="0.3">
      <c r="A71" s="2">
        <v>44687</v>
      </c>
      <c r="B71">
        <v>41.261380000000003</v>
      </c>
      <c r="F71" s="7" t="s">
        <v>24</v>
      </c>
      <c r="G71">
        <v>25.2266075</v>
      </c>
      <c r="I71" t="str">
        <f t="shared" ref="I71:I81" si="12">_xlfn.CONCAT($F$76,"-",F78)</f>
        <v>2006-Feb</v>
      </c>
      <c r="J71">
        <v>27.102187499999999</v>
      </c>
      <c r="K71">
        <v>-73.5</v>
      </c>
      <c r="L71">
        <f t="shared" si="0"/>
        <v>5402.25</v>
      </c>
      <c r="M71">
        <f t="shared" si="1"/>
        <v>-1992.01078125</v>
      </c>
      <c r="N71">
        <f t="shared" si="2"/>
        <v>19.255894463239187</v>
      </c>
      <c r="O71">
        <f t="shared" si="3"/>
        <v>7.8462930367608124</v>
      </c>
      <c r="P71">
        <f t="shared" si="4"/>
        <v>61.56431441872121</v>
      </c>
      <c r="Q71">
        <f t="shared" si="5"/>
        <v>2.8325967641735783E-2</v>
      </c>
      <c r="R71">
        <f t="shared" si="6"/>
        <v>2.8325967641735783</v>
      </c>
    </row>
    <row r="72" spans="1:18" x14ac:dyDescent="0.3">
      <c r="A72" s="2">
        <v>44680</v>
      </c>
      <c r="B72">
        <v>42.828940000000003</v>
      </c>
      <c r="F72" s="7" t="s">
        <v>25</v>
      </c>
      <c r="G72">
        <v>24.163774</v>
      </c>
      <c r="I72" t="str">
        <f t="shared" si="12"/>
        <v>2006-Mar</v>
      </c>
      <c r="J72">
        <v>25.778712000000002</v>
      </c>
      <c r="K72">
        <v>-72.5</v>
      </c>
      <c r="L72">
        <f t="shared" si="0"/>
        <v>5256.25</v>
      </c>
      <c r="M72">
        <f t="shared" si="1"/>
        <v>-1868.9566200000002</v>
      </c>
      <c r="N72">
        <f t="shared" si="2"/>
        <v>19.372548510146824</v>
      </c>
      <c r="O72">
        <f t="shared" si="3"/>
        <v>6.4061634898531779</v>
      </c>
      <c r="P72">
        <f t="shared" si="4"/>
        <v>41.03893065872785</v>
      </c>
      <c r="Q72">
        <f t="shared" si="5"/>
        <v>2.3126944006690173E-2</v>
      </c>
      <c r="R72">
        <f t="shared" si="6"/>
        <v>2.3126944006690171</v>
      </c>
    </row>
    <row r="73" spans="1:18" x14ac:dyDescent="0.3">
      <c r="A73" s="2">
        <v>44673</v>
      </c>
      <c r="B73">
        <v>44.996940000000002</v>
      </c>
      <c r="F73" s="7" t="s">
        <v>26</v>
      </c>
      <c r="G73">
        <v>22.595107500000001</v>
      </c>
      <c r="I73" t="str">
        <f t="shared" si="12"/>
        <v>2006-Apr</v>
      </c>
      <c r="J73">
        <v>25.703502499999999</v>
      </c>
      <c r="K73">
        <v>-71.5</v>
      </c>
      <c r="L73">
        <f t="shared" ref="L73:L136" si="13">K73*K73</f>
        <v>5112.25</v>
      </c>
      <c r="M73">
        <f t="shared" ref="M73:M136" si="14">K73*J73</f>
        <v>-1837.80042875</v>
      </c>
      <c r="N73">
        <f t="shared" ref="N73:N136" si="15">$I$2+$I$3*K73</f>
        <v>19.489202557054462</v>
      </c>
      <c r="O73">
        <f t="shared" ref="O73:O136" si="16">J73-N73</f>
        <v>6.2142999429455372</v>
      </c>
      <c r="P73">
        <f t="shared" ref="P73:P136" si="17">O73*O73</f>
        <v>38.61752378089291</v>
      </c>
      <c r="Q73">
        <f t="shared" ref="Q73:Q136" si="18">ABS(O73)/$J$1</f>
        <v>2.2434295822908075E-2</v>
      </c>
      <c r="R73">
        <f t="shared" ref="R73:R136" si="19">Q73*100</f>
        <v>2.2434295822908075</v>
      </c>
    </row>
    <row r="74" spans="1:18" x14ac:dyDescent="0.3">
      <c r="A74" s="2">
        <v>44666</v>
      </c>
      <c r="B74">
        <v>44.334780000000002</v>
      </c>
      <c r="F74" s="7" t="s">
        <v>27</v>
      </c>
      <c r="G74">
        <v>22.082382500000001</v>
      </c>
      <c r="I74" t="str">
        <f t="shared" si="12"/>
        <v>2006-May</v>
      </c>
      <c r="J74">
        <v>27.193829999999998</v>
      </c>
      <c r="K74">
        <v>-70.5</v>
      </c>
      <c r="L74">
        <f t="shared" si="13"/>
        <v>4970.25</v>
      </c>
      <c r="M74">
        <f t="shared" si="14"/>
        <v>-1917.1650149999998</v>
      </c>
      <c r="N74">
        <f t="shared" si="15"/>
        <v>19.605856603962103</v>
      </c>
      <c r="O74">
        <f t="shared" si="16"/>
        <v>7.5879733960378957</v>
      </c>
      <c r="P74">
        <f t="shared" si="17"/>
        <v>57.577340258978879</v>
      </c>
      <c r="Q74">
        <f t="shared" si="18"/>
        <v>2.739340576186966E-2</v>
      </c>
      <c r="R74">
        <f t="shared" si="19"/>
        <v>2.739340576186966</v>
      </c>
    </row>
    <row r="75" spans="1:18" x14ac:dyDescent="0.3">
      <c r="A75" s="2">
        <v>44659</v>
      </c>
      <c r="B75">
        <v>44.178370000000001</v>
      </c>
      <c r="F75" s="7" t="s">
        <v>28</v>
      </c>
      <c r="G75">
        <v>23.332414</v>
      </c>
      <c r="I75" t="str">
        <f t="shared" si="12"/>
        <v>2006-Jun</v>
      </c>
      <c r="J75">
        <v>26.487205999999997</v>
      </c>
      <c r="K75">
        <v>-69.5</v>
      </c>
      <c r="L75">
        <f t="shared" si="13"/>
        <v>4830.25</v>
      </c>
      <c r="M75">
        <f t="shared" si="14"/>
        <v>-1840.8608169999998</v>
      </c>
      <c r="N75">
        <f t="shared" si="15"/>
        <v>19.722510650869744</v>
      </c>
      <c r="O75">
        <f t="shared" si="16"/>
        <v>6.7646953491302533</v>
      </c>
      <c r="P75">
        <f t="shared" si="17"/>
        <v>45.76110316654448</v>
      </c>
      <c r="Q75">
        <f t="shared" si="18"/>
        <v>2.442128284884568E-2</v>
      </c>
      <c r="R75">
        <f t="shared" si="19"/>
        <v>2.4421282848845682</v>
      </c>
    </row>
    <row r="76" spans="1:18" x14ac:dyDescent="0.3">
      <c r="A76" s="2">
        <v>44652</v>
      </c>
      <c r="B76">
        <v>47.157359999999997</v>
      </c>
      <c r="F76" s="4" t="s">
        <v>44</v>
      </c>
      <c r="G76">
        <v>26.726079230769237</v>
      </c>
      <c r="I76" t="str">
        <f t="shared" si="12"/>
        <v>2006-Jul</v>
      </c>
      <c r="J76">
        <v>25.527122500000001</v>
      </c>
      <c r="K76">
        <v>-68.5</v>
      </c>
      <c r="L76">
        <f t="shared" si="13"/>
        <v>4692.25</v>
      </c>
      <c r="M76">
        <f t="shared" si="14"/>
        <v>-1748.60789125</v>
      </c>
      <c r="N76">
        <f t="shared" si="15"/>
        <v>19.839164697777381</v>
      </c>
      <c r="O76">
        <f t="shared" si="16"/>
        <v>5.6879578022226198</v>
      </c>
      <c r="P76">
        <f t="shared" si="17"/>
        <v>32.352863959865175</v>
      </c>
      <c r="Q76">
        <f t="shared" si="18"/>
        <v>2.0534143690334367E-2</v>
      </c>
      <c r="R76">
        <f t="shared" si="19"/>
        <v>2.0534143690334368</v>
      </c>
    </row>
    <row r="77" spans="1:18" x14ac:dyDescent="0.3">
      <c r="A77" s="2">
        <v>44645</v>
      </c>
      <c r="B77">
        <v>49.030850000000001</v>
      </c>
      <c r="F77" s="7" t="s">
        <v>30</v>
      </c>
      <c r="G77">
        <v>26.809755000000003</v>
      </c>
      <c r="I77" t="str">
        <f t="shared" si="12"/>
        <v>2006-Aug</v>
      </c>
      <c r="J77">
        <v>24.367877499999999</v>
      </c>
      <c r="K77">
        <v>-67.5</v>
      </c>
      <c r="L77">
        <f t="shared" si="13"/>
        <v>4556.25</v>
      </c>
      <c r="M77">
        <f t="shared" si="14"/>
        <v>-1644.8317312499998</v>
      </c>
      <c r="N77">
        <f t="shared" si="15"/>
        <v>19.955818744685018</v>
      </c>
      <c r="O77">
        <f t="shared" si="16"/>
        <v>4.4120587553149804</v>
      </c>
      <c r="P77">
        <f t="shared" si="17"/>
        <v>19.466262460351572</v>
      </c>
      <c r="Q77">
        <f t="shared" si="18"/>
        <v>1.592800994698549E-2</v>
      </c>
      <c r="R77">
        <f t="shared" si="19"/>
        <v>1.5928009946985491</v>
      </c>
    </row>
    <row r="78" spans="1:18" x14ac:dyDescent="0.3">
      <c r="A78" s="2">
        <v>44638</v>
      </c>
      <c r="B78">
        <v>51.590240000000001</v>
      </c>
      <c r="F78" s="7" t="s">
        <v>31</v>
      </c>
      <c r="G78">
        <v>27.102187499999999</v>
      </c>
      <c r="I78" t="str">
        <f t="shared" si="12"/>
        <v>2006-Sep</v>
      </c>
      <c r="J78">
        <v>25.924682000000001</v>
      </c>
      <c r="K78">
        <v>-66.5</v>
      </c>
      <c r="L78">
        <f t="shared" si="13"/>
        <v>4422.25</v>
      </c>
      <c r="M78">
        <f t="shared" si="14"/>
        <v>-1723.9913530000001</v>
      </c>
      <c r="N78">
        <f t="shared" si="15"/>
        <v>20.072472791592659</v>
      </c>
      <c r="O78">
        <f t="shared" si="16"/>
        <v>5.8522092084073414</v>
      </c>
      <c r="P78">
        <f t="shared" si="17"/>
        <v>34.248352618967679</v>
      </c>
      <c r="Q78">
        <f t="shared" si="18"/>
        <v>2.1127109055622172E-2</v>
      </c>
      <c r="R78">
        <f t="shared" si="19"/>
        <v>2.1127109055622171</v>
      </c>
    </row>
    <row r="79" spans="1:18" x14ac:dyDescent="0.3">
      <c r="A79" s="2">
        <v>44631</v>
      </c>
      <c r="B79">
        <v>46.889679999999998</v>
      </c>
      <c r="F79" s="7" t="s">
        <v>19</v>
      </c>
      <c r="G79">
        <v>25.778712000000002</v>
      </c>
      <c r="I79" t="str">
        <f t="shared" si="12"/>
        <v>2006-Oct</v>
      </c>
      <c r="J79">
        <v>27.1057025</v>
      </c>
      <c r="K79">
        <v>-65.5</v>
      </c>
      <c r="L79">
        <f t="shared" si="13"/>
        <v>4290.25</v>
      </c>
      <c r="M79">
        <f t="shared" si="14"/>
        <v>-1775.42351375</v>
      </c>
      <c r="N79">
        <f t="shared" si="15"/>
        <v>20.1891268385003</v>
      </c>
      <c r="O79">
        <f t="shared" si="16"/>
        <v>6.9165756614996994</v>
      </c>
      <c r="P79">
        <f t="shared" si="17"/>
        <v>47.839018881250006</v>
      </c>
      <c r="Q79">
        <f t="shared" si="18"/>
        <v>2.4969587225630682E-2</v>
      </c>
      <c r="R79">
        <f t="shared" si="19"/>
        <v>2.4969587225630683</v>
      </c>
    </row>
    <row r="80" spans="1:18" x14ac:dyDescent="0.3">
      <c r="A80" s="2">
        <v>44624</v>
      </c>
      <c r="B80">
        <v>44.862160000000003</v>
      </c>
      <c r="F80" s="7" t="s">
        <v>20</v>
      </c>
      <c r="G80">
        <v>25.703502499999999</v>
      </c>
      <c r="I80" t="str">
        <f t="shared" si="12"/>
        <v>2006-Nov</v>
      </c>
      <c r="J80">
        <v>28.223095000000001</v>
      </c>
      <c r="K80">
        <v>-64.5</v>
      </c>
      <c r="L80">
        <f t="shared" si="13"/>
        <v>4160.25</v>
      </c>
      <c r="M80">
        <f t="shared" si="14"/>
        <v>-1820.3896275</v>
      </c>
      <c r="N80">
        <f t="shared" si="15"/>
        <v>20.305780885407938</v>
      </c>
      <c r="O80">
        <f t="shared" si="16"/>
        <v>7.9173141145920631</v>
      </c>
      <c r="P80">
        <f t="shared" si="17"/>
        <v>62.683862789118706</v>
      </c>
      <c r="Q80">
        <f t="shared" si="18"/>
        <v>2.8582361424520083E-2</v>
      </c>
      <c r="R80">
        <f t="shared" si="19"/>
        <v>2.8582361424520082</v>
      </c>
    </row>
    <row r="81" spans="1:18" x14ac:dyDescent="0.3">
      <c r="A81" s="2">
        <v>44617</v>
      </c>
      <c r="B81">
        <v>51.742319999999999</v>
      </c>
      <c r="F81" s="7" t="s">
        <v>21</v>
      </c>
      <c r="G81">
        <v>27.193829999999998</v>
      </c>
      <c r="I81" t="str">
        <f t="shared" si="12"/>
        <v>2006-Dec</v>
      </c>
      <c r="J81">
        <v>30.134166000000004</v>
      </c>
      <c r="K81">
        <v>-63.5</v>
      </c>
      <c r="L81">
        <f t="shared" si="13"/>
        <v>4032.25</v>
      </c>
      <c r="M81">
        <f t="shared" si="14"/>
        <v>-1913.5195410000003</v>
      </c>
      <c r="N81">
        <f t="shared" si="15"/>
        <v>20.422434932315578</v>
      </c>
      <c r="O81">
        <f t="shared" si="16"/>
        <v>9.7117310676844255</v>
      </c>
      <c r="P81">
        <f t="shared" si="17"/>
        <v>94.317720331026877</v>
      </c>
      <c r="Q81">
        <f t="shared" si="18"/>
        <v>3.5060400966369767E-2</v>
      </c>
      <c r="R81">
        <f t="shared" si="19"/>
        <v>3.5060400966369767</v>
      </c>
    </row>
    <row r="82" spans="1:18" x14ac:dyDescent="0.3">
      <c r="A82" s="2">
        <v>44610</v>
      </c>
      <c r="B82">
        <v>55.602339999999998</v>
      </c>
      <c r="F82" s="7" t="s">
        <v>22</v>
      </c>
      <c r="G82">
        <v>26.487205999999997</v>
      </c>
      <c r="I82" t="str">
        <f>_xlfn.CONCAT($F$89,"-",F90)</f>
        <v>2007-Jan</v>
      </c>
      <c r="J82">
        <v>29.935380000000002</v>
      </c>
      <c r="K82">
        <v>-62.5</v>
      </c>
      <c r="L82">
        <f t="shared" si="13"/>
        <v>3906.25</v>
      </c>
      <c r="M82">
        <f t="shared" si="14"/>
        <v>-1870.9612500000001</v>
      </c>
      <c r="N82">
        <f t="shared" si="15"/>
        <v>20.539088979223216</v>
      </c>
      <c r="O82">
        <f t="shared" si="16"/>
        <v>9.3962910207767862</v>
      </c>
      <c r="P82">
        <f t="shared" si="17"/>
        <v>88.290284947130459</v>
      </c>
      <c r="Q82">
        <f t="shared" si="18"/>
        <v>3.3921628233851212E-2</v>
      </c>
      <c r="R82">
        <f t="shared" si="19"/>
        <v>3.3921628233851213</v>
      </c>
    </row>
    <row r="83" spans="1:18" x14ac:dyDescent="0.3">
      <c r="A83" s="2">
        <v>44603</v>
      </c>
      <c r="B83">
        <v>59.298589999999997</v>
      </c>
      <c r="F83" s="7" t="s">
        <v>23</v>
      </c>
      <c r="G83">
        <v>25.527122500000001</v>
      </c>
      <c r="I83" t="str">
        <f t="shared" ref="I83:I93" si="20">_xlfn.CONCAT($F$89,"-",F91)</f>
        <v>2007-Feb</v>
      </c>
      <c r="J83">
        <v>32.4123375</v>
      </c>
      <c r="K83">
        <v>-61.5</v>
      </c>
      <c r="L83">
        <f t="shared" si="13"/>
        <v>3782.25</v>
      </c>
      <c r="M83">
        <f t="shared" si="14"/>
        <v>-1993.3587562499999</v>
      </c>
      <c r="N83">
        <f t="shared" si="15"/>
        <v>20.655743026130857</v>
      </c>
      <c r="O83">
        <f t="shared" si="16"/>
        <v>11.756594473869143</v>
      </c>
      <c r="P83">
        <f t="shared" si="17"/>
        <v>138.21751362301046</v>
      </c>
      <c r="Q83">
        <f t="shared" si="18"/>
        <v>4.2442579328047444E-2</v>
      </c>
      <c r="R83">
        <f t="shared" si="19"/>
        <v>4.2442579328047447</v>
      </c>
    </row>
    <row r="84" spans="1:18" x14ac:dyDescent="0.3">
      <c r="A84" s="2">
        <v>44596</v>
      </c>
      <c r="B84">
        <v>60.167859999999997</v>
      </c>
      <c r="F84" s="7" t="s">
        <v>24</v>
      </c>
      <c r="G84">
        <v>24.367877499999999</v>
      </c>
      <c r="I84" t="str">
        <f t="shared" si="20"/>
        <v>2007-Mar</v>
      </c>
      <c r="J84">
        <v>30.667146000000002</v>
      </c>
      <c r="K84">
        <v>-60.5</v>
      </c>
      <c r="L84">
        <f t="shared" si="13"/>
        <v>3660.25</v>
      </c>
      <c r="M84">
        <f t="shared" si="14"/>
        <v>-1855.362333</v>
      </c>
      <c r="N84">
        <f t="shared" si="15"/>
        <v>20.772397073038498</v>
      </c>
      <c r="O84">
        <f t="shared" si="16"/>
        <v>9.8947489269615048</v>
      </c>
      <c r="P84">
        <f t="shared" si="17"/>
        <v>97.906056327605853</v>
      </c>
      <c r="Q84">
        <f t="shared" si="18"/>
        <v>3.5721115259788827E-2</v>
      </c>
      <c r="R84">
        <f t="shared" si="19"/>
        <v>3.5721115259788827</v>
      </c>
    </row>
    <row r="85" spans="1:18" x14ac:dyDescent="0.3">
      <c r="A85" s="2">
        <v>44589</v>
      </c>
      <c r="B85">
        <v>58.754620000000003</v>
      </c>
      <c r="F85" s="7" t="s">
        <v>25</v>
      </c>
      <c r="G85">
        <v>25.924682000000001</v>
      </c>
      <c r="I85" t="str">
        <f t="shared" si="20"/>
        <v>2007-Apr</v>
      </c>
      <c r="J85">
        <v>32.2773775</v>
      </c>
      <c r="K85">
        <v>-59.5</v>
      </c>
      <c r="L85">
        <f t="shared" si="13"/>
        <v>3540.25</v>
      </c>
      <c r="M85">
        <f t="shared" si="14"/>
        <v>-1920.50396125</v>
      </c>
      <c r="N85">
        <f t="shared" si="15"/>
        <v>20.889051119946135</v>
      </c>
      <c r="O85">
        <f t="shared" si="16"/>
        <v>11.388326380053865</v>
      </c>
      <c r="P85">
        <f t="shared" si="17"/>
        <v>129.69397773863076</v>
      </c>
      <c r="Q85">
        <f t="shared" si="18"/>
        <v>4.1113091624743192E-2</v>
      </c>
      <c r="R85">
        <f t="shared" si="19"/>
        <v>4.1113091624743188</v>
      </c>
    </row>
    <row r="86" spans="1:18" x14ac:dyDescent="0.3">
      <c r="A86" s="2">
        <v>44582</v>
      </c>
      <c r="B86">
        <v>59.033239999999999</v>
      </c>
      <c r="F86" s="7" t="s">
        <v>26</v>
      </c>
      <c r="G86">
        <v>27.1057025</v>
      </c>
      <c r="I86" t="str">
        <f t="shared" si="20"/>
        <v>2007-May</v>
      </c>
      <c r="J86">
        <v>32.675087500000004</v>
      </c>
      <c r="K86">
        <v>-58.5</v>
      </c>
      <c r="L86">
        <f t="shared" si="13"/>
        <v>3422.25</v>
      </c>
      <c r="M86">
        <f t="shared" si="14"/>
        <v>-1911.4926187500002</v>
      </c>
      <c r="N86">
        <f t="shared" si="15"/>
        <v>21.005705166853772</v>
      </c>
      <c r="O86">
        <f t="shared" si="16"/>
        <v>11.669382333146231</v>
      </c>
      <c r="P86">
        <f t="shared" si="17"/>
        <v>136.17448403714539</v>
      </c>
      <c r="Q86">
        <f t="shared" si="18"/>
        <v>4.2127734054679532E-2</v>
      </c>
      <c r="R86">
        <f t="shared" si="19"/>
        <v>4.2127734054679529</v>
      </c>
    </row>
    <row r="87" spans="1:18" x14ac:dyDescent="0.3">
      <c r="A87" s="2">
        <v>44575</v>
      </c>
      <c r="B87">
        <v>61.821640000000002</v>
      </c>
      <c r="F87" s="7" t="s">
        <v>27</v>
      </c>
      <c r="G87">
        <v>28.223095000000001</v>
      </c>
      <c r="I87" t="str">
        <f t="shared" si="20"/>
        <v>2007-Jun</v>
      </c>
      <c r="J87">
        <v>32.346406000000002</v>
      </c>
      <c r="K87">
        <v>-57.5</v>
      </c>
      <c r="L87">
        <f t="shared" si="13"/>
        <v>3306.25</v>
      </c>
      <c r="M87">
        <f t="shared" si="14"/>
        <v>-1859.918345</v>
      </c>
      <c r="N87">
        <f t="shared" si="15"/>
        <v>21.122359213761413</v>
      </c>
      <c r="O87">
        <f t="shared" si="16"/>
        <v>11.224046786238588</v>
      </c>
      <c r="P87">
        <f t="shared" si="17"/>
        <v>125.97922625967279</v>
      </c>
      <c r="Q87">
        <f t="shared" si="18"/>
        <v>4.0520024499056277E-2</v>
      </c>
      <c r="R87">
        <f t="shared" si="19"/>
        <v>4.0520024499056273</v>
      </c>
    </row>
    <row r="88" spans="1:18" x14ac:dyDescent="0.3">
      <c r="A88" s="2">
        <v>44568</v>
      </c>
      <c r="B88">
        <v>63.349350000000001</v>
      </c>
      <c r="F88" s="7" t="s">
        <v>28</v>
      </c>
      <c r="G88">
        <v>30.134166000000004</v>
      </c>
      <c r="I88" t="str">
        <f t="shared" si="20"/>
        <v>2007-Jul</v>
      </c>
      <c r="J88">
        <v>31.160175000000002</v>
      </c>
      <c r="K88">
        <v>-56.5</v>
      </c>
      <c r="L88">
        <f t="shared" si="13"/>
        <v>3192.25</v>
      </c>
      <c r="M88">
        <f t="shared" si="14"/>
        <v>-1760.5498875000001</v>
      </c>
      <c r="N88">
        <f t="shared" si="15"/>
        <v>21.239013260669054</v>
      </c>
      <c r="O88">
        <f t="shared" si="16"/>
        <v>9.9211617393309481</v>
      </c>
      <c r="P88">
        <f t="shared" si="17"/>
        <v>98.429450257964291</v>
      </c>
      <c r="Q88">
        <f t="shared" si="18"/>
        <v>3.5816468373035912E-2</v>
      </c>
      <c r="R88">
        <f t="shared" si="19"/>
        <v>3.581646837303591</v>
      </c>
    </row>
    <row r="89" spans="1:18" x14ac:dyDescent="0.3">
      <c r="A89" s="2">
        <v>44561</v>
      </c>
      <c r="B89">
        <v>63.975009999999997</v>
      </c>
      <c r="F89" s="4" t="s">
        <v>45</v>
      </c>
      <c r="G89">
        <v>31.286188076923079</v>
      </c>
      <c r="I89" t="str">
        <f t="shared" si="20"/>
        <v>2007-Aug</v>
      </c>
      <c r="J89">
        <v>28.867258</v>
      </c>
      <c r="K89">
        <v>-55.5</v>
      </c>
      <c r="L89">
        <f t="shared" si="13"/>
        <v>3080.25</v>
      </c>
      <c r="M89">
        <f t="shared" si="14"/>
        <v>-1602.1328189999999</v>
      </c>
      <c r="N89">
        <f t="shared" si="15"/>
        <v>21.355667307576692</v>
      </c>
      <c r="O89">
        <f t="shared" si="16"/>
        <v>7.511590692423308</v>
      </c>
      <c r="P89">
        <f t="shared" si="17"/>
        <v>56.423994730500475</v>
      </c>
      <c r="Q89">
        <f t="shared" si="18"/>
        <v>2.7117655929326023E-2</v>
      </c>
      <c r="R89">
        <f t="shared" si="19"/>
        <v>2.7117655929326023</v>
      </c>
    </row>
    <row r="90" spans="1:18" x14ac:dyDescent="0.3">
      <c r="A90" s="2">
        <v>44554</v>
      </c>
      <c r="B90">
        <v>62.308149999999998</v>
      </c>
      <c r="F90" s="7" t="s">
        <v>30</v>
      </c>
      <c r="G90">
        <v>29.935380000000002</v>
      </c>
      <c r="I90" t="str">
        <f t="shared" si="20"/>
        <v>2007-Sep</v>
      </c>
      <c r="J90">
        <v>29.057095</v>
      </c>
      <c r="K90">
        <v>-54.5</v>
      </c>
      <c r="L90">
        <f t="shared" si="13"/>
        <v>2970.25</v>
      </c>
      <c r="M90">
        <f t="shared" si="14"/>
        <v>-1583.6116775</v>
      </c>
      <c r="N90">
        <f t="shared" si="15"/>
        <v>21.472321354484333</v>
      </c>
      <c r="O90">
        <f t="shared" si="16"/>
        <v>7.5847736455156678</v>
      </c>
      <c r="P90">
        <f t="shared" si="17"/>
        <v>57.528791253709031</v>
      </c>
      <c r="Q90">
        <f t="shared" si="18"/>
        <v>2.7381854315941038E-2</v>
      </c>
      <c r="R90">
        <f t="shared" si="19"/>
        <v>2.7381854315941037</v>
      </c>
    </row>
    <row r="91" spans="1:18" x14ac:dyDescent="0.3">
      <c r="A91" s="2">
        <v>44547</v>
      </c>
      <c r="B91">
        <v>60.295070000000003</v>
      </c>
      <c r="F91" s="7" t="s">
        <v>31</v>
      </c>
      <c r="G91">
        <v>32.4123375</v>
      </c>
      <c r="I91" t="str">
        <f t="shared" si="20"/>
        <v>2007-Oct</v>
      </c>
      <c r="J91">
        <v>30.1758825</v>
      </c>
      <c r="K91">
        <v>-53.5</v>
      </c>
      <c r="L91">
        <f t="shared" si="13"/>
        <v>2862.25</v>
      </c>
      <c r="M91">
        <f t="shared" si="14"/>
        <v>-1614.40971375</v>
      </c>
      <c r="N91">
        <f t="shared" si="15"/>
        <v>21.58897540139197</v>
      </c>
      <c r="O91">
        <f t="shared" si="16"/>
        <v>8.5869070986080303</v>
      </c>
      <c r="P91">
        <f t="shared" si="17"/>
        <v>73.734973520124981</v>
      </c>
      <c r="Q91">
        <f t="shared" si="18"/>
        <v>3.0999664615913466E-2</v>
      </c>
      <c r="R91">
        <f t="shared" si="19"/>
        <v>3.0999664615913467</v>
      </c>
    </row>
    <row r="92" spans="1:18" x14ac:dyDescent="0.3">
      <c r="A92" s="2">
        <v>44540</v>
      </c>
      <c r="B92">
        <v>60.681159999999998</v>
      </c>
      <c r="F92" s="7" t="s">
        <v>19</v>
      </c>
      <c r="G92">
        <v>30.667146000000002</v>
      </c>
      <c r="I92" t="str">
        <f t="shared" si="20"/>
        <v>2007-Nov</v>
      </c>
      <c r="J92">
        <v>32.158047999999994</v>
      </c>
      <c r="K92">
        <v>-52.5</v>
      </c>
      <c r="L92">
        <f t="shared" si="13"/>
        <v>2756.25</v>
      </c>
      <c r="M92">
        <f t="shared" si="14"/>
        <v>-1688.2975199999996</v>
      </c>
      <c r="N92">
        <f t="shared" si="15"/>
        <v>21.705629448299611</v>
      </c>
      <c r="O92">
        <f t="shared" si="16"/>
        <v>10.452418551700383</v>
      </c>
      <c r="P92">
        <f t="shared" si="17"/>
        <v>109.25305357993032</v>
      </c>
      <c r="Q92">
        <f t="shared" si="18"/>
        <v>3.7734363002528457E-2</v>
      </c>
      <c r="R92">
        <f t="shared" si="19"/>
        <v>3.7734363002528455</v>
      </c>
    </row>
    <row r="93" spans="1:18" x14ac:dyDescent="0.3">
      <c r="A93" s="2">
        <v>44533</v>
      </c>
      <c r="B93">
        <v>58.681469999999997</v>
      </c>
      <c r="F93" s="7" t="s">
        <v>20</v>
      </c>
      <c r="G93">
        <v>32.2773775</v>
      </c>
      <c r="I93" t="str">
        <f t="shared" si="20"/>
        <v>2007-Dec</v>
      </c>
      <c r="J93">
        <v>33.978537500000002</v>
      </c>
      <c r="K93">
        <v>-51.5</v>
      </c>
      <c r="L93">
        <f t="shared" si="13"/>
        <v>2652.25</v>
      </c>
      <c r="M93">
        <f t="shared" si="14"/>
        <v>-1749.8946812500001</v>
      </c>
      <c r="N93">
        <f t="shared" si="15"/>
        <v>21.822283495207248</v>
      </c>
      <c r="O93">
        <f t="shared" si="16"/>
        <v>12.156254004792753</v>
      </c>
      <c r="P93">
        <f t="shared" si="17"/>
        <v>147.77451142903985</v>
      </c>
      <c r="Q93">
        <f t="shared" si="18"/>
        <v>4.3885393519107412E-2</v>
      </c>
      <c r="R93">
        <f t="shared" si="19"/>
        <v>4.3885393519107412</v>
      </c>
    </row>
    <row r="94" spans="1:18" x14ac:dyDescent="0.3">
      <c r="A94" s="2">
        <v>44526</v>
      </c>
      <c r="B94">
        <v>60.985080000000004</v>
      </c>
      <c r="F94" s="7" t="s">
        <v>21</v>
      </c>
      <c r="G94">
        <v>32.675087500000004</v>
      </c>
      <c r="I94" t="str">
        <f>_xlfn.CONCAT($F$102,"-",F103)</f>
        <v>2008-Jan</v>
      </c>
      <c r="J94">
        <v>33.132747500000001</v>
      </c>
      <c r="K94">
        <v>-50.5</v>
      </c>
      <c r="L94">
        <f t="shared" si="13"/>
        <v>2550.25</v>
      </c>
      <c r="M94">
        <f t="shared" si="14"/>
        <v>-1673.2037487499999</v>
      </c>
      <c r="N94">
        <f t="shared" si="15"/>
        <v>21.938937542114889</v>
      </c>
      <c r="O94">
        <f t="shared" si="16"/>
        <v>11.193809957885112</v>
      </c>
      <c r="P94">
        <f t="shared" si="17"/>
        <v>125.30138137324788</v>
      </c>
      <c r="Q94">
        <f t="shared" si="18"/>
        <v>4.0410866273953475E-2</v>
      </c>
      <c r="R94">
        <f t="shared" si="19"/>
        <v>4.0410866273953472</v>
      </c>
    </row>
    <row r="95" spans="1:18" x14ac:dyDescent="0.3">
      <c r="A95" s="2">
        <v>44519</v>
      </c>
      <c r="B95">
        <v>64.251729999999995</v>
      </c>
      <c r="F95" s="7" t="s">
        <v>22</v>
      </c>
      <c r="G95">
        <v>32.346406000000002</v>
      </c>
      <c r="I95" t="str">
        <f t="shared" ref="I95:I105" si="21">_xlfn.CONCAT($F$102,"-",F104)</f>
        <v>2008-Feb</v>
      </c>
      <c r="J95">
        <v>32.697887999999992</v>
      </c>
      <c r="K95">
        <v>-49.5</v>
      </c>
      <c r="L95">
        <f t="shared" si="13"/>
        <v>2450.25</v>
      </c>
      <c r="M95">
        <f t="shared" si="14"/>
        <v>-1618.5454559999996</v>
      </c>
      <c r="N95">
        <f t="shared" si="15"/>
        <v>22.055591589022526</v>
      </c>
      <c r="O95">
        <f t="shared" si="16"/>
        <v>10.642296410977465</v>
      </c>
      <c r="P95">
        <f t="shared" si="17"/>
        <v>113.25847289910384</v>
      </c>
      <c r="Q95">
        <f t="shared" si="18"/>
        <v>3.8419842638907818E-2</v>
      </c>
      <c r="R95">
        <f t="shared" si="19"/>
        <v>3.8419842638907817</v>
      </c>
    </row>
    <row r="96" spans="1:18" x14ac:dyDescent="0.3">
      <c r="A96" s="2">
        <v>44512</v>
      </c>
      <c r="B96">
        <v>64.240340000000003</v>
      </c>
      <c r="F96" s="7" t="s">
        <v>23</v>
      </c>
      <c r="G96">
        <v>31.160175000000002</v>
      </c>
      <c r="I96" t="str">
        <f t="shared" si="21"/>
        <v>2008-Mar</v>
      </c>
      <c r="J96">
        <v>31.1009125</v>
      </c>
      <c r="K96">
        <v>-48.5</v>
      </c>
      <c r="L96">
        <f t="shared" si="13"/>
        <v>2352.25</v>
      </c>
      <c r="M96">
        <f t="shared" si="14"/>
        <v>-1508.3942562499999</v>
      </c>
      <c r="N96">
        <f t="shared" si="15"/>
        <v>22.172245635930167</v>
      </c>
      <c r="O96">
        <f t="shared" si="16"/>
        <v>8.9286668640698323</v>
      </c>
      <c r="P96">
        <f t="shared" si="17"/>
        <v>79.72109196953862</v>
      </c>
      <c r="Q96">
        <f t="shared" si="18"/>
        <v>3.2233454382923583E-2</v>
      </c>
      <c r="R96">
        <f t="shared" si="19"/>
        <v>3.2233454382923585</v>
      </c>
    </row>
    <row r="97" spans="1:18" x14ac:dyDescent="0.3">
      <c r="A97" s="2">
        <v>44505</v>
      </c>
      <c r="B97">
        <v>64.892560000000003</v>
      </c>
      <c r="F97" s="7" t="s">
        <v>24</v>
      </c>
      <c r="G97">
        <v>28.867258</v>
      </c>
      <c r="I97" t="str">
        <f t="shared" si="21"/>
        <v>2008-Apr</v>
      </c>
      <c r="J97">
        <v>31.803690000000003</v>
      </c>
      <c r="K97">
        <v>-47.5</v>
      </c>
      <c r="L97">
        <f t="shared" si="13"/>
        <v>2256.25</v>
      </c>
      <c r="M97">
        <f t="shared" si="14"/>
        <v>-1510.6752750000001</v>
      </c>
      <c r="N97">
        <f t="shared" si="15"/>
        <v>22.288899682837808</v>
      </c>
      <c r="O97">
        <f t="shared" si="16"/>
        <v>9.5147903171621948</v>
      </c>
      <c r="P97">
        <f t="shared" si="17"/>
        <v>90.531234779563462</v>
      </c>
      <c r="Q97">
        <f t="shared" si="18"/>
        <v>3.4349423527661356E-2</v>
      </c>
      <c r="R97">
        <f t="shared" si="19"/>
        <v>3.4349423527661358</v>
      </c>
    </row>
    <row r="98" spans="1:18" x14ac:dyDescent="0.3">
      <c r="A98" s="2">
        <v>44498</v>
      </c>
      <c r="B98">
        <v>61.906739999999999</v>
      </c>
      <c r="F98" s="7" t="s">
        <v>25</v>
      </c>
      <c r="G98">
        <v>29.057095</v>
      </c>
      <c r="I98" t="str">
        <f t="shared" si="21"/>
        <v>2008-May</v>
      </c>
      <c r="J98">
        <v>32.524333999999996</v>
      </c>
      <c r="K98">
        <v>-46.5</v>
      </c>
      <c r="L98">
        <f t="shared" si="13"/>
        <v>2162.25</v>
      </c>
      <c r="M98">
        <f t="shared" si="14"/>
        <v>-1512.3815309999998</v>
      </c>
      <c r="N98">
        <f t="shared" si="15"/>
        <v>22.405553729745446</v>
      </c>
      <c r="O98">
        <f t="shared" si="16"/>
        <v>10.11878027025455</v>
      </c>
      <c r="P98">
        <f t="shared" si="17"/>
        <v>102.38971415769275</v>
      </c>
      <c r="Q98">
        <f t="shared" si="18"/>
        <v>3.6529892672399096E-2</v>
      </c>
      <c r="R98">
        <f t="shared" si="19"/>
        <v>3.6529892672399096</v>
      </c>
    </row>
    <row r="99" spans="1:18" x14ac:dyDescent="0.3">
      <c r="A99" s="2">
        <v>44491</v>
      </c>
      <c r="B99">
        <v>62.498739999999998</v>
      </c>
      <c r="F99" s="7" t="s">
        <v>26</v>
      </c>
      <c r="G99">
        <v>30.1758825</v>
      </c>
      <c r="I99" t="str">
        <f t="shared" si="21"/>
        <v>2008-Jun</v>
      </c>
      <c r="J99">
        <v>28.1949775</v>
      </c>
      <c r="K99">
        <v>-45.5</v>
      </c>
      <c r="L99">
        <f t="shared" si="13"/>
        <v>2070.25</v>
      </c>
      <c r="M99">
        <f t="shared" si="14"/>
        <v>-1282.8714762500001</v>
      </c>
      <c r="N99">
        <f t="shared" si="15"/>
        <v>22.522207776653083</v>
      </c>
      <c r="O99">
        <f t="shared" si="16"/>
        <v>5.6727697233469172</v>
      </c>
      <c r="P99">
        <f t="shared" si="17"/>
        <v>32.180316334121457</v>
      </c>
      <c r="Q99">
        <f t="shared" si="18"/>
        <v>2.0479313080674792E-2</v>
      </c>
      <c r="R99">
        <f t="shared" si="19"/>
        <v>2.0479313080674793</v>
      </c>
    </row>
    <row r="100" spans="1:18" x14ac:dyDescent="0.3">
      <c r="A100" s="2">
        <v>44484</v>
      </c>
      <c r="B100">
        <v>61.325960000000002</v>
      </c>
      <c r="F100" s="7" t="s">
        <v>27</v>
      </c>
      <c r="G100">
        <v>32.158047999999994</v>
      </c>
      <c r="I100" t="str">
        <f t="shared" si="21"/>
        <v>2008-Jul</v>
      </c>
      <c r="J100">
        <v>25.001200000000001</v>
      </c>
      <c r="K100">
        <v>-44.5</v>
      </c>
      <c r="L100">
        <f t="shared" si="13"/>
        <v>1980.25</v>
      </c>
      <c r="M100">
        <f t="shared" si="14"/>
        <v>-1112.5534</v>
      </c>
      <c r="N100">
        <f t="shared" si="15"/>
        <v>22.638861823560724</v>
      </c>
      <c r="O100">
        <f t="shared" si="16"/>
        <v>2.3623381764392768</v>
      </c>
      <c r="P100">
        <f t="shared" si="17"/>
        <v>5.5806416598624473</v>
      </c>
      <c r="Q100">
        <f t="shared" si="18"/>
        <v>8.5282966658457651E-3</v>
      </c>
      <c r="R100">
        <f t="shared" si="19"/>
        <v>0.85282966658457648</v>
      </c>
    </row>
    <row r="101" spans="1:18" x14ac:dyDescent="0.3">
      <c r="A101" s="2">
        <v>44477</v>
      </c>
      <c r="B101">
        <v>61.323889999999999</v>
      </c>
      <c r="F101" s="7" t="s">
        <v>28</v>
      </c>
      <c r="G101">
        <v>33.978537500000002</v>
      </c>
      <c r="I101" t="str">
        <f t="shared" si="21"/>
        <v>2008-Aug</v>
      </c>
      <c r="J101">
        <v>23.273242</v>
      </c>
      <c r="K101">
        <v>-43.5</v>
      </c>
      <c r="L101">
        <f t="shared" si="13"/>
        <v>1892.25</v>
      </c>
      <c r="M101">
        <f t="shared" si="14"/>
        <v>-1012.386027</v>
      </c>
      <c r="N101">
        <f t="shared" si="15"/>
        <v>22.755515870468365</v>
      </c>
      <c r="O101">
        <f t="shared" si="16"/>
        <v>0.51772612953163488</v>
      </c>
      <c r="P101">
        <f t="shared" si="17"/>
        <v>0.26804034519980718</v>
      </c>
      <c r="Q101">
        <f t="shared" si="18"/>
        <v>1.8690473990311729E-3</v>
      </c>
      <c r="R101">
        <f t="shared" si="19"/>
        <v>0.18690473990311729</v>
      </c>
    </row>
    <row r="102" spans="1:18" x14ac:dyDescent="0.3">
      <c r="A102" s="2">
        <v>44470</v>
      </c>
      <c r="B102">
        <v>63.261629999999997</v>
      </c>
      <c r="F102" s="4" t="s">
        <v>46</v>
      </c>
      <c r="G102">
        <v>25.255247115384613</v>
      </c>
      <c r="I102" t="str">
        <f t="shared" si="21"/>
        <v>2008-Sep</v>
      </c>
      <c r="J102">
        <v>22.769042499999998</v>
      </c>
      <c r="K102">
        <v>-42.5</v>
      </c>
      <c r="L102">
        <f t="shared" si="13"/>
        <v>1806.25</v>
      </c>
      <c r="M102">
        <f t="shared" si="14"/>
        <v>-967.68430624999985</v>
      </c>
      <c r="N102">
        <f t="shared" si="15"/>
        <v>22.872169917376002</v>
      </c>
      <c r="O102">
        <f t="shared" si="16"/>
        <v>-0.10312741737600462</v>
      </c>
      <c r="P102">
        <f t="shared" si="17"/>
        <v>1.0635264214644658E-2</v>
      </c>
      <c r="Q102">
        <f t="shared" si="18"/>
        <v>3.7230114576174952E-4</v>
      </c>
      <c r="R102">
        <f t="shared" si="19"/>
        <v>3.723011457617495E-2</v>
      </c>
    </row>
    <row r="103" spans="1:18" x14ac:dyDescent="0.3">
      <c r="A103" s="2">
        <v>44463</v>
      </c>
      <c r="B103">
        <v>67.156109999999998</v>
      </c>
      <c r="F103" s="7" t="s">
        <v>30</v>
      </c>
      <c r="G103">
        <v>33.132747500000001</v>
      </c>
      <c r="I103" t="str">
        <f t="shared" si="21"/>
        <v>2008-Oct</v>
      </c>
      <c r="J103">
        <v>14.772746000000001</v>
      </c>
      <c r="K103">
        <v>-41.5</v>
      </c>
      <c r="L103">
        <f t="shared" si="13"/>
        <v>1722.25</v>
      </c>
      <c r="M103">
        <f t="shared" si="14"/>
        <v>-613.06895900000006</v>
      </c>
      <c r="N103">
        <f t="shared" si="15"/>
        <v>22.988823964283643</v>
      </c>
      <c r="O103">
        <f t="shared" si="16"/>
        <v>-8.2160779642836417</v>
      </c>
      <c r="P103">
        <f t="shared" si="17"/>
        <v>67.503937115187227</v>
      </c>
      <c r="Q103">
        <f t="shared" si="18"/>
        <v>2.9660931279002316E-2</v>
      </c>
      <c r="R103">
        <f t="shared" si="19"/>
        <v>2.9660931279002316</v>
      </c>
    </row>
    <row r="104" spans="1:18" x14ac:dyDescent="0.3">
      <c r="A104" s="2">
        <v>44456</v>
      </c>
      <c r="B104">
        <v>69.24203</v>
      </c>
      <c r="F104" s="7" t="s">
        <v>31</v>
      </c>
      <c r="G104">
        <v>32.697887999999992</v>
      </c>
      <c r="I104" t="str">
        <f t="shared" si="21"/>
        <v>2008-Nov</v>
      </c>
      <c r="J104">
        <v>12.6208825</v>
      </c>
      <c r="K104">
        <v>-40.5</v>
      </c>
      <c r="L104">
        <f t="shared" si="13"/>
        <v>1640.25</v>
      </c>
      <c r="M104">
        <f t="shared" si="14"/>
        <v>-511.14574125000001</v>
      </c>
      <c r="N104">
        <f t="shared" si="15"/>
        <v>23.105478011191281</v>
      </c>
      <c r="O104">
        <f t="shared" si="16"/>
        <v>-10.48459551119128</v>
      </c>
      <c r="P104">
        <f t="shared" si="17"/>
        <v>109.92674303329234</v>
      </c>
      <c r="Q104">
        <f t="shared" si="18"/>
        <v>3.7850525311159858E-2</v>
      </c>
      <c r="R104">
        <f t="shared" si="19"/>
        <v>3.7850525311159857</v>
      </c>
    </row>
    <row r="105" spans="1:18" x14ac:dyDescent="0.3">
      <c r="A105" s="2">
        <v>44449</v>
      </c>
      <c r="B105">
        <v>68.573840000000004</v>
      </c>
      <c r="F105" s="7" t="s">
        <v>19</v>
      </c>
      <c r="G105">
        <v>31.1009125</v>
      </c>
      <c r="I105" t="str">
        <f t="shared" si="21"/>
        <v>2008-Dec</v>
      </c>
      <c r="J105">
        <v>14.6094975</v>
      </c>
      <c r="K105">
        <v>-39.5</v>
      </c>
      <c r="L105">
        <f t="shared" si="13"/>
        <v>1560.25</v>
      </c>
      <c r="M105">
        <f t="shared" si="14"/>
        <v>-577.07515124999998</v>
      </c>
      <c r="N105">
        <f t="shared" si="15"/>
        <v>23.222132058098921</v>
      </c>
      <c r="O105">
        <f t="shared" si="16"/>
        <v>-8.6126345580989216</v>
      </c>
      <c r="P105">
        <f t="shared" si="17"/>
        <v>74.177474031359807</v>
      </c>
      <c r="Q105">
        <f t="shared" si="18"/>
        <v>3.109254353104304E-2</v>
      </c>
      <c r="R105">
        <f t="shared" si="19"/>
        <v>3.109254353104304</v>
      </c>
    </row>
    <row r="106" spans="1:18" x14ac:dyDescent="0.3">
      <c r="A106" s="2">
        <v>44442</v>
      </c>
      <c r="B106">
        <v>70.293679999999995</v>
      </c>
      <c r="F106" s="7" t="s">
        <v>20</v>
      </c>
      <c r="G106">
        <v>31.803690000000003</v>
      </c>
      <c r="I106" t="str">
        <f>_xlfn.CONCAT($F$115,"-",F116)</f>
        <v>2009-Jan</v>
      </c>
      <c r="J106">
        <v>13.326230000000001</v>
      </c>
      <c r="K106">
        <v>-38.5</v>
      </c>
      <c r="L106">
        <f t="shared" si="13"/>
        <v>1482.25</v>
      </c>
      <c r="M106">
        <f t="shared" si="14"/>
        <v>-513.05985499999997</v>
      </c>
      <c r="N106">
        <f t="shared" si="15"/>
        <v>23.338786105006562</v>
      </c>
      <c r="O106">
        <f t="shared" si="16"/>
        <v>-10.012556105006562</v>
      </c>
      <c r="P106">
        <f t="shared" si="17"/>
        <v>100.25127975590416</v>
      </c>
      <c r="Q106">
        <f t="shared" si="18"/>
        <v>3.614641193143163E-2</v>
      </c>
      <c r="R106">
        <f t="shared" si="19"/>
        <v>3.614641193143163</v>
      </c>
    </row>
    <row r="107" spans="1:18" x14ac:dyDescent="0.3">
      <c r="A107" s="2">
        <v>44435</v>
      </c>
      <c r="B107">
        <v>69.791110000000003</v>
      </c>
      <c r="F107" s="7" t="s">
        <v>21</v>
      </c>
      <c r="G107">
        <v>32.524333999999996</v>
      </c>
      <c r="I107" t="str">
        <f t="shared" ref="I107:I117" si="22">_xlfn.CONCAT($F$115,"-",F117)</f>
        <v>2009-Feb</v>
      </c>
      <c r="J107">
        <v>11.8683175</v>
      </c>
      <c r="K107">
        <v>-37.5</v>
      </c>
      <c r="L107">
        <f t="shared" si="13"/>
        <v>1406.25</v>
      </c>
      <c r="M107">
        <f t="shared" si="14"/>
        <v>-445.06190624999999</v>
      </c>
      <c r="N107">
        <f t="shared" si="15"/>
        <v>23.4554401519142</v>
      </c>
      <c r="O107">
        <f t="shared" si="16"/>
        <v>-11.5871226519142</v>
      </c>
      <c r="P107">
        <f t="shared" si="17"/>
        <v>134.26141135050315</v>
      </c>
      <c r="Q107">
        <f t="shared" si="18"/>
        <v>4.1830767696441153E-2</v>
      </c>
      <c r="R107">
        <f t="shared" si="19"/>
        <v>4.1830767696441153</v>
      </c>
    </row>
    <row r="108" spans="1:18" x14ac:dyDescent="0.3">
      <c r="A108" s="2">
        <v>44428</v>
      </c>
      <c r="B108">
        <v>69.457300000000004</v>
      </c>
      <c r="F108" s="7" t="s">
        <v>22</v>
      </c>
      <c r="G108">
        <v>28.1949775</v>
      </c>
      <c r="I108" t="str">
        <f t="shared" si="22"/>
        <v>2009-Mar</v>
      </c>
      <c r="J108">
        <v>9.8938775000000003</v>
      </c>
      <c r="K108">
        <v>-36.5</v>
      </c>
      <c r="L108">
        <f t="shared" si="13"/>
        <v>1332.25</v>
      </c>
      <c r="M108">
        <f t="shared" si="14"/>
        <v>-361.12652875000003</v>
      </c>
      <c r="N108">
        <f t="shared" si="15"/>
        <v>23.572094198821837</v>
      </c>
      <c r="O108">
        <f t="shared" si="16"/>
        <v>-13.678216698821837</v>
      </c>
      <c r="P108">
        <f t="shared" si="17"/>
        <v>187.09361205992855</v>
      </c>
      <c r="Q108">
        <f t="shared" si="18"/>
        <v>4.9379843678057173E-2</v>
      </c>
      <c r="R108">
        <f t="shared" si="19"/>
        <v>4.9379843678057176</v>
      </c>
    </row>
    <row r="109" spans="1:18" x14ac:dyDescent="0.3">
      <c r="A109" s="2">
        <v>44421</v>
      </c>
      <c r="B109">
        <v>68.487200000000001</v>
      </c>
      <c r="F109" s="7" t="s">
        <v>23</v>
      </c>
      <c r="G109">
        <v>25.001200000000001</v>
      </c>
      <c r="I109" t="str">
        <f t="shared" si="22"/>
        <v>2009-Apr</v>
      </c>
      <c r="J109">
        <v>11.967437499999999</v>
      </c>
      <c r="K109">
        <v>-35.5</v>
      </c>
      <c r="L109">
        <f t="shared" si="13"/>
        <v>1260.25</v>
      </c>
      <c r="M109">
        <f t="shared" si="14"/>
        <v>-424.84403124999994</v>
      </c>
      <c r="N109">
        <f t="shared" si="15"/>
        <v>23.688748245729478</v>
      </c>
      <c r="O109">
        <f t="shared" si="16"/>
        <v>-11.721310745729479</v>
      </c>
      <c r="P109">
        <f t="shared" si="17"/>
        <v>137.38912559795335</v>
      </c>
      <c r="Q109">
        <f t="shared" si="18"/>
        <v>4.2315201248120861E-2</v>
      </c>
      <c r="R109">
        <f t="shared" si="19"/>
        <v>4.2315201248120857</v>
      </c>
    </row>
    <row r="110" spans="1:18" x14ac:dyDescent="0.3">
      <c r="A110" s="2">
        <v>44414</v>
      </c>
      <c r="B110">
        <v>67.749830000000003</v>
      </c>
      <c r="F110" s="7" t="s">
        <v>24</v>
      </c>
      <c r="G110">
        <v>23.273242</v>
      </c>
      <c r="I110" t="str">
        <f t="shared" si="22"/>
        <v>2009-May</v>
      </c>
      <c r="J110">
        <v>13.072978000000001</v>
      </c>
      <c r="K110">
        <v>-34.5</v>
      </c>
      <c r="L110">
        <f t="shared" si="13"/>
        <v>1190.25</v>
      </c>
      <c r="M110">
        <f t="shared" si="14"/>
        <v>-451.01774100000006</v>
      </c>
      <c r="N110">
        <f t="shared" si="15"/>
        <v>23.805402292637119</v>
      </c>
      <c r="O110">
        <f t="shared" si="16"/>
        <v>-10.732424292637118</v>
      </c>
      <c r="P110">
        <f t="shared" si="17"/>
        <v>115.18493119718734</v>
      </c>
      <c r="Q110">
        <f t="shared" si="18"/>
        <v>3.8745214052841578E-2</v>
      </c>
      <c r="R110">
        <f t="shared" si="19"/>
        <v>3.8745214052841579</v>
      </c>
    </row>
    <row r="111" spans="1:18" x14ac:dyDescent="0.3">
      <c r="A111" s="2">
        <v>44407</v>
      </c>
      <c r="B111">
        <v>67.774190000000004</v>
      </c>
      <c r="F111" s="7" t="s">
        <v>25</v>
      </c>
      <c r="G111">
        <v>22.769042499999998</v>
      </c>
      <c r="I111" t="str">
        <f t="shared" si="22"/>
        <v>2009-Jun</v>
      </c>
      <c r="J111">
        <v>13.4735475</v>
      </c>
      <c r="K111">
        <v>-33.5</v>
      </c>
      <c r="L111">
        <f t="shared" si="13"/>
        <v>1122.25</v>
      </c>
      <c r="M111">
        <f t="shared" si="14"/>
        <v>-451.36384125000001</v>
      </c>
      <c r="N111">
        <f t="shared" si="15"/>
        <v>23.922056339544756</v>
      </c>
      <c r="O111">
        <f t="shared" si="16"/>
        <v>-10.448508839544756</v>
      </c>
      <c r="P111">
        <f t="shared" si="17"/>
        <v>109.17133697004491</v>
      </c>
      <c r="Q111">
        <f t="shared" si="18"/>
        <v>3.7720248518212117E-2</v>
      </c>
      <c r="R111">
        <f t="shared" si="19"/>
        <v>3.7720248518212118</v>
      </c>
    </row>
    <row r="112" spans="1:18" x14ac:dyDescent="0.3">
      <c r="A112" s="2">
        <v>44400</v>
      </c>
      <c r="B112">
        <v>69.478269999999995</v>
      </c>
      <c r="F112" s="7" t="s">
        <v>26</v>
      </c>
      <c r="G112">
        <v>14.772746000000001</v>
      </c>
      <c r="I112" t="str">
        <f t="shared" si="22"/>
        <v>2009-Jul</v>
      </c>
      <c r="J112">
        <v>13.903083999999998</v>
      </c>
      <c r="K112">
        <v>-32.5</v>
      </c>
      <c r="L112">
        <f t="shared" si="13"/>
        <v>1056.25</v>
      </c>
      <c r="M112">
        <f t="shared" si="14"/>
        <v>-451.85022999999995</v>
      </c>
      <c r="N112">
        <f t="shared" si="15"/>
        <v>24.038710386452397</v>
      </c>
      <c r="O112">
        <f t="shared" si="16"/>
        <v>-10.135626386452399</v>
      </c>
      <c r="P112">
        <f t="shared" si="17"/>
        <v>102.73092224575012</v>
      </c>
      <c r="Q112">
        <f t="shared" si="18"/>
        <v>3.6590708976362449E-2</v>
      </c>
      <c r="R112">
        <f t="shared" si="19"/>
        <v>3.6590708976362447</v>
      </c>
    </row>
    <row r="113" spans="1:18" x14ac:dyDescent="0.3">
      <c r="A113" s="2">
        <v>44393</v>
      </c>
      <c r="B113">
        <v>68.503799999999998</v>
      </c>
      <c r="F113" s="7" t="s">
        <v>27</v>
      </c>
      <c r="G113">
        <v>12.6208825</v>
      </c>
      <c r="I113" t="str">
        <f t="shared" si="22"/>
        <v>2009-Aug</v>
      </c>
      <c r="J113">
        <v>16.528769999999998</v>
      </c>
      <c r="K113">
        <v>-31.5</v>
      </c>
      <c r="L113">
        <f t="shared" si="13"/>
        <v>992.25</v>
      </c>
      <c r="M113">
        <f t="shared" si="14"/>
        <v>-520.65625499999999</v>
      </c>
      <c r="N113">
        <f t="shared" si="15"/>
        <v>24.155364433360035</v>
      </c>
      <c r="O113">
        <f t="shared" si="16"/>
        <v>-7.6265944333600366</v>
      </c>
      <c r="P113">
        <f t="shared" si="17"/>
        <v>58.164942650958295</v>
      </c>
      <c r="Q113">
        <f t="shared" si="18"/>
        <v>2.7532831889386412E-2</v>
      </c>
      <c r="R113">
        <f t="shared" si="19"/>
        <v>2.7532831889386413</v>
      </c>
    </row>
    <row r="114" spans="1:18" x14ac:dyDescent="0.3">
      <c r="A114" s="2">
        <v>44386</v>
      </c>
      <c r="B114">
        <v>69.059889999999996</v>
      </c>
      <c r="F114" s="7" t="s">
        <v>28</v>
      </c>
      <c r="G114">
        <v>14.6094975</v>
      </c>
      <c r="I114" t="str">
        <f t="shared" si="22"/>
        <v>2009-Sep</v>
      </c>
      <c r="J114">
        <v>18.337182500000001</v>
      </c>
      <c r="K114">
        <v>-30.5</v>
      </c>
      <c r="L114">
        <f t="shared" si="13"/>
        <v>930.25</v>
      </c>
      <c r="M114">
        <f t="shared" si="14"/>
        <v>-559.28406625000002</v>
      </c>
      <c r="N114">
        <f t="shared" si="15"/>
        <v>24.272018480267675</v>
      </c>
      <c r="O114">
        <f t="shared" si="16"/>
        <v>-5.9348359802676747</v>
      </c>
      <c r="P114">
        <f t="shared" si="17"/>
        <v>35.222278112679774</v>
      </c>
      <c r="Q114">
        <f t="shared" si="18"/>
        <v>2.1425400650785829E-2</v>
      </c>
      <c r="R114">
        <f t="shared" si="19"/>
        <v>2.1425400650785829</v>
      </c>
    </row>
    <row r="115" spans="1:18" x14ac:dyDescent="0.3">
      <c r="A115" s="2">
        <v>44379</v>
      </c>
      <c r="B115">
        <v>69.014989999999997</v>
      </c>
      <c r="F115" s="4" t="s">
        <v>47</v>
      </c>
      <c r="G115">
        <v>14.863941730769227</v>
      </c>
      <c r="I115" t="str">
        <f t="shared" si="22"/>
        <v>2009-Oct</v>
      </c>
      <c r="J115">
        <v>18.182459999999999</v>
      </c>
      <c r="K115">
        <v>-29.5</v>
      </c>
      <c r="L115">
        <f t="shared" si="13"/>
        <v>870.25</v>
      </c>
      <c r="M115">
        <f t="shared" si="14"/>
        <v>-536.38256999999999</v>
      </c>
      <c r="N115">
        <f t="shared" si="15"/>
        <v>24.388672527175313</v>
      </c>
      <c r="O115">
        <f t="shared" si="16"/>
        <v>-6.2062125271753139</v>
      </c>
      <c r="P115">
        <f t="shared" si="17"/>
        <v>38.517073932467795</v>
      </c>
      <c r="Q115">
        <f t="shared" si="18"/>
        <v>2.2405099376084165E-2</v>
      </c>
      <c r="R115">
        <f t="shared" si="19"/>
        <v>2.2405099376084165</v>
      </c>
    </row>
    <row r="116" spans="1:18" x14ac:dyDescent="0.3">
      <c r="A116" s="2">
        <v>44372</v>
      </c>
      <c r="B116">
        <v>69.007800000000003</v>
      </c>
      <c r="F116" s="7" t="s">
        <v>30</v>
      </c>
      <c r="G116">
        <v>13.326230000000001</v>
      </c>
      <c r="I116" t="str">
        <f t="shared" si="22"/>
        <v>2009-Nov</v>
      </c>
      <c r="J116">
        <v>18.51718</v>
      </c>
      <c r="K116">
        <v>-28.5</v>
      </c>
      <c r="L116">
        <f t="shared" si="13"/>
        <v>812.25</v>
      </c>
      <c r="M116">
        <f t="shared" si="14"/>
        <v>-527.73963000000003</v>
      </c>
      <c r="N116">
        <f t="shared" si="15"/>
        <v>24.505326574082954</v>
      </c>
      <c r="O116">
        <f t="shared" si="16"/>
        <v>-5.988146574082954</v>
      </c>
      <c r="P116">
        <f t="shared" si="17"/>
        <v>35.85789939270142</v>
      </c>
      <c r="Q116">
        <f t="shared" si="18"/>
        <v>2.161785766816951E-2</v>
      </c>
      <c r="R116">
        <f t="shared" si="19"/>
        <v>2.1617857668169509</v>
      </c>
    </row>
    <row r="117" spans="1:18" x14ac:dyDescent="0.3">
      <c r="A117" s="2">
        <v>44365</v>
      </c>
      <c r="B117">
        <v>67.046250000000001</v>
      </c>
      <c r="F117" s="7" t="s">
        <v>31</v>
      </c>
      <c r="G117">
        <v>11.8683175</v>
      </c>
      <c r="I117" t="str">
        <f t="shared" si="22"/>
        <v>2009-Dec</v>
      </c>
      <c r="J117">
        <v>19.538989999999998</v>
      </c>
      <c r="K117">
        <v>-27.5</v>
      </c>
      <c r="L117">
        <f t="shared" si="13"/>
        <v>756.25</v>
      </c>
      <c r="M117">
        <f t="shared" si="14"/>
        <v>-537.322225</v>
      </c>
      <c r="N117">
        <f t="shared" si="15"/>
        <v>24.621980620990591</v>
      </c>
      <c r="O117">
        <f t="shared" si="16"/>
        <v>-5.0829906209905928</v>
      </c>
      <c r="P117">
        <f t="shared" si="17"/>
        <v>25.836793653078331</v>
      </c>
      <c r="Q117">
        <f t="shared" si="18"/>
        <v>1.8350146646175427E-2</v>
      </c>
      <c r="R117">
        <f t="shared" si="19"/>
        <v>1.8350146646175427</v>
      </c>
    </row>
    <row r="118" spans="1:18" x14ac:dyDescent="0.3">
      <c r="A118" s="2">
        <v>44358</v>
      </c>
      <c r="B118">
        <v>68.916610000000006</v>
      </c>
      <c r="F118" s="7" t="s">
        <v>19</v>
      </c>
      <c r="G118">
        <v>9.8938775000000003</v>
      </c>
      <c r="I118" t="str">
        <f>_xlfn.CONCAT($F$128,"-",F129)</f>
        <v>2010-Jan</v>
      </c>
      <c r="J118">
        <v>19.187242000000001</v>
      </c>
      <c r="K118">
        <v>-26.5</v>
      </c>
      <c r="L118">
        <f t="shared" si="13"/>
        <v>702.25</v>
      </c>
      <c r="M118">
        <f t="shared" si="14"/>
        <v>-508.46191300000004</v>
      </c>
      <c r="N118">
        <f t="shared" si="15"/>
        <v>24.738634667898232</v>
      </c>
      <c r="O118">
        <f t="shared" si="16"/>
        <v>-5.5513926678982308</v>
      </c>
      <c r="P118">
        <f t="shared" si="17"/>
        <v>30.817960553194236</v>
      </c>
      <c r="Q118">
        <f t="shared" si="18"/>
        <v>2.0041128764975564E-2</v>
      </c>
      <c r="R118">
        <f t="shared" si="19"/>
        <v>2.0041128764975564</v>
      </c>
    </row>
    <row r="119" spans="1:18" x14ac:dyDescent="0.3">
      <c r="A119" s="2">
        <v>44351</v>
      </c>
      <c r="B119">
        <v>68.867739999999998</v>
      </c>
      <c r="F119" s="7" t="s">
        <v>20</v>
      </c>
      <c r="G119">
        <v>11.967437499999999</v>
      </c>
      <c r="I119" t="str">
        <f t="shared" ref="I119:I129" si="23">_xlfn.CONCAT($F$128,"-",F130)</f>
        <v>2010-Feb</v>
      </c>
      <c r="J119">
        <v>16.3679375</v>
      </c>
      <c r="K119">
        <v>-25.5</v>
      </c>
      <c r="L119">
        <f t="shared" si="13"/>
        <v>650.25</v>
      </c>
      <c r="M119">
        <f t="shared" si="14"/>
        <v>-417.38240624999997</v>
      </c>
      <c r="N119">
        <f t="shared" si="15"/>
        <v>24.855288714805873</v>
      </c>
      <c r="O119">
        <f t="shared" si="16"/>
        <v>-8.487351214805873</v>
      </c>
      <c r="P119">
        <f t="shared" si="17"/>
        <v>72.035130643466729</v>
      </c>
      <c r="Q119">
        <f t="shared" si="18"/>
        <v>3.0640257093161996E-2</v>
      </c>
      <c r="R119">
        <f t="shared" si="19"/>
        <v>3.0640257093161996</v>
      </c>
    </row>
    <row r="120" spans="1:18" x14ac:dyDescent="0.3">
      <c r="A120" s="2">
        <v>44344</v>
      </c>
      <c r="B120">
        <v>67.849760000000003</v>
      </c>
      <c r="F120" s="7" t="s">
        <v>21</v>
      </c>
      <c r="G120">
        <v>13.072978000000001</v>
      </c>
      <c r="I120" t="str">
        <f t="shared" si="23"/>
        <v>2010-Mar</v>
      </c>
      <c r="J120">
        <v>17.713635</v>
      </c>
      <c r="K120">
        <v>-24.5</v>
      </c>
      <c r="L120">
        <f t="shared" si="13"/>
        <v>600.25</v>
      </c>
      <c r="M120">
        <f t="shared" si="14"/>
        <v>-433.98405750000001</v>
      </c>
      <c r="N120">
        <f t="shared" si="15"/>
        <v>24.97194276171351</v>
      </c>
      <c r="O120">
        <f t="shared" si="16"/>
        <v>-7.2583077617135103</v>
      </c>
      <c r="P120">
        <f t="shared" si="17"/>
        <v>52.683031563750589</v>
      </c>
      <c r="Q120">
        <f t="shared" si="18"/>
        <v>2.6203277118099316E-2</v>
      </c>
      <c r="R120">
        <f t="shared" si="19"/>
        <v>2.6203277118099315</v>
      </c>
    </row>
    <row r="121" spans="1:18" x14ac:dyDescent="0.3">
      <c r="A121" s="2">
        <v>44337</v>
      </c>
      <c r="B121">
        <v>63.143320000000003</v>
      </c>
      <c r="F121" s="7" t="s">
        <v>22</v>
      </c>
      <c r="G121">
        <v>13.4735475</v>
      </c>
      <c r="I121" t="str">
        <f t="shared" si="23"/>
        <v>2010-Apr</v>
      </c>
      <c r="J121">
        <v>17.350829999999998</v>
      </c>
      <c r="K121">
        <v>-23.5</v>
      </c>
      <c r="L121">
        <f t="shared" si="13"/>
        <v>552.25</v>
      </c>
      <c r="M121">
        <f t="shared" si="14"/>
        <v>-407.74450499999995</v>
      </c>
      <c r="N121">
        <f t="shared" si="15"/>
        <v>25.088596808621151</v>
      </c>
      <c r="O121">
        <f t="shared" si="16"/>
        <v>-7.7377668086211528</v>
      </c>
      <c r="P121">
        <f t="shared" si="17"/>
        <v>59.873035184599182</v>
      </c>
      <c r="Q121">
        <f t="shared" si="18"/>
        <v>2.7934176204408495E-2</v>
      </c>
      <c r="R121">
        <f t="shared" si="19"/>
        <v>2.7934176204408496</v>
      </c>
    </row>
    <row r="122" spans="1:18" x14ac:dyDescent="0.3">
      <c r="A122" s="2">
        <v>44330</v>
      </c>
      <c r="B122">
        <v>61.813740000000003</v>
      </c>
      <c r="F122" s="7" t="s">
        <v>23</v>
      </c>
      <c r="G122">
        <v>13.903083999999998</v>
      </c>
      <c r="I122" t="str">
        <f t="shared" si="23"/>
        <v>2010-May</v>
      </c>
      <c r="J122">
        <v>14.830035000000001</v>
      </c>
      <c r="K122">
        <v>-22.5</v>
      </c>
      <c r="L122">
        <f t="shared" si="13"/>
        <v>506.25</v>
      </c>
      <c r="M122">
        <f t="shared" si="14"/>
        <v>-333.67578750000001</v>
      </c>
      <c r="N122">
        <f t="shared" si="15"/>
        <v>25.205250855528789</v>
      </c>
      <c r="O122">
        <f t="shared" si="16"/>
        <v>-10.375215855528788</v>
      </c>
      <c r="P122">
        <f t="shared" si="17"/>
        <v>107.64510404881597</v>
      </c>
      <c r="Q122">
        <f t="shared" si="18"/>
        <v>3.7455652908046165E-2</v>
      </c>
      <c r="R122">
        <f t="shared" si="19"/>
        <v>3.7455652908046164</v>
      </c>
    </row>
    <row r="123" spans="1:18" x14ac:dyDescent="0.3">
      <c r="A123" s="2">
        <v>44323</v>
      </c>
      <c r="B123">
        <v>61.751379999999997</v>
      </c>
      <c r="F123" s="7" t="s">
        <v>24</v>
      </c>
      <c r="G123">
        <v>16.528769999999998</v>
      </c>
      <c r="I123" t="str">
        <f t="shared" si="23"/>
        <v>2010-Jun</v>
      </c>
      <c r="J123">
        <v>14.952570000000001</v>
      </c>
      <c r="K123">
        <v>-21.5</v>
      </c>
      <c r="L123">
        <f t="shared" si="13"/>
        <v>462.25</v>
      </c>
      <c r="M123">
        <f t="shared" si="14"/>
        <v>-321.48025500000006</v>
      </c>
      <c r="N123">
        <f t="shared" si="15"/>
        <v>25.32190490243643</v>
      </c>
      <c r="O123">
        <f t="shared" si="16"/>
        <v>-10.369334902436428</v>
      </c>
      <c r="P123">
        <f t="shared" si="17"/>
        <v>107.52310631888629</v>
      </c>
      <c r="Q123">
        <f t="shared" si="18"/>
        <v>3.7434422030456417E-2</v>
      </c>
      <c r="R123">
        <f t="shared" si="19"/>
        <v>3.7434422030456416</v>
      </c>
    </row>
    <row r="124" spans="1:18" x14ac:dyDescent="0.3">
      <c r="A124" s="2">
        <v>44316</v>
      </c>
      <c r="B124">
        <v>58.980409999999999</v>
      </c>
      <c r="F124" s="7" t="s">
        <v>25</v>
      </c>
      <c r="G124">
        <v>18.337182500000001</v>
      </c>
      <c r="I124" t="str">
        <f t="shared" si="23"/>
        <v>2010-Jul</v>
      </c>
      <c r="J124">
        <v>16.4133</v>
      </c>
      <c r="K124">
        <v>-20.5</v>
      </c>
      <c r="L124">
        <f t="shared" si="13"/>
        <v>420.25</v>
      </c>
      <c r="M124">
        <f t="shared" si="14"/>
        <v>-336.47264999999999</v>
      </c>
      <c r="N124">
        <f t="shared" si="15"/>
        <v>25.438558949344067</v>
      </c>
      <c r="O124">
        <f t="shared" si="16"/>
        <v>-9.0252589493440674</v>
      </c>
      <c r="P124">
        <f t="shared" si="17"/>
        <v>81.455299102715173</v>
      </c>
      <c r="Q124">
        <f t="shared" si="18"/>
        <v>3.2582162272000247E-2</v>
      </c>
      <c r="R124">
        <f t="shared" si="19"/>
        <v>3.2582162272000246</v>
      </c>
    </row>
    <row r="125" spans="1:18" x14ac:dyDescent="0.3">
      <c r="A125" s="2">
        <v>44309</v>
      </c>
      <c r="B125">
        <v>58.766680000000001</v>
      </c>
      <c r="F125" s="7" t="s">
        <v>26</v>
      </c>
      <c r="G125">
        <v>18.182459999999999</v>
      </c>
      <c r="I125" t="str">
        <f t="shared" si="23"/>
        <v>2010-Aug</v>
      </c>
      <c r="J125">
        <v>17.172194999999999</v>
      </c>
      <c r="K125">
        <v>-19.5</v>
      </c>
      <c r="L125">
        <f t="shared" si="13"/>
        <v>380.25</v>
      </c>
      <c r="M125">
        <f t="shared" si="14"/>
        <v>-334.85780249999999</v>
      </c>
      <c r="N125">
        <f t="shared" si="15"/>
        <v>25.555212996251708</v>
      </c>
      <c r="O125">
        <f t="shared" si="16"/>
        <v>-8.3830179962517093</v>
      </c>
      <c r="P125">
        <f t="shared" si="17"/>
        <v>70.274990725480023</v>
      </c>
      <c r="Q125">
        <f t="shared" si="18"/>
        <v>3.0263602874554908E-2</v>
      </c>
      <c r="R125">
        <f t="shared" si="19"/>
        <v>3.0263602874554909</v>
      </c>
    </row>
    <row r="126" spans="1:18" x14ac:dyDescent="0.3">
      <c r="A126" s="2">
        <v>44302</v>
      </c>
      <c r="B126">
        <v>58.22766</v>
      </c>
      <c r="F126" s="7" t="s">
        <v>27</v>
      </c>
      <c r="G126">
        <v>18.51718</v>
      </c>
      <c r="I126" t="str">
        <f t="shared" si="23"/>
        <v>2010-Sep</v>
      </c>
      <c r="J126">
        <v>17.319735000000001</v>
      </c>
      <c r="K126">
        <v>-18.5</v>
      </c>
      <c r="L126">
        <f t="shared" si="13"/>
        <v>342.25</v>
      </c>
      <c r="M126">
        <f t="shared" si="14"/>
        <v>-320.4150975</v>
      </c>
      <c r="N126">
        <f t="shared" si="15"/>
        <v>25.671867043159345</v>
      </c>
      <c r="O126">
        <f t="shared" si="16"/>
        <v>-8.3521320431593438</v>
      </c>
      <c r="P126">
        <f t="shared" si="17"/>
        <v>69.75810966636908</v>
      </c>
      <c r="Q126">
        <f t="shared" si="18"/>
        <v>3.0152101238842398E-2</v>
      </c>
      <c r="R126">
        <f t="shared" si="19"/>
        <v>3.0152101238842399</v>
      </c>
    </row>
    <row r="127" spans="1:18" x14ac:dyDescent="0.3">
      <c r="A127" s="2">
        <v>44295</v>
      </c>
      <c r="B127">
        <v>57.310400000000001</v>
      </c>
      <c r="F127" s="7" t="s">
        <v>28</v>
      </c>
      <c r="G127">
        <v>19.538989999999998</v>
      </c>
      <c r="I127" t="str">
        <f t="shared" si="23"/>
        <v>2010-Oct</v>
      </c>
      <c r="J127">
        <v>18.484562</v>
      </c>
      <c r="K127">
        <v>-17.5</v>
      </c>
      <c r="L127">
        <f t="shared" si="13"/>
        <v>306.25</v>
      </c>
      <c r="M127">
        <f t="shared" si="14"/>
        <v>-323.47983499999998</v>
      </c>
      <c r="N127">
        <f t="shared" si="15"/>
        <v>25.788521090066986</v>
      </c>
      <c r="O127">
        <f t="shared" si="16"/>
        <v>-7.3039590900669857</v>
      </c>
      <c r="P127">
        <f t="shared" si="17"/>
        <v>53.347818389372151</v>
      </c>
      <c r="Q127">
        <f t="shared" si="18"/>
        <v>2.6368083357642548E-2</v>
      </c>
      <c r="R127">
        <f t="shared" si="19"/>
        <v>2.6368083357642549</v>
      </c>
    </row>
    <row r="128" spans="1:18" x14ac:dyDescent="0.3">
      <c r="A128" s="2">
        <v>44288</v>
      </c>
      <c r="B128">
        <v>54.885730000000002</v>
      </c>
      <c r="F128" s="4" t="s">
        <v>48</v>
      </c>
      <c r="G128">
        <v>17.137504905660382</v>
      </c>
      <c r="I128" t="str">
        <f t="shared" si="23"/>
        <v>2010-Nov</v>
      </c>
      <c r="J128">
        <v>18.423455000000001</v>
      </c>
      <c r="K128">
        <v>-16.5</v>
      </c>
      <c r="L128">
        <f t="shared" si="13"/>
        <v>272.25</v>
      </c>
      <c r="M128">
        <f t="shared" si="14"/>
        <v>-303.9870075</v>
      </c>
      <c r="N128">
        <f t="shared" si="15"/>
        <v>25.905175136974627</v>
      </c>
      <c r="O128">
        <f t="shared" si="16"/>
        <v>-7.4817201369746265</v>
      </c>
      <c r="P128">
        <f t="shared" si="17"/>
        <v>55.976136208011624</v>
      </c>
      <c r="Q128">
        <f t="shared" si="18"/>
        <v>2.7009819989078074E-2</v>
      </c>
      <c r="R128">
        <f t="shared" si="19"/>
        <v>2.7009819989078072</v>
      </c>
    </row>
    <row r="129" spans="1:18" x14ac:dyDescent="0.3">
      <c r="A129" s="2">
        <v>44281</v>
      </c>
      <c r="B129">
        <v>53.844929999999998</v>
      </c>
      <c r="F129" s="7" t="s">
        <v>30</v>
      </c>
      <c r="G129">
        <v>19.187242000000001</v>
      </c>
      <c r="I129" t="str">
        <f t="shared" si="23"/>
        <v>2010-Dec</v>
      </c>
      <c r="J129">
        <v>16.797967999999997</v>
      </c>
      <c r="K129">
        <v>-15.5</v>
      </c>
      <c r="L129">
        <f t="shared" si="13"/>
        <v>240.25</v>
      </c>
      <c r="M129">
        <f t="shared" si="14"/>
        <v>-260.36850399999997</v>
      </c>
      <c r="N129">
        <f t="shared" si="15"/>
        <v>26.021829183882264</v>
      </c>
      <c r="O129">
        <f t="shared" si="16"/>
        <v>-9.2238611838822671</v>
      </c>
      <c r="P129">
        <f t="shared" si="17"/>
        <v>85.079615139529977</v>
      </c>
      <c r="Q129">
        <f t="shared" si="18"/>
        <v>3.3299137847950425E-2</v>
      </c>
      <c r="R129">
        <f t="shared" si="19"/>
        <v>3.3299137847950426</v>
      </c>
    </row>
    <row r="130" spans="1:18" x14ac:dyDescent="0.3">
      <c r="A130" s="2">
        <v>44274</v>
      </c>
      <c r="B130">
        <v>53.62623</v>
      </c>
      <c r="F130" s="7" t="s">
        <v>31</v>
      </c>
      <c r="G130">
        <v>16.3679375</v>
      </c>
      <c r="I130" t="str">
        <f>_xlfn.CONCAT($F$141,"-",F142)</f>
        <v>2011-Jan</v>
      </c>
      <c r="J130">
        <v>17.845669999999998</v>
      </c>
      <c r="K130">
        <v>-14.5</v>
      </c>
      <c r="L130">
        <f t="shared" si="13"/>
        <v>210.25</v>
      </c>
      <c r="M130">
        <f t="shared" si="14"/>
        <v>-258.76221499999997</v>
      </c>
      <c r="N130">
        <f t="shared" si="15"/>
        <v>26.138483230789905</v>
      </c>
      <c r="O130">
        <f t="shared" si="16"/>
        <v>-8.292813230789907</v>
      </c>
      <c r="P130">
        <f t="shared" si="17"/>
        <v>68.770751280764131</v>
      </c>
      <c r="Q130">
        <f t="shared" si="18"/>
        <v>2.9937953901768618E-2</v>
      </c>
      <c r="R130">
        <f t="shared" si="19"/>
        <v>2.9937953901768619</v>
      </c>
    </row>
    <row r="131" spans="1:18" x14ac:dyDescent="0.3">
      <c r="A131" s="2">
        <v>44267</v>
      </c>
      <c r="B131">
        <v>53.742100000000001</v>
      </c>
      <c r="F131" s="7" t="s">
        <v>19</v>
      </c>
      <c r="G131">
        <v>17.713635</v>
      </c>
      <c r="I131" t="str">
        <f t="shared" ref="I131:I141" si="24">_xlfn.CONCAT($F$141,"-",F143)</f>
        <v>2011-Feb</v>
      </c>
      <c r="J131">
        <v>18.4307075</v>
      </c>
      <c r="K131">
        <v>-13.5</v>
      </c>
      <c r="L131">
        <f t="shared" si="13"/>
        <v>182.25</v>
      </c>
      <c r="M131">
        <f t="shared" si="14"/>
        <v>-248.81455124999999</v>
      </c>
      <c r="N131">
        <f t="shared" si="15"/>
        <v>26.255137277697543</v>
      </c>
      <c r="O131">
        <f t="shared" si="16"/>
        <v>-7.8244297776975422</v>
      </c>
      <c r="P131">
        <f t="shared" si="17"/>
        <v>61.221701346120007</v>
      </c>
      <c r="Q131">
        <f t="shared" si="18"/>
        <v>2.8247038908655386E-2</v>
      </c>
      <c r="R131">
        <f t="shared" si="19"/>
        <v>2.8247038908655386</v>
      </c>
    </row>
    <row r="132" spans="1:18" x14ac:dyDescent="0.3">
      <c r="A132" s="2">
        <v>44260</v>
      </c>
      <c r="B132">
        <v>48.910670000000003</v>
      </c>
      <c r="F132" s="7" t="s">
        <v>20</v>
      </c>
      <c r="G132">
        <v>17.350829999999998</v>
      </c>
      <c r="I132" t="str">
        <f t="shared" si="24"/>
        <v>2011-Mar</v>
      </c>
      <c r="J132">
        <v>17.692317499999998</v>
      </c>
      <c r="K132">
        <v>-12.5</v>
      </c>
      <c r="L132">
        <f t="shared" si="13"/>
        <v>156.25</v>
      </c>
      <c r="M132">
        <f t="shared" si="14"/>
        <v>-221.15396874999996</v>
      </c>
      <c r="N132">
        <f t="shared" si="15"/>
        <v>26.371791324605184</v>
      </c>
      <c r="O132">
        <f t="shared" si="16"/>
        <v>-8.6794738246051857</v>
      </c>
      <c r="P132">
        <f t="shared" si="17"/>
        <v>75.333265872006564</v>
      </c>
      <c r="Q132">
        <f t="shared" si="18"/>
        <v>3.1333840522040385E-2</v>
      </c>
      <c r="R132">
        <f t="shared" si="19"/>
        <v>3.1333840522040384</v>
      </c>
    </row>
    <row r="133" spans="1:18" x14ac:dyDescent="0.3">
      <c r="A133" s="2">
        <v>44253</v>
      </c>
      <c r="B133">
        <v>49.781680000000001</v>
      </c>
      <c r="F133" s="7" t="s">
        <v>21</v>
      </c>
      <c r="G133">
        <v>14.830035000000001</v>
      </c>
      <c r="I133" t="str">
        <f t="shared" si="24"/>
        <v>2011-Apr</v>
      </c>
      <c r="J133">
        <v>18.785174000000001</v>
      </c>
      <c r="K133">
        <v>-11.5</v>
      </c>
      <c r="L133">
        <f t="shared" si="13"/>
        <v>132.25</v>
      </c>
      <c r="M133">
        <f t="shared" si="14"/>
        <v>-216.02950100000001</v>
      </c>
      <c r="N133">
        <f t="shared" si="15"/>
        <v>26.488445371512821</v>
      </c>
      <c r="O133">
        <f t="shared" si="16"/>
        <v>-7.7032713715128196</v>
      </c>
      <c r="P133">
        <f t="shared" si="17"/>
        <v>59.340389823168998</v>
      </c>
      <c r="Q133">
        <f t="shared" si="18"/>
        <v>2.7809643940479495E-2</v>
      </c>
      <c r="R133">
        <f t="shared" si="19"/>
        <v>2.7809643940479494</v>
      </c>
    </row>
    <row r="134" spans="1:18" x14ac:dyDescent="0.3">
      <c r="A134" s="2">
        <v>44246</v>
      </c>
      <c r="B134">
        <v>51.272959999999998</v>
      </c>
      <c r="F134" s="7" t="s">
        <v>22</v>
      </c>
      <c r="G134">
        <v>14.952570000000001</v>
      </c>
      <c r="I134" t="str">
        <f t="shared" si="24"/>
        <v>2011-May</v>
      </c>
      <c r="J134">
        <v>19.1626625</v>
      </c>
      <c r="K134">
        <v>-10.5</v>
      </c>
      <c r="L134">
        <f t="shared" si="13"/>
        <v>110.25</v>
      </c>
      <c r="M134">
        <f t="shared" si="14"/>
        <v>-201.20795625</v>
      </c>
      <c r="N134">
        <f t="shared" si="15"/>
        <v>26.605099418420462</v>
      </c>
      <c r="O134">
        <f t="shared" si="16"/>
        <v>-7.4424369184204622</v>
      </c>
      <c r="P134">
        <f t="shared" si="17"/>
        <v>55.389867284667865</v>
      </c>
      <c r="Q134">
        <f t="shared" si="18"/>
        <v>2.6868003315597338E-2</v>
      </c>
      <c r="R134">
        <f t="shared" si="19"/>
        <v>2.6868003315597337</v>
      </c>
    </row>
    <row r="135" spans="1:18" x14ac:dyDescent="0.3">
      <c r="A135" s="2">
        <v>44239</v>
      </c>
      <c r="B135">
        <v>51.922809999999998</v>
      </c>
      <c r="F135" s="7" t="s">
        <v>23</v>
      </c>
      <c r="G135">
        <v>16.4133</v>
      </c>
      <c r="I135" t="str">
        <f t="shared" si="24"/>
        <v>2011-Jun</v>
      </c>
      <c r="J135">
        <v>18.0780575</v>
      </c>
      <c r="K135">
        <v>-9.5</v>
      </c>
      <c r="L135">
        <f t="shared" si="13"/>
        <v>90.25</v>
      </c>
      <c r="M135">
        <f t="shared" si="14"/>
        <v>-171.74154625</v>
      </c>
      <c r="N135">
        <f t="shared" si="15"/>
        <v>26.721753465328099</v>
      </c>
      <c r="O135">
        <f t="shared" si="16"/>
        <v>-8.6436959653280994</v>
      </c>
      <c r="P135">
        <f t="shared" si="17"/>
        <v>74.713479941029263</v>
      </c>
      <c r="Q135">
        <f t="shared" si="18"/>
        <v>3.1204678575191696E-2</v>
      </c>
      <c r="R135">
        <f t="shared" si="19"/>
        <v>3.1204678575191696</v>
      </c>
    </row>
    <row r="136" spans="1:18" x14ac:dyDescent="0.3">
      <c r="A136" s="2">
        <v>44232</v>
      </c>
      <c r="B136">
        <v>50.716090000000001</v>
      </c>
      <c r="F136" s="7" t="s">
        <v>24</v>
      </c>
      <c r="G136">
        <v>17.172194999999999</v>
      </c>
      <c r="I136" t="str">
        <f t="shared" si="24"/>
        <v>2011-Jul</v>
      </c>
      <c r="J136">
        <v>18.308816</v>
      </c>
      <c r="K136">
        <v>-8.5</v>
      </c>
      <c r="L136">
        <f t="shared" si="13"/>
        <v>72.25</v>
      </c>
      <c r="M136">
        <f t="shared" si="14"/>
        <v>-155.62493599999999</v>
      </c>
      <c r="N136">
        <f t="shared" si="15"/>
        <v>26.83840751223574</v>
      </c>
      <c r="O136">
        <f t="shared" si="16"/>
        <v>-8.52959151223574</v>
      </c>
      <c r="P136">
        <f t="shared" si="17"/>
        <v>72.753931365603975</v>
      </c>
      <c r="Q136">
        <f t="shared" si="18"/>
        <v>3.079274914164527E-2</v>
      </c>
      <c r="R136">
        <f t="shared" si="19"/>
        <v>3.079274914164527</v>
      </c>
    </row>
    <row r="137" spans="1:18" x14ac:dyDescent="0.3">
      <c r="A137" s="2">
        <v>44225</v>
      </c>
      <c r="B137">
        <v>49.668410000000002</v>
      </c>
      <c r="F137" s="7" t="s">
        <v>25</v>
      </c>
      <c r="G137">
        <v>17.319735000000001</v>
      </c>
      <c r="I137" t="str">
        <f t="shared" si="24"/>
        <v>2011-Aug</v>
      </c>
      <c r="J137">
        <v>15.4063625</v>
      </c>
      <c r="K137">
        <v>-7.5</v>
      </c>
      <c r="L137">
        <f t="shared" ref="L137:L200" si="25">K137*K137</f>
        <v>56.25</v>
      </c>
      <c r="M137">
        <f t="shared" ref="M137:M200" si="26">K137*J137</f>
        <v>-115.54771875</v>
      </c>
      <c r="N137">
        <f t="shared" ref="N137:N200" si="27">$I$2+$I$3*K137</f>
        <v>26.955061559143378</v>
      </c>
      <c r="O137">
        <f t="shared" ref="O137:O200" si="28">J137-N137</f>
        <v>-11.548699059143377</v>
      </c>
      <c r="P137">
        <f t="shared" ref="P137:P200" si="29">O137*O137</f>
        <v>133.37244995865913</v>
      </c>
      <c r="Q137">
        <f t="shared" ref="Q137:Q200" si="30">ABS(O137)/$J$1</f>
        <v>4.1692054365138544E-2</v>
      </c>
      <c r="R137">
        <f t="shared" ref="R137:R200" si="31">Q137*100</f>
        <v>4.1692054365138542</v>
      </c>
    </row>
    <row r="138" spans="1:18" x14ac:dyDescent="0.3">
      <c r="A138" s="2">
        <v>44218</v>
      </c>
      <c r="B138">
        <v>52.06259</v>
      </c>
      <c r="F138" s="7" t="s">
        <v>26</v>
      </c>
      <c r="G138">
        <v>18.484562</v>
      </c>
      <c r="I138" t="str">
        <f t="shared" si="24"/>
        <v>2011-Sep</v>
      </c>
      <c r="J138">
        <v>13.516548</v>
      </c>
      <c r="K138">
        <v>-6.5</v>
      </c>
      <c r="L138">
        <f t="shared" si="25"/>
        <v>42.25</v>
      </c>
      <c r="M138">
        <f t="shared" si="26"/>
        <v>-87.857562000000001</v>
      </c>
      <c r="N138">
        <f t="shared" si="27"/>
        <v>27.071715606051018</v>
      </c>
      <c r="O138">
        <f t="shared" si="28"/>
        <v>-13.555167606051018</v>
      </c>
      <c r="P138">
        <f t="shared" si="29"/>
        <v>183.74256882813489</v>
      </c>
      <c r="Q138">
        <f t="shared" si="30"/>
        <v>4.8935623126537972E-2</v>
      </c>
      <c r="R138">
        <f t="shared" si="31"/>
        <v>4.8935623126537973</v>
      </c>
    </row>
    <row r="139" spans="1:18" x14ac:dyDescent="0.3">
      <c r="A139" s="2">
        <v>44211</v>
      </c>
      <c r="B139">
        <v>51.447879999999998</v>
      </c>
      <c r="F139" s="7" t="s">
        <v>27</v>
      </c>
      <c r="G139">
        <v>18.423455000000001</v>
      </c>
      <c r="I139" t="str">
        <f t="shared" si="24"/>
        <v>2011-Oct</v>
      </c>
      <c r="J139">
        <v>14.75062</v>
      </c>
      <c r="K139">
        <v>-5.5</v>
      </c>
      <c r="L139">
        <f t="shared" si="25"/>
        <v>30.25</v>
      </c>
      <c r="M139">
        <f t="shared" si="26"/>
        <v>-81.128410000000002</v>
      </c>
      <c r="N139">
        <f t="shared" si="27"/>
        <v>27.188369652958656</v>
      </c>
      <c r="O139">
        <f t="shared" si="28"/>
        <v>-12.437749652958656</v>
      </c>
      <c r="P139">
        <f t="shared" si="29"/>
        <v>154.69761642967316</v>
      </c>
      <c r="Q139">
        <f t="shared" si="30"/>
        <v>4.4901623295879628E-2</v>
      </c>
      <c r="R139">
        <f t="shared" si="31"/>
        <v>4.4901623295879629</v>
      </c>
    </row>
    <row r="140" spans="1:18" x14ac:dyDescent="0.3">
      <c r="A140" s="2">
        <v>44204</v>
      </c>
      <c r="B140">
        <v>50.6036</v>
      </c>
      <c r="F140" s="7" t="s">
        <v>28</v>
      </c>
      <c r="G140">
        <v>16.797967999999997</v>
      </c>
      <c r="I140" t="str">
        <f t="shared" si="24"/>
        <v>2011-Nov</v>
      </c>
      <c r="J140">
        <v>14.846149999999998</v>
      </c>
      <c r="K140">
        <v>-4.5</v>
      </c>
      <c r="L140">
        <f t="shared" si="25"/>
        <v>20.25</v>
      </c>
      <c r="M140">
        <f t="shared" si="26"/>
        <v>-66.807674999999989</v>
      </c>
      <c r="N140">
        <f t="shared" si="27"/>
        <v>27.305023699866297</v>
      </c>
      <c r="O140">
        <f t="shared" si="28"/>
        <v>-12.458873699866299</v>
      </c>
      <c r="P140">
        <f t="shared" si="29"/>
        <v>155.22353386922015</v>
      </c>
      <c r="Q140">
        <f t="shared" si="30"/>
        <v>4.4977883393019127E-2</v>
      </c>
      <c r="R140">
        <f t="shared" si="31"/>
        <v>4.4977883393019127</v>
      </c>
    </row>
    <row r="141" spans="1:18" x14ac:dyDescent="0.3">
      <c r="A141" s="2">
        <v>44197</v>
      </c>
      <c r="B141">
        <v>49.770449999999997</v>
      </c>
      <c r="F141" s="4" t="s">
        <v>49</v>
      </c>
      <c r="G141">
        <v>16.776788846153842</v>
      </c>
      <c r="I141" t="str">
        <f t="shared" si="24"/>
        <v>2011-Dec</v>
      </c>
      <c r="J141">
        <v>14.898028</v>
      </c>
      <c r="K141">
        <v>-3.5</v>
      </c>
      <c r="L141">
        <f t="shared" si="25"/>
        <v>12.25</v>
      </c>
      <c r="M141">
        <f t="shared" si="26"/>
        <v>-52.143098000000002</v>
      </c>
      <c r="N141">
        <f t="shared" si="27"/>
        <v>27.421677746773938</v>
      </c>
      <c r="O141">
        <f t="shared" si="28"/>
        <v>-12.523649746773938</v>
      </c>
      <c r="P141">
        <f t="shared" si="29"/>
        <v>156.84180297987092</v>
      </c>
      <c r="Q141">
        <f t="shared" si="30"/>
        <v>4.5211731937812048E-2</v>
      </c>
      <c r="R141">
        <f t="shared" si="31"/>
        <v>4.5211731937812045</v>
      </c>
    </row>
    <row r="142" spans="1:18" x14ac:dyDescent="0.3">
      <c r="A142" s="2">
        <v>44190</v>
      </c>
      <c r="B142">
        <v>49.003929999999997</v>
      </c>
      <c r="F142" s="7" t="s">
        <v>30</v>
      </c>
      <c r="G142">
        <v>17.845669999999998</v>
      </c>
      <c r="I142" t="str">
        <f>_xlfn.CONCAT($F$154,"-",F155)</f>
        <v>2012-Jan</v>
      </c>
      <c r="J142">
        <v>16.093174999999999</v>
      </c>
      <c r="K142">
        <v>-2.5</v>
      </c>
      <c r="L142">
        <f t="shared" si="25"/>
        <v>6.25</v>
      </c>
      <c r="M142">
        <f t="shared" si="26"/>
        <v>-40.232937499999998</v>
      </c>
      <c r="N142">
        <f t="shared" si="27"/>
        <v>27.538331793681575</v>
      </c>
      <c r="O142">
        <f t="shared" si="28"/>
        <v>-11.445156793681576</v>
      </c>
      <c r="P142">
        <f t="shared" si="29"/>
        <v>130.99161403195555</v>
      </c>
      <c r="Q142">
        <f t="shared" si="30"/>
        <v>4.1318255572857676E-2</v>
      </c>
      <c r="R142">
        <f t="shared" si="31"/>
        <v>4.1318255572857678</v>
      </c>
    </row>
    <row r="143" spans="1:18" x14ac:dyDescent="0.3">
      <c r="A143" s="2">
        <v>44183</v>
      </c>
      <c r="B143">
        <v>50.48986</v>
      </c>
      <c r="F143" s="7" t="s">
        <v>31</v>
      </c>
      <c r="G143">
        <v>18.4307075</v>
      </c>
      <c r="I143" t="str">
        <f t="shared" ref="I143:I153" si="32">_xlfn.CONCAT($F$154,"-",F156)</f>
        <v>2012-Feb</v>
      </c>
      <c r="J143">
        <v>17.60125</v>
      </c>
      <c r="K143">
        <v>-1.5</v>
      </c>
      <c r="L143">
        <f t="shared" si="25"/>
        <v>2.25</v>
      </c>
      <c r="M143">
        <f t="shared" si="26"/>
        <v>-26.401875</v>
      </c>
      <c r="N143">
        <f t="shared" si="27"/>
        <v>27.654985840589216</v>
      </c>
      <c r="O143">
        <f t="shared" si="28"/>
        <v>-10.053735840589216</v>
      </c>
      <c r="P143">
        <f t="shared" si="29"/>
        <v>101.07760435234815</v>
      </c>
      <c r="Q143">
        <f t="shared" si="30"/>
        <v>3.6295075236784172E-2</v>
      </c>
      <c r="R143">
        <f t="shared" si="31"/>
        <v>3.6295075236784173</v>
      </c>
    </row>
    <row r="144" spans="1:18" x14ac:dyDescent="0.3">
      <c r="A144" s="2">
        <v>44176</v>
      </c>
      <c r="B144">
        <v>47.219949999999997</v>
      </c>
      <c r="F144" s="7" t="s">
        <v>19</v>
      </c>
      <c r="G144">
        <v>17.692317499999998</v>
      </c>
      <c r="I144" t="str">
        <f t="shared" si="32"/>
        <v>2012-Mar</v>
      </c>
      <c r="J144">
        <v>18.546176000000003</v>
      </c>
      <c r="K144">
        <v>-0.5</v>
      </c>
      <c r="L144">
        <f t="shared" si="25"/>
        <v>0.25</v>
      </c>
      <c r="M144">
        <f t="shared" si="26"/>
        <v>-9.2730880000000013</v>
      </c>
      <c r="N144">
        <f t="shared" si="27"/>
        <v>27.771639887496853</v>
      </c>
      <c r="O144">
        <f t="shared" si="28"/>
        <v>-9.2254638874968506</v>
      </c>
      <c r="P144">
        <f t="shared" si="29"/>
        <v>85.109183939508497</v>
      </c>
      <c r="Q144">
        <f t="shared" si="30"/>
        <v>3.3304923781577081E-2</v>
      </c>
      <c r="R144">
        <f t="shared" si="31"/>
        <v>3.3304923781577083</v>
      </c>
    </row>
    <row r="145" spans="1:18" x14ac:dyDescent="0.3">
      <c r="A145" s="2">
        <v>44169</v>
      </c>
      <c r="B145">
        <v>48.150959999999998</v>
      </c>
      <c r="F145" s="7" t="s">
        <v>20</v>
      </c>
      <c r="G145">
        <v>18.785174000000001</v>
      </c>
      <c r="I145" t="str">
        <f t="shared" si="32"/>
        <v>2012-Apr</v>
      </c>
      <c r="J145">
        <v>18.582552499999998</v>
      </c>
      <c r="K145">
        <v>0.5</v>
      </c>
      <c r="L145">
        <f t="shared" si="25"/>
        <v>0.25</v>
      </c>
      <c r="M145">
        <f t="shared" si="26"/>
        <v>9.2912762499999992</v>
      </c>
      <c r="N145">
        <f t="shared" si="27"/>
        <v>27.888293934404494</v>
      </c>
      <c r="O145">
        <f t="shared" si="28"/>
        <v>-9.3057414344044957</v>
      </c>
      <c r="P145">
        <f t="shared" si="29"/>
        <v>86.596823643992636</v>
      </c>
      <c r="Q145">
        <f t="shared" si="30"/>
        <v>3.3594734420232836E-2</v>
      </c>
      <c r="R145">
        <f t="shared" si="31"/>
        <v>3.3594734420232837</v>
      </c>
    </row>
    <row r="146" spans="1:18" x14ac:dyDescent="0.3">
      <c r="A146" s="2">
        <v>44162</v>
      </c>
      <c r="B146">
        <v>48.617159999999998</v>
      </c>
      <c r="F146" s="7" t="s">
        <v>21</v>
      </c>
      <c r="G146">
        <v>19.1626625</v>
      </c>
      <c r="I146" t="str">
        <f t="shared" si="32"/>
        <v>2012-May</v>
      </c>
      <c r="J146">
        <v>17.357347499999999</v>
      </c>
      <c r="K146">
        <v>1.5</v>
      </c>
      <c r="L146">
        <f t="shared" si="25"/>
        <v>2.25</v>
      </c>
      <c r="M146">
        <f t="shared" si="26"/>
        <v>26.036021249999997</v>
      </c>
      <c r="N146">
        <f t="shared" si="27"/>
        <v>28.004947981312132</v>
      </c>
      <c r="O146">
        <f t="shared" si="28"/>
        <v>-10.647600481312132</v>
      </c>
      <c r="P146">
        <f t="shared" si="29"/>
        <v>113.37139600963835</v>
      </c>
      <c r="Q146">
        <f t="shared" si="30"/>
        <v>3.8438990907264013E-2</v>
      </c>
      <c r="R146">
        <f t="shared" si="31"/>
        <v>3.8438990907264015</v>
      </c>
    </row>
    <row r="147" spans="1:18" x14ac:dyDescent="0.3">
      <c r="A147" s="2">
        <v>44155</v>
      </c>
      <c r="B147">
        <v>47.214480000000002</v>
      </c>
      <c r="F147" s="7" t="s">
        <v>22</v>
      </c>
      <c r="G147">
        <v>18.0780575</v>
      </c>
      <c r="I147" t="str">
        <f t="shared" si="32"/>
        <v>2012-Jun</v>
      </c>
      <c r="J147">
        <v>16.755364</v>
      </c>
      <c r="K147">
        <v>2.5</v>
      </c>
      <c r="L147">
        <f t="shared" si="25"/>
        <v>6.25</v>
      </c>
      <c r="M147">
        <f t="shared" si="26"/>
        <v>41.88841</v>
      </c>
      <c r="N147">
        <f t="shared" si="27"/>
        <v>28.121602028219773</v>
      </c>
      <c r="O147">
        <f t="shared" si="28"/>
        <v>-11.366238028219772</v>
      </c>
      <c r="P147">
        <f t="shared" si="29"/>
        <v>129.19136691414928</v>
      </c>
      <c r="Q147">
        <f t="shared" si="30"/>
        <v>4.103335028238185E-2</v>
      </c>
      <c r="R147">
        <f t="shared" si="31"/>
        <v>4.1033350282381846</v>
      </c>
    </row>
    <row r="148" spans="1:18" x14ac:dyDescent="0.3">
      <c r="A148" s="2">
        <v>44148</v>
      </c>
      <c r="B148">
        <v>46.050440000000002</v>
      </c>
      <c r="F148" s="7" t="s">
        <v>23</v>
      </c>
      <c r="G148">
        <v>18.308816</v>
      </c>
      <c r="I148" t="str">
        <f t="shared" si="32"/>
        <v>2012-Jul</v>
      </c>
      <c r="J148">
        <v>17.7417525</v>
      </c>
      <c r="K148">
        <v>3.5</v>
      </c>
      <c r="L148">
        <f t="shared" si="25"/>
        <v>12.25</v>
      </c>
      <c r="M148">
        <f t="shared" si="26"/>
        <v>62.09613375</v>
      </c>
      <c r="N148">
        <f t="shared" si="27"/>
        <v>28.23825607512741</v>
      </c>
      <c r="O148">
        <f t="shared" si="28"/>
        <v>-10.496503575127409</v>
      </c>
      <c r="P148">
        <f t="shared" si="29"/>
        <v>110.17658730266248</v>
      </c>
      <c r="Q148">
        <f t="shared" si="30"/>
        <v>3.7893514711651297E-2</v>
      </c>
      <c r="R148">
        <f t="shared" si="31"/>
        <v>3.7893514711651295</v>
      </c>
    </row>
    <row r="149" spans="1:18" x14ac:dyDescent="0.3">
      <c r="A149" s="2">
        <v>44141</v>
      </c>
      <c r="B149">
        <v>49.22298</v>
      </c>
      <c r="F149" s="7" t="s">
        <v>24</v>
      </c>
      <c r="G149">
        <v>15.4063625</v>
      </c>
      <c r="I149" t="str">
        <f t="shared" si="32"/>
        <v>2012-Aug</v>
      </c>
      <c r="J149">
        <v>19.233144000000003</v>
      </c>
      <c r="K149">
        <v>4.5</v>
      </c>
      <c r="L149">
        <f t="shared" si="25"/>
        <v>20.25</v>
      </c>
      <c r="M149">
        <f t="shared" si="26"/>
        <v>86.549148000000017</v>
      </c>
      <c r="N149">
        <f t="shared" si="27"/>
        <v>28.354910122035051</v>
      </c>
      <c r="O149">
        <f t="shared" si="28"/>
        <v>-9.1217661220350479</v>
      </c>
      <c r="P149">
        <f t="shared" si="29"/>
        <v>83.20661718510631</v>
      </c>
      <c r="Q149">
        <f t="shared" si="30"/>
        <v>3.2930563617455048E-2</v>
      </c>
      <c r="R149">
        <f t="shared" si="31"/>
        <v>3.2930563617455046</v>
      </c>
    </row>
    <row r="150" spans="1:18" x14ac:dyDescent="0.3">
      <c r="A150" s="2">
        <v>44134</v>
      </c>
      <c r="B150">
        <v>44.545949999999998</v>
      </c>
      <c r="F150" s="7" t="s">
        <v>25</v>
      </c>
      <c r="G150">
        <v>13.516548</v>
      </c>
      <c r="I150" t="str">
        <f t="shared" si="32"/>
        <v>2012-Sep</v>
      </c>
      <c r="J150">
        <v>19.951665000000002</v>
      </c>
      <c r="K150">
        <v>5.5</v>
      </c>
      <c r="L150">
        <f t="shared" si="25"/>
        <v>30.25</v>
      </c>
      <c r="M150">
        <f t="shared" si="26"/>
        <v>109.73415750000001</v>
      </c>
      <c r="N150">
        <f t="shared" si="27"/>
        <v>28.471564168942692</v>
      </c>
      <c r="O150">
        <f t="shared" si="28"/>
        <v>-8.5198991689426897</v>
      </c>
      <c r="P150">
        <f t="shared" si="29"/>
        <v>72.58868184895033</v>
      </c>
      <c r="Q150">
        <f t="shared" si="30"/>
        <v>3.075775873264509E-2</v>
      </c>
      <c r="R150">
        <f t="shared" si="31"/>
        <v>3.0757758732645089</v>
      </c>
    </row>
    <row r="151" spans="1:18" x14ac:dyDescent="0.3">
      <c r="A151" s="2">
        <v>44127</v>
      </c>
      <c r="B151">
        <v>48.058889999999998</v>
      </c>
      <c r="F151" s="7" t="s">
        <v>26</v>
      </c>
      <c r="G151">
        <v>14.75062</v>
      </c>
      <c r="I151" t="str">
        <f t="shared" si="32"/>
        <v>2012-Oct</v>
      </c>
      <c r="J151">
        <v>20.409087500000002</v>
      </c>
      <c r="K151">
        <v>6.5</v>
      </c>
      <c r="L151">
        <f t="shared" si="25"/>
        <v>42.25</v>
      </c>
      <c r="M151">
        <f t="shared" si="26"/>
        <v>132.65906875000002</v>
      </c>
      <c r="N151">
        <f t="shared" si="27"/>
        <v>28.588218215850329</v>
      </c>
      <c r="O151">
        <f t="shared" si="28"/>
        <v>-8.1791307158503272</v>
      </c>
      <c r="P151">
        <f t="shared" si="29"/>
        <v>66.898179266966281</v>
      </c>
      <c r="Q151">
        <f t="shared" si="30"/>
        <v>2.9527547710651001E-2</v>
      </c>
      <c r="R151">
        <f t="shared" si="31"/>
        <v>2.9527547710651003</v>
      </c>
    </row>
    <row r="152" spans="1:18" x14ac:dyDescent="0.3">
      <c r="A152" s="2">
        <v>44120</v>
      </c>
      <c r="B152">
        <v>48.09478</v>
      </c>
      <c r="F152" s="7" t="s">
        <v>27</v>
      </c>
      <c r="G152">
        <v>14.846149999999998</v>
      </c>
      <c r="I152" t="str">
        <f t="shared" si="32"/>
        <v>2012-Nov</v>
      </c>
      <c r="J152">
        <v>19.872908000000002</v>
      </c>
      <c r="K152">
        <v>7.5</v>
      </c>
      <c r="L152">
        <f t="shared" si="25"/>
        <v>56.25</v>
      </c>
      <c r="M152">
        <f t="shared" si="26"/>
        <v>149.04681000000002</v>
      </c>
      <c r="N152">
        <f t="shared" si="27"/>
        <v>28.70487226275797</v>
      </c>
      <c r="O152">
        <f t="shared" si="28"/>
        <v>-8.8319642627579675</v>
      </c>
      <c r="P152">
        <f t="shared" si="29"/>
        <v>78.003592738633884</v>
      </c>
      <c r="Q152">
        <f t="shared" si="30"/>
        <v>3.188434751898183E-2</v>
      </c>
      <c r="R152">
        <f t="shared" si="31"/>
        <v>3.1884347518981828</v>
      </c>
    </row>
    <row r="153" spans="1:18" x14ac:dyDescent="0.3">
      <c r="A153" s="2">
        <v>44113</v>
      </c>
      <c r="B153">
        <v>48.722580000000001</v>
      </c>
      <c r="F153" s="7" t="s">
        <v>28</v>
      </c>
      <c r="G153">
        <v>14.898028</v>
      </c>
      <c r="I153" t="str">
        <f t="shared" si="32"/>
        <v>2012-Dec</v>
      </c>
      <c r="J153">
        <v>21.698487500000002</v>
      </c>
      <c r="K153">
        <v>8.5</v>
      </c>
      <c r="L153">
        <f t="shared" si="25"/>
        <v>72.25</v>
      </c>
      <c r="M153">
        <f t="shared" si="26"/>
        <v>184.43714375000002</v>
      </c>
      <c r="N153">
        <f t="shared" si="27"/>
        <v>28.821526309665607</v>
      </c>
      <c r="O153">
        <f t="shared" si="28"/>
        <v>-7.123038809665605</v>
      </c>
      <c r="P153">
        <f t="shared" si="29"/>
        <v>50.737681884002399</v>
      </c>
      <c r="Q153">
        <f t="shared" si="30"/>
        <v>2.5714941551139368E-2</v>
      </c>
      <c r="R153">
        <f t="shared" si="31"/>
        <v>2.5714941551139368</v>
      </c>
    </row>
    <row r="154" spans="1:18" x14ac:dyDescent="0.3">
      <c r="A154" s="2">
        <v>44106</v>
      </c>
      <c r="B154">
        <v>45.875970000000002</v>
      </c>
      <c r="F154" s="4" t="s">
        <v>50</v>
      </c>
      <c r="G154">
        <v>18.649600576923078</v>
      </c>
      <c r="I154" t="str">
        <f>_xlfn.CONCAT($F$167,"-",F168)</f>
        <v>2013-Jan</v>
      </c>
      <c r="J154">
        <v>22.793489999999998</v>
      </c>
      <c r="K154">
        <v>9.5</v>
      </c>
      <c r="L154">
        <f t="shared" si="25"/>
        <v>90.25</v>
      </c>
      <c r="M154">
        <f t="shared" si="26"/>
        <v>216.53815499999999</v>
      </c>
      <c r="N154">
        <f t="shared" si="27"/>
        <v>28.938180356573248</v>
      </c>
      <c r="O154">
        <f t="shared" si="28"/>
        <v>-6.1446903565732498</v>
      </c>
      <c r="P154">
        <f t="shared" si="29"/>
        <v>37.757219578164289</v>
      </c>
      <c r="Q154">
        <f t="shared" si="30"/>
        <v>2.2182997677159748E-2</v>
      </c>
      <c r="R154">
        <f t="shared" si="31"/>
        <v>2.2182997677159748</v>
      </c>
    </row>
    <row r="155" spans="1:18" x14ac:dyDescent="0.3">
      <c r="A155" s="2">
        <v>44099</v>
      </c>
      <c r="B155">
        <v>44.280009999999997</v>
      </c>
      <c r="F155" s="7" t="s">
        <v>30</v>
      </c>
      <c r="G155">
        <v>16.093174999999999</v>
      </c>
      <c r="I155" t="str">
        <f t="shared" ref="I155:I165" si="33">_xlfn.CONCAT($F$167,"-",F169)</f>
        <v>2013-Feb</v>
      </c>
      <c r="J155">
        <v>22.957845000000002</v>
      </c>
      <c r="K155">
        <v>10.5</v>
      </c>
      <c r="L155">
        <f t="shared" si="25"/>
        <v>110.25</v>
      </c>
      <c r="M155">
        <f t="shared" si="26"/>
        <v>241.05737250000001</v>
      </c>
      <c r="N155">
        <f t="shared" si="27"/>
        <v>29.054834403480886</v>
      </c>
      <c r="O155">
        <f t="shared" si="28"/>
        <v>-6.0969894034808831</v>
      </c>
      <c r="P155">
        <f t="shared" si="29"/>
        <v>37.173279786158176</v>
      </c>
      <c r="Q155">
        <f t="shared" si="30"/>
        <v>2.2010792070328099E-2</v>
      </c>
      <c r="R155">
        <f t="shared" si="31"/>
        <v>2.20107920703281</v>
      </c>
    </row>
    <row r="156" spans="1:18" x14ac:dyDescent="0.3">
      <c r="A156" s="2">
        <v>44092</v>
      </c>
      <c r="B156">
        <v>46.609650000000002</v>
      </c>
      <c r="F156" s="7" t="s">
        <v>31</v>
      </c>
      <c r="G156">
        <v>17.60125</v>
      </c>
      <c r="I156" t="str">
        <f t="shared" si="33"/>
        <v>2013-Mar</v>
      </c>
      <c r="J156">
        <v>23.488883999999999</v>
      </c>
      <c r="K156">
        <v>11.5</v>
      </c>
      <c r="L156">
        <f t="shared" si="25"/>
        <v>132.25</v>
      </c>
      <c r="M156">
        <f t="shared" si="26"/>
        <v>270.12216599999999</v>
      </c>
      <c r="N156">
        <f t="shared" si="27"/>
        <v>29.171488450388527</v>
      </c>
      <c r="O156">
        <f t="shared" si="28"/>
        <v>-5.6826044503885278</v>
      </c>
      <c r="P156">
        <f t="shared" si="29"/>
        <v>32.291993339575505</v>
      </c>
      <c r="Q156">
        <f t="shared" si="30"/>
        <v>2.0514817510427899E-2</v>
      </c>
      <c r="R156">
        <f t="shared" si="31"/>
        <v>2.0514817510427901</v>
      </c>
    </row>
    <row r="157" spans="1:18" x14ac:dyDescent="0.3">
      <c r="A157" s="2">
        <v>44085</v>
      </c>
      <c r="B157">
        <v>45.513269999999999</v>
      </c>
      <c r="F157" s="7" t="s">
        <v>19</v>
      </c>
      <c r="G157">
        <v>18.546176000000003</v>
      </c>
      <c r="I157" t="str">
        <f t="shared" si="33"/>
        <v>2013-Apr</v>
      </c>
      <c r="J157">
        <v>22.956172500000001</v>
      </c>
      <c r="K157">
        <v>12.5</v>
      </c>
      <c r="L157">
        <f t="shared" si="25"/>
        <v>156.25</v>
      </c>
      <c r="M157">
        <f t="shared" si="26"/>
        <v>286.95215625000003</v>
      </c>
      <c r="N157">
        <f t="shared" si="27"/>
        <v>29.288142497296164</v>
      </c>
      <c r="O157">
        <f t="shared" si="28"/>
        <v>-6.3319699972961629</v>
      </c>
      <c r="P157">
        <f t="shared" si="29"/>
        <v>40.093844046658766</v>
      </c>
      <c r="Q157">
        <f t="shared" si="30"/>
        <v>2.2859097463163044E-2</v>
      </c>
      <c r="R157">
        <f t="shared" si="31"/>
        <v>2.2859097463163045</v>
      </c>
    </row>
    <row r="158" spans="1:18" x14ac:dyDescent="0.3">
      <c r="A158" s="2">
        <v>44078</v>
      </c>
      <c r="B158">
        <v>44.925660000000001</v>
      </c>
      <c r="F158" s="7" t="s">
        <v>20</v>
      </c>
      <c r="G158">
        <v>18.582552499999998</v>
      </c>
      <c r="I158" t="str">
        <f t="shared" si="33"/>
        <v>2013-May</v>
      </c>
      <c r="J158">
        <v>25.177070000000001</v>
      </c>
      <c r="K158">
        <v>13.5</v>
      </c>
      <c r="L158">
        <f t="shared" si="25"/>
        <v>182.25</v>
      </c>
      <c r="M158">
        <f t="shared" si="26"/>
        <v>339.890445</v>
      </c>
      <c r="N158">
        <f t="shared" si="27"/>
        <v>29.404796544203805</v>
      </c>
      <c r="O158">
        <f t="shared" si="28"/>
        <v>-4.2277265442038043</v>
      </c>
      <c r="P158">
        <f t="shared" si="29"/>
        <v>17.873671732565441</v>
      </c>
      <c r="Q158">
        <f t="shared" si="30"/>
        <v>1.5262550701096767E-2</v>
      </c>
      <c r="R158">
        <f t="shared" si="31"/>
        <v>1.5262550701096766</v>
      </c>
    </row>
    <row r="159" spans="1:18" x14ac:dyDescent="0.3">
      <c r="A159" s="2">
        <v>44071</v>
      </c>
      <c r="B159">
        <v>45.606200000000001</v>
      </c>
      <c r="F159" s="7" t="s">
        <v>21</v>
      </c>
      <c r="G159">
        <v>17.357347499999999</v>
      </c>
      <c r="I159" t="str">
        <f t="shared" si="33"/>
        <v>2013-Jun</v>
      </c>
      <c r="J159">
        <v>25.316487500000001</v>
      </c>
      <c r="K159">
        <v>14.5</v>
      </c>
      <c r="L159">
        <f t="shared" si="25"/>
        <v>210.25</v>
      </c>
      <c r="M159">
        <f t="shared" si="26"/>
        <v>367.08906875000002</v>
      </c>
      <c r="N159">
        <f t="shared" si="27"/>
        <v>29.521450591111442</v>
      </c>
      <c r="O159">
        <f t="shared" si="28"/>
        <v>-4.2049630911114413</v>
      </c>
      <c r="P159">
        <f t="shared" si="29"/>
        <v>17.681714597609488</v>
      </c>
      <c r="Q159">
        <f t="shared" si="30"/>
        <v>1.5180372170077405E-2</v>
      </c>
      <c r="R159">
        <f t="shared" si="31"/>
        <v>1.5180372170077405</v>
      </c>
    </row>
    <row r="160" spans="1:18" x14ac:dyDescent="0.3">
      <c r="A160" s="2">
        <v>44064</v>
      </c>
      <c r="B160">
        <v>44.808039999999998</v>
      </c>
      <c r="F160" s="7" t="s">
        <v>22</v>
      </c>
      <c r="G160">
        <v>16.755364</v>
      </c>
      <c r="I160" t="str">
        <f t="shared" si="33"/>
        <v>2013-Jul</v>
      </c>
      <c r="J160">
        <v>26.569240000000001</v>
      </c>
      <c r="K160">
        <v>15.5</v>
      </c>
      <c r="L160">
        <f t="shared" si="25"/>
        <v>240.25</v>
      </c>
      <c r="M160">
        <f t="shared" si="26"/>
        <v>411.82321999999999</v>
      </c>
      <c r="N160">
        <f t="shared" si="27"/>
        <v>29.638104638019083</v>
      </c>
      <c r="O160">
        <f t="shared" si="28"/>
        <v>-3.0688646380190825</v>
      </c>
      <c r="P160">
        <f t="shared" si="29"/>
        <v>9.4179301664839947</v>
      </c>
      <c r="Q160">
        <f t="shared" si="30"/>
        <v>1.1078933711260225E-2</v>
      </c>
      <c r="R160">
        <f t="shared" si="31"/>
        <v>1.1078933711260226</v>
      </c>
    </row>
    <row r="161" spans="1:18" x14ac:dyDescent="0.3">
      <c r="A161" s="2">
        <v>44057</v>
      </c>
      <c r="B161">
        <v>44.383220000000001</v>
      </c>
      <c r="F161" s="7" t="s">
        <v>23</v>
      </c>
      <c r="G161">
        <v>17.7417525</v>
      </c>
      <c r="I161" t="str">
        <f t="shared" si="33"/>
        <v>2013-Aug</v>
      </c>
      <c r="J161">
        <v>28.945326000000001</v>
      </c>
      <c r="K161">
        <v>16.5</v>
      </c>
      <c r="L161">
        <f t="shared" si="25"/>
        <v>272.25</v>
      </c>
      <c r="M161">
        <f t="shared" si="26"/>
        <v>477.59787900000003</v>
      </c>
      <c r="N161">
        <f t="shared" si="27"/>
        <v>29.75475868492672</v>
      </c>
      <c r="O161">
        <f t="shared" si="28"/>
        <v>-0.80943268492671905</v>
      </c>
      <c r="P161">
        <f t="shared" si="29"/>
        <v>0.65518127142767724</v>
      </c>
      <c r="Q161">
        <f t="shared" si="30"/>
        <v>2.9221396567751588E-3</v>
      </c>
      <c r="R161">
        <f t="shared" si="31"/>
        <v>0.2922139656775159</v>
      </c>
    </row>
    <row r="162" spans="1:18" x14ac:dyDescent="0.3">
      <c r="A162" s="2">
        <v>44050</v>
      </c>
      <c r="B162">
        <v>42.827390000000001</v>
      </c>
      <c r="F162" s="7" t="s">
        <v>24</v>
      </c>
      <c r="G162">
        <v>19.233144000000003</v>
      </c>
      <c r="I162" t="str">
        <f t="shared" si="33"/>
        <v>2013-Sep</v>
      </c>
      <c r="J162">
        <v>31.887249999999998</v>
      </c>
      <c r="K162">
        <v>17.5</v>
      </c>
      <c r="L162">
        <f t="shared" si="25"/>
        <v>306.25</v>
      </c>
      <c r="M162">
        <f t="shared" si="26"/>
        <v>558.02687500000002</v>
      </c>
      <c r="N162">
        <f t="shared" si="27"/>
        <v>29.871412731834361</v>
      </c>
      <c r="O162">
        <f t="shared" si="28"/>
        <v>2.0158372681656367</v>
      </c>
      <c r="P162">
        <f t="shared" si="29"/>
        <v>4.063599891725497</v>
      </c>
      <c r="Q162">
        <f t="shared" si="30"/>
        <v>7.2773908598037429E-3</v>
      </c>
      <c r="R162">
        <f t="shared" si="31"/>
        <v>0.72773908598037429</v>
      </c>
    </row>
    <row r="163" spans="1:18" x14ac:dyDescent="0.3">
      <c r="A163" s="2">
        <v>44043</v>
      </c>
      <c r="B163">
        <v>40.266260000000003</v>
      </c>
      <c r="F163" s="7" t="s">
        <v>25</v>
      </c>
      <c r="G163">
        <v>19.951665000000002</v>
      </c>
      <c r="I163" t="str">
        <f t="shared" si="33"/>
        <v>2013-Oct</v>
      </c>
      <c r="J163">
        <v>33.117075</v>
      </c>
      <c r="K163">
        <v>18.5</v>
      </c>
      <c r="L163">
        <f t="shared" si="25"/>
        <v>342.25</v>
      </c>
      <c r="M163">
        <f t="shared" si="26"/>
        <v>612.66588750000005</v>
      </c>
      <c r="N163">
        <f t="shared" si="27"/>
        <v>29.988066778742002</v>
      </c>
      <c r="O163">
        <f t="shared" si="28"/>
        <v>3.1290082212579975</v>
      </c>
      <c r="P163">
        <f t="shared" si="29"/>
        <v>9.7906924487001366</v>
      </c>
      <c r="Q163">
        <f t="shared" si="30"/>
        <v>1.1296058560498186E-2</v>
      </c>
      <c r="R163">
        <f t="shared" si="31"/>
        <v>1.1296058560498186</v>
      </c>
    </row>
    <row r="164" spans="1:18" x14ac:dyDescent="0.3">
      <c r="A164" s="2">
        <v>44036</v>
      </c>
      <c r="B164">
        <v>40.268740000000001</v>
      </c>
      <c r="F164" s="7" t="s">
        <v>26</v>
      </c>
      <c r="G164">
        <v>20.409087500000002</v>
      </c>
      <c r="I164" t="str">
        <f t="shared" si="33"/>
        <v>2013-Nov</v>
      </c>
      <c r="J164">
        <v>33.774428</v>
      </c>
      <c r="K164">
        <v>19.5</v>
      </c>
      <c r="L164">
        <f t="shared" si="25"/>
        <v>380.25</v>
      </c>
      <c r="M164">
        <f t="shared" si="26"/>
        <v>658.60134600000004</v>
      </c>
      <c r="N164">
        <f t="shared" si="27"/>
        <v>30.10472082564964</v>
      </c>
      <c r="O164">
        <f t="shared" si="28"/>
        <v>3.6697071743503606</v>
      </c>
      <c r="P164">
        <f t="shared" si="29"/>
        <v>13.466750745478508</v>
      </c>
      <c r="Q164">
        <f t="shared" si="30"/>
        <v>1.324804034061502E-2</v>
      </c>
      <c r="R164">
        <f t="shared" si="31"/>
        <v>1.3248040340615019</v>
      </c>
    </row>
    <row r="165" spans="1:18" x14ac:dyDescent="0.3">
      <c r="A165" s="2">
        <v>44029</v>
      </c>
      <c r="B165">
        <v>40.22833</v>
      </c>
      <c r="F165" s="7" t="s">
        <v>27</v>
      </c>
      <c r="G165">
        <v>19.872908000000002</v>
      </c>
      <c r="I165" t="str">
        <f t="shared" si="33"/>
        <v>2013-Dec</v>
      </c>
      <c r="J165">
        <v>35.298142499999997</v>
      </c>
      <c r="K165">
        <v>20.5</v>
      </c>
      <c r="L165">
        <f t="shared" si="25"/>
        <v>420.25</v>
      </c>
      <c r="M165">
        <f t="shared" si="26"/>
        <v>723.61192124999991</v>
      </c>
      <c r="N165">
        <f t="shared" si="27"/>
        <v>30.221374872557281</v>
      </c>
      <c r="O165">
        <f t="shared" si="28"/>
        <v>5.0767676274427167</v>
      </c>
      <c r="P165">
        <f t="shared" si="29"/>
        <v>25.77356954305035</v>
      </c>
      <c r="Q165">
        <f t="shared" si="30"/>
        <v>1.8327680965497171E-2</v>
      </c>
      <c r="R165">
        <f t="shared" si="31"/>
        <v>1.8327680965497171</v>
      </c>
    </row>
    <row r="166" spans="1:18" x14ac:dyDescent="0.3">
      <c r="A166" s="2">
        <v>44022</v>
      </c>
      <c r="B166">
        <v>38.612099999999998</v>
      </c>
      <c r="F166" s="7" t="s">
        <v>28</v>
      </c>
      <c r="G166">
        <v>21.698487500000002</v>
      </c>
      <c r="I166" t="str">
        <f t="shared" ref="I166:I177" si="34">_xlfn.CONCAT($F$180,"-",F181)</f>
        <v>2014-Jan</v>
      </c>
      <c r="J166">
        <v>35.266895999999996</v>
      </c>
      <c r="K166">
        <v>21.5</v>
      </c>
      <c r="L166">
        <f t="shared" si="25"/>
        <v>462.25</v>
      </c>
      <c r="M166">
        <f t="shared" si="26"/>
        <v>758.23826399999996</v>
      </c>
      <c r="N166">
        <f t="shared" si="27"/>
        <v>30.338028919464918</v>
      </c>
      <c r="O166">
        <f t="shared" si="28"/>
        <v>4.9288670805350776</v>
      </c>
      <c r="P166">
        <f t="shared" si="29"/>
        <v>24.293730697582379</v>
      </c>
      <c r="Q166">
        <f t="shared" si="30"/>
        <v>1.7793743973050821E-2</v>
      </c>
      <c r="R166">
        <f t="shared" si="31"/>
        <v>1.7793743973050822</v>
      </c>
    </row>
    <row r="167" spans="1:18" x14ac:dyDescent="0.3">
      <c r="A167" s="2">
        <v>44015</v>
      </c>
      <c r="B167">
        <v>37.255989999999997</v>
      </c>
      <c r="F167" s="4" t="s">
        <v>51</v>
      </c>
      <c r="G167">
        <v>27.702141346153844</v>
      </c>
      <c r="I167" t="str">
        <f t="shared" si="34"/>
        <v>2014-Feb</v>
      </c>
      <c r="J167">
        <v>36.162687500000004</v>
      </c>
      <c r="K167">
        <v>22.5</v>
      </c>
      <c r="L167">
        <f t="shared" si="25"/>
        <v>506.25</v>
      </c>
      <c r="M167">
        <f t="shared" si="26"/>
        <v>813.66046875000006</v>
      </c>
      <c r="N167">
        <f t="shared" si="27"/>
        <v>30.454682966372559</v>
      </c>
      <c r="O167">
        <f t="shared" si="28"/>
        <v>5.7080045336274452</v>
      </c>
      <c r="P167">
        <f t="shared" si="29"/>
        <v>32.581315755911469</v>
      </c>
      <c r="Q167">
        <f t="shared" si="30"/>
        <v>2.0606514561831931E-2</v>
      </c>
      <c r="R167">
        <f t="shared" si="31"/>
        <v>2.060651456183193</v>
      </c>
    </row>
    <row r="168" spans="1:18" x14ac:dyDescent="0.3">
      <c r="A168" s="2">
        <v>44008</v>
      </c>
      <c r="B168">
        <v>35.149900000000002</v>
      </c>
      <c r="F168" s="7" t="s">
        <v>30</v>
      </c>
      <c r="G168">
        <v>22.793489999999998</v>
      </c>
      <c r="I168" t="str">
        <f t="shared" si="34"/>
        <v>2014-Mar</v>
      </c>
      <c r="J168">
        <v>36.088655000000003</v>
      </c>
      <c r="K168">
        <v>23.5</v>
      </c>
      <c r="L168">
        <f t="shared" si="25"/>
        <v>552.25</v>
      </c>
      <c r="M168">
        <f t="shared" si="26"/>
        <v>848.08339250000006</v>
      </c>
      <c r="N168">
        <f t="shared" si="27"/>
        <v>30.571337013280196</v>
      </c>
      <c r="O168">
        <f t="shared" si="28"/>
        <v>5.5173179867198066</v>
      </c>
      <c r="P168">
        <f t="shared" si="29"/>
        <v>30.440797766581898</v>
      </c>
      <c r="Q168">
        <f t="shared" si="30"/>
        <v>1.9918115475522767E-2</v>
      </c>
      <c r="R168">
        <f t="shared" si="31"/>
        <v>1.9918115475522766</v>
      </c>
    </row>
    <row r="169" spans="1:18" x14ac:dyDescent="0.3">
      <c r="A169" s="2">
        <v>44001</v>
      </c>
      <c r="B169">
        <v>34.720689999999998</v>
      </c>
      <c r="F169" s="7" t="s">
        <v>31</v>
      </c>
      <c r="G169">
        <v>22.957845000000002</v>
      </c>
      <c r="I169" t="str">
        <f t="shared" si="34"/>
        <v>2014-Apr</v>
      </c>
      <c r="J169">
        <v>37.23509</v>
      </c>
      <c r="K169">
        <v>24.5</v>
      </c>
      <c r="L169">
        <f t="shared" si="25"/>
        <v>600.25</v>
      </c>
      <c r="M169">
        <f t="shared" si="26"/>
        <v>912.25970499999994</v>
      </c>
      <c r="N169">
        <f t="shared" si="27"/>
        <v>30.687991060187837</v>
      </c>
      <c r="O169">
        <f t="shared" si="28"/>
        <v>6.5470989398121624</v>
      </c>
      <c r="P169">
        <f t="shared" si="29"/>
        <v>42.86450452768954</v>
      </c>
      <c r="Q169">
        <f t="shared" si="30"/>
        <v>2.363573624480925E-2</v>
      </c>
      <c r="R169">
        <f t="shared" si="31"/>
        <v>2.3635736244809249</v>
      </c>
    </row>
    <row r="170" spans="1:18" x14ac:dyDescent="0.3">
      <c r="A170" s="2">
        <v>43994</v>
      </c>
      <c r="B170">
        <v>34.213619999999999</v>
      </c>
      <c r="F170" s="7" t="s">
        <v>19</v>
      </c>
      <c r="G170">
        <v>23.488883999999999</v>
      </c>
      <c r="I170" t="str">
        <f t="shared" si="34"/>
        <v>2014-May</v>
      </c>
      <c r="J170">
        <v>37.046458000000001</v>
      </c>
      <c r="K170">
        <v>25.5</v>
      </c>
      <c r="L170">
        <f t="shared" si="25"/>
        <v>650.25</v>
      </c>
      <c r="M170">
        <f t="shared" si="26"/>
        <v>944.68467900000007</v>
      </c>
      <c r="N170">
        <f t="shared" si="27"/>
        <v>30.804645107095475</v>
      </c>
      <c r="O170">
        <f t="shared" si="28"/>
        <v>6.2418128929045267</v>
      </c>
      <c r="P170">
        <f t="shared" si="29"/>
        <v>38.960228190029177</v>
      </c>
      <c r="Q170">
        <f t="shared" si="30"/>
        <v>2.25336205520019E-2</v>
      </c>
      <c r="R170">
        <f t="shared" si="31"/>
        <v>2.2533620552001898</v>
      </c>
    </row>
    <row r="171" spans="1:18" x14ac:dyDescent="0.3">
      <c r="A171" s="2">
        <v>43987</v>
      </c>
      <c r="B171">
        <v>35.476320000000001</v>
      </c>
      <c r="F171" s="7" t="s">
        <v>20</v>
      </c>
      <c r="G171">
        <v>22.956172500000001</v>
      </c>
      <c r="I171" t="str">
        <f t="shared" si="34"/>
        <v>2014-Jun</v>
      </c>
      <c r="J171">
        <v>36.250304999999997</v>
      </c>
      <c r="K171">
        <v>26.5</v>
      </c>
      <c r="L171">
        <f t="shared" si="25"/>
        <v>702.25</v>
      </c>
      <c r="M171">
        <f t="shared" si="26"/>
        <v>960.63308249999989</v>
      </c>
      <c r="N171">
        <f t="shared" si="27"/>
        <v>30.921299154003115</v>
      </c>
      <c r="O171">
        <f t="shared" si="28"/>
        <v>5.3290058459968819</v>
      </c>
      <c r="P171">
        <f t="shared" si="29"/>
        <v>28.398303306668943</v>
      </c>
      <c r="Q171">
        <f t="shared" si="30"/>
        <v>1.9238288252696325E-2</v>
      </c>
      <c r="R171">
        <f t="shared" si="31"/>
        <v>1.9238288252696325</v>
      </c>
    </row>
    <row r="172" spans="1:18" x14ac:dyDescent="0.3">
      <c r="A172" s="2">
        <v>43980</v>
      </c>
      <c r="B172">
        <v>31.362950000000001</v>
      </c>
      <c r="F172" s="7" t="s">
        <v>21</v>
      </c>
      <c r="G172">
        <v>25.177070000000001</v>
      </c>
      <c r="I172" t="str">
        <f t="shared" si="34"/>
        <v>2014-Jul</v>
      </c>
      <c r="J172">
        <v>34.917102499999999</v>
      </c>
      <c r="K172">
        <v>27.5</v>
      </c>
      <c r="L172">
        <f t="shared" si="25"/>
        <v>756.25</v>
      </c>
      <c r="M172">
        <f t="shared" si="26"/>
        <v>960.22031874999993</v>
      </c>
      <c r="N172">
        <f t="shared" si="27"/>
        <v>31.037953200910756</v>
      </c>
      <c r="O172">
        <f t="shared" si="28"/>
        <v>3.8791492990892422</v>
      </c>
      <c r="P172">
        <f t="shared" si="29"/>
        <v>15.04779928462456</v>
      </c>
      <c r="Q172">
        <f t="shared" si="30"/>
        <v>1.400414909418499E-2</v>
      </c>
      <c r="R172">
        <f t="shared" si="31"/>
        <v>1.400414909418499</v>
      </c>
    </row>
    <row r="173" spans="1:18" x14ac:dyDescent="0.3">
      <c r="A173" s="2">
        <v>43973</v>
      </c>
      <c r="B173">
        <v>30.116209999999999</v>
      </c>
      <c r="F173" s="7" t="s">
        <v>22</v>
      </c>
      <c r="G173">
        <v>25.316487500000001</v>
      </c>
      <c r="I173" t="str">
        <f t="shared" si="34"/>
        <v>2014-Aug</v>
      </c>
      <c r="J173">
        <v>31.964767999999999</v>
      </c>
      <c r="K173">
        <v>28.5</v>
      </c>
      <c r="L173">
        <f t="shared" si="25"/>
        <v>812.25</v>
      </c>
      <c r="M173">
        <f t="shared" si="26"/>
        <v>910.99588800000004</v>
      </c>
      <c r="N173">
        <f t="shared" si="27"/>
        <v>31.154607247818394</v>
      </c>
      <c r="O173">
        <f t="shared" si="28"/>
        <v>0.81016075218160566</v>
      </c>
      <c r="P173">
        <f t="shared" si="29"/>
        <v>0.65636044437546504</v>
      </c>
      <c r="Q173">
        <f t="shared" si="30"/>
        <v>2.924768058417349E-3</v>
      </c>
      <c r="R173">
        <f t="shared" si="31"/>
        <v>0.29247680584173491</v>
      </c>
    </row>
    <row r="174" spans="1:18" x14ac:dyDescent="0.3">
      <c r="A174" s="2">
        <v>43966</v>
      </c>
      <c r="B174">
        <v>29.265360000000001</v>
      </c>
      <c r="F174" s="7" t="s">
        <v>23</v>
      </c>
      <c r="G174">
        <v>26.569240000000001</v>
      </c>
      <c r="I174" t="str">
        <f t="shared" si="34"/>
        <v>2014-Sep</v>
      </c>
      <c r="J174">
        <v>32.995064999999997</v>
      </c>
      <c r="K174">
        <v>29.5</v>
      </c>
      <c r="L174">
        <f t="shared" si="25"/>
        <v>870.25</v>
      </c>
      <c r="M174">
        <f t="shared" si="26"/>
        <v>973.35441749999995</v>
      </c>
      <c r="N174">
        <f t="shared" si="27"/>
        <v>31.271261294726035</v>
      </c>
      <c r="O174">
        <f t="shared" si="28"/>
        <v>1.7238037052739621</v>
      </c>
      <c r="P174">
        <f t="shared" si="29"/>
        <v>2.9714992143162409</v>
      </c>
      <c r="Q174">
        <f t="shared" si="30"/>
        <v>6.2231180695810906E-3</v>
      </c>
      <c r="R174">
        <f t="shared" si="31"/>
        <v>0.62231180695810906</v>
      </c>
    </row>
    <row r="175" spans="1:18" x14ac:dyDescent="0.3">
      <c r="A175" s="2">
        <v>43959</v>
      </c>
      <c r="B175">
        <v>29.178429999999999</v>
      </c>
      <c r="F175" s="7" t="s">
        <v>24</v>
      </c>
      <c r="G175">
        <v>28.945326000000001</v>
      </c>
      <c r="I175" t="str">
        <f t="shared" si="34"/>
        <v>2014-Oct</v>
      </c>
      <c r="J175">
        <v>30.282114</v>
      </c>
      <c r="K175">
        <v>30.5</v>
      </c>
      <c r="L175">
        <f t="shared" si="25"/>
        <v>930.25</v>
      </c>
      <c r="M175">
        <f t="shared" si="26"/>
        <v>923.60447699999997</v>
      </c>
      <c r="N175">
        <f t="shared" si="27"/>
        <v>31.387915341633672</v>
      </c>
      <c r="O175">
        <f t="shared" si="28"/>
        <v>-1.1058013416336721</v>
      </c>
      <c r="P175">
        <f t="shared" si="29"/>
        <v>1.222796607158829</v>
      </c>
      <c r="Q175">
        <f t="shared" si="30"/>
        <v>3.992062605175711E-3</v>
      </c>
      <c r="R175">
        <f t="shared" si="31"/>
        <v>0.39920626051757108</v>
      </c>
    </row>
    <row r="176" spans="1:18" x14ac:dyDescent="0.3">
      <c r="A176" s="2">
        <v>43952</v>
      </c>
      <c r="B176">
        <v>29.683019999999999</v>
      </c>
      <c r="F176" s="7" t="s">
        <v>25</v>
      </c>
      <c r="G176">
        <v>31.887249999999998</v>
      </c>
      <c r="I176" t="str">
        <f t="shared" si="34"/>
        <v>2014-Nov</v>
      </c>
      <c r="J176">
        <v>31.446782499999998</v>
      </c>
      <c r="K176">
        <v>31.5</v>
      </c>
      <c r="L176">
        <f t="shared" si="25"/>
        <v>992.25</v>
      </c>
      <c r="M176">
        <f t="shared" si="26"/>
        <v>990.57364874999996</v>
      </c>
      <c r="N176">
        <f t="shared" si="27"/>
        <v>31.504569388541313</v>
      </c>
      <c r="O176">
        <f t="shared" si="28"/>
        <v>-5.7786888541315307E-2</v>
      </c>
      <c r="P176">
        <f t="shared" si="29"/>
        <v>3.3393244872863981E-3</v>
      </c>
      <c r="Q176">
        <f t="shared" si="30"/>
        <v>2.0861692614193252E-4</v>
      </c>
      <c r="R176">
        <f t="shared" si="31"/>
        <v>2.0861692614193253E-2</v>
      </c>
    </row>
    <row r="177" spans="1:18" x14ac:dyDescent="0.3">
      <c r="A177" s="2">
        <v>43945</v>
      </c>
      <c r="B177">
        <v>28.27535</v>
      </c>
      <c r="F177" s="7" t="s">
        <v>26</v>
      </c>
      <c r="G177">
        <v>33.117075</v>
      </c>
      <c r="I177" t="str">
        <f t="shared" si="34"/>
        <v>2014-Dec</v>
      </c>
      <c r="J177">
        <v>32.940927500000001</v>
      </c>
      <c r="K177">
        <v>32.5</v>
      </c>
      <c r="L177">
        <f t="shared" si="25"/>
        <v>1056.25</v>
      </c>
      <c r="M177">
        <f t="shared" si="26"/>
        <v>1070.5801437499999</v>
      </c>
      <c r="N177">
        <f t="shared" si="27"/>
        <v>31.62122343544895</v>
      </c>
      <c r="O177">
        <f t="shared" si="28"/>
        <v>1.3197040645510505</v>
      </c>
      <c r="P177">
        <f t="shared" si="29"/>
        <v>1.7416188179925634</v>
      </c>
      <c r="Q177">
        <f t="shared" si="30"/>
        <v>4.76427460126733E-3</v>
      </c>
      <c r="R177">
        <f t="shared" si="31"/>
        <v>0.47642746012673298</v>
      </c>
    </row>
    <row r="178" spans="1:18" x14ac:dyDescent="0.3">
      <c r="A178" s="2">
        <v>43938</v>
      </c>
      <c r="B178">
        <v>28.591080000000002</v>
      </c>
      <c r="F178" s="7" t="s">
        <v>27</v>
      </c>
      <c r="G178">
        <v>33.774428</v>
      </c>
      <c r="I178" t="str">
        <f>_xlfn.CONCAT($F$193,"-",F194)</f>
        <v>2015-Jan</v>
      </c>
      <c r="J178">
        <v>31.907075999999996</v>
      </c>
      <c r="K178">
        <v>33.5</v>
      </c>
      <c r="L178">
        <f t="shared" si="25"/>
        <v>1122.25</v>
      </c>
      <c r="M178">
        <f t="shared" si="26"/>
        <v>1068.8870459999998</v>
      </c>
      <c r="N178">
        <f t="shared" si="27"/>
        <v>31.737877482356591</v>
      </c>
      <c r="O178">
        <f t="shared" si="28"/>
        <v>0.16919851764340521</v>
      </c>
      <c r="P178">
        <f t="shared" si="29"/>
        <v>2.8628138372725705E-2</v>
      </c>
      <c r="Q178">
        <f t="shared" si="30"/>
        <v>6.1082497344189604E-4</v>
      </c>
      <c r="R178">
        <f t="shared" si="31"/>
        <v>6.1082497344189607E-2</v>
      </c>
    </row>
    <row r="179" spans="1:18" x14ac:dyDescent="0.3">
      <c r="A179" s="2">
        <v>43931</v>
      </c>
      <c r="B179">
        <v>28.225819999999999</v>
      </c>
      <c r="F179" s="7" t="s">
        <v>28</v>
      </c>
      <c r="G179">
        <v>35.298142499999997</v>
      </c>
      <c r="I179" t="str">
        <f t="shared" ref="I179:I189" si="35">_xlfn.CONCAT($F$193,"-",F195)</f>
        <v>2015-Feb</v>
      </c>
      <c r="J179">
        <v>33.322539999999996</v>
      </c>
      <c r="K179">
        <v>34.5</v>
      </c>
      <c r="L179">
        <f t="shared" si="25"/>
        <v>1190.25</v>
      </c>
      <c r="M179">
        <f t="shared" si="26"/>
        <v>1149.62763</v>
      </c>
      <c r="N179">
        <f t="shared" si="27"/>
        <v>31.854531529264229</v>
      </c>
      <c r="O179">
        <f t="shared" si="28"/>
        <v>1.4680084707357679</v>
      </c>
      <c r="P179">
        <f t="shared" si="29"/>
        <v>2.1550488701519681</v>
      </c>
      <c r="Q179">
        <f t="shared" si="30"/>
        <v>5.2996695694432052E-3</v>
      </c>
      <c r="R179">
        <f t="shared" si="31"/>
        <v>0.5299669569443205</v>
      </c>
    </row>
    <row r="180" spans="1:18" x14ac:dyDescent="0.3">
      <c r="A180" s="2">
        <v>43924</v>
      </c>
      <c r="B180">
        <v>26.27713</v>
      </c>
      <c r="F180" s="4" t="s">
        <v>52</v>
      </c>
      <c r="G180">
        <v>34.325916153846144</v>
      </c>
      <c r="I180" t="str">
        <f t="shared" si="35"/>
        <v>2015-Mar</v>
      </c>
      <c r="J180">
        <v>31.76829</v>
      </c>
      <c r="K180">
        <v>35.5</v>
      </c>
      <c r="L180">
        <f t="shared" si="25"/>
        <v>1260.25</v>
      </c>
      <c r="M180">
        <f t="shared" si="26"/>
        <v>1127.7742949999999</v>
      </c>
      <c r="N180">
        <f t="shared" si="27"/>
        <v>31.97118557617187</v>
      </c>
      <c r="O180">
        <f t="shared" si="28"/>
        <v>-0.20289557617186915</v>
      </c>
      <c r="P180">
        <f t="shared" si="29"/>
        <v>4.1166614830114759E-2</v>
      </c>
      <c r="Q180">
        <f t="shared" si="30"/>
        <v>7.3247500423057456E-4</v>
      </c>
      <c r="R180">
        <f t="shared" si="31"/>
        <v>7.3247500423057457E-2</v>
      </c>
    </row>
    <row r="181" spans="1:18" x14ac:dyDescent="0.3">
      <c r="A181" s="2">
        <v>43917</v>
      </c>
      <c r="B181">
        <v>24.9816</v>
      </c>
      <c r="F181" s="7" t="s">
        <v>30</v>
      </c>
      <c r="G181">
        <v>35.266895999999996</v>
      </c>
      <c r="I181" t="str">
        <f t="shared" si="35"/>
        <v>2015-Apr</v>
      </c>
      <c r="J181">
        <v>32.227982500000003</v>
      </c>
      <c r="K181">
        <v>36.5</v>
      </c>
      <c r="L181">
        <f t="shared" si="25"/>
        <v>1332.25</v>
      </c>
      <c r="M181">
        <f t="shared" si="26"/>
        <v>1176.3213612500001</v>
      </c>
      <c r="N181">
        <f t="shared" si="27"/>
        <v>32.08783962307951</v>
      </c>
      <c r="O181">
        <f t="shared" si="28"/>
        <v>0.14014287692049265</v>
      </c>
      <c r="P181">
        <f t="shared" si="29"/>
        <v>1.9640025951552353E-2</v>
      </c>
      <c r="Q181">
        <f t="shared" si="30"/>
        <v>5.0593096361188682E-4</v>
      </c>
      <c r="R181">
        <f t="shared" si="31"/>
        <v>5.059309636118868E-2</v>
      </c>
    </row>
    <row r="182" spans="1:18" x14ac:dyDescent="0.3">
      <c r="A182" s="2">
        <v>43910</v>
      </c>
      <c r="B182">
        <v>21.696680000000001</v>
      </c>
      <c r="F182" s="7" t="s">
        <v>31</v>
      </c>
      <c r="G182">
        <v>36.162687500000004</v>
      </c>
      <c r="I182" t="str">
        <f t="shared" si="35"/>
        <v>2015-May</v>
      </c>
      <c r="J182">
        <v>32.157774000000003</v>
      </c>
      <c r="K182">
        <v>37.5</v>
      </c>
      <c r="L182">
        <f t="shared" si="25"/>
        <v>1406.25</v>
      </c>
      <c r="M182">
        <f t="shared" si="26"/>
        <v>1205.9165250000001</v>
      </c>
      <c r="N182">
        <f t="shared" si="27"/>
        <v>32.204493669987144</v>
      </c>
      <c r="O182">
        <f t="shared" si="28"/>
        <v>-4.6719669987140833E-2</v>
      </c>
      <c r="P182">
        <f t="shared" si="29"/>
        <v>2.1827275637073479E-3</v>
      </c>
      <c r="Q182">
        <f t="shared" si="30"/>
        <v>1.6866306854563477E-4</v>
      </c>
      <c r="R182">
        <f t="shared" si="31"/>
        <v>1.6866306854563477E-2</v>
      </c>
    </row>
    <row r="183" spans="1:18" x14ac:dyDescent="0.3">
      <c r="A183" s="2">
        <v>43903</v>
      </c>
      <c r="B183">
        <v>25.425350000000002</v>
      </c>
      <c r="F183" s="7" t="s">
        <v>19</v>
      </c>
      <c r="G183">
        <v>36.088655000000003</v>
      </c>
      <c r="I183" t="str">
        <f t="shared" si="35"/>
        <v>2015-Jun</v>
      </c>
      <c r="J183">
        <v>29.799267499999999</v>
      </c>
      <c r="K183">
        <v>38.5</v>
      </c>
      <c r="L183">
        <f t="shared" si="25"/>
        <v>1482.25</v>
      </c>
      <c r="M183">
        <f t="shared" si="26"/>
        <v>1147.27179875</v>
      </c>
      <c r="N183">
        <f t="shared" si="27"/>
        <v>32.321147716894785</v>
      </c>
      <c r="O183">
        <f t="shared" si="28"/>
        <v>-2.521880216894786</v>
      </c>
      <c r="P183">
        <f t="shared" si="29"/>
        <v>6.3598798283652931</v>
      </c>
      <c r="Q183">
        <f t="shared" si="30"/>
        <v>9.1042607108115011E-3</v>
      </c>
      <c r="R183">
        <f t="shared" si="31"/>
        <v>0.91042607108115015</v>
      </c>
    </row>
    <row r="184" spans="1:18" x14ac:dyDescent="0.3">
      <c r="A184" s="2">
        <v>43896</v>
      </c>
      <c r="B184">
        <v>28.06466</v>
      </c>
      <c r="F184" s="7" t="s">
        <v>20</v>
      </c>
      <c r="G184">
        <v>37.23509</v>
      </c>
      <c r="I184" t="str">
        <f t="shared" si="35"/>
        <v>2015-Jul</v>
      </c>
      <c r="J184">
        <v>30.431772000000002</v>
      </c>
      <c r="K184">
        <v>39.5</v>
      </c>
      <c r="L184">
        <f t="shared" si="25"/>
        <v>1560.25</v>
      </c>
      <c r="M184">
        <f t="shared" si="26"/>
        <v>1202.0549940000001</v>
      </c>
      <c r="N184">
        <f t="shared" si="27"/>
        <v>32.437801763802426</v>
      </c>
      <c r="O184">
        <f t="shared" si="28"/>
        <v>-2.0060297638024238</v>
      </c>
      <c r="P184">
        <f t="shared" si="29"/>
        <v>4.0241554132612078</v>
      </c>
      <c r="Q184">
        <f t="shared" si="30"/>
        <v>7.2419847068679556E-3</v>
      </c>
      <c r="R184">
        <f t="shared" si="31"/>
        <v>0.72419847068679555</v>
      </c>
    </row>
    <row r="185" spans="1:18" x14ac:dyDescent="0.3">
      <c r="A185" s="2">
        <v>43889</v>
      </c>
      <c r="B185">
        <v>29.680700000000002</v>
      </c>
      <c r="F185" s="7" t="s">
        <v>21</v>
      </c>
      <c r="G185">
        <v>37.046458000000001</v>
      </c>
      <c r="I185" t="str">
        <f t="shared" si="35"/>
        <v>2015-Aug</v>
      </c>
      <c r="J185">
        <v>28.490762499999995</v>
      </c>
      <c r="K185">
        <v>40.5</v>
      </c>
      <c r="L185">
        <f t="shared" si="25"/>
        <v>1640.25</v>
      </c>
      <c r="M185">
        <f t="shared" si="26"/>
        <v>1153.8758812499998</v>
      </c>
      <c r="N185">
        <f t="shared" si="27"/>
        <v>32.554455810710067</v>
      </c>
      <c r="O185">
        <f t="shared" si="28"/>
        <v>-4.0636933107100717</v>
      </c>
      <c r="P185">
        <f t="shared" si="29"/>
        <v>16.513603323509784</v>
      </c>
      <c r="Q185">
        <f t="shared" si="30"/>
        <v>1.4670372962852245E-2</v>
      </c>
      <c r="R185">
        <f t="shared" si="31"/>
        <v>1.4670372962852245</v>
      </c>
    </row>
    <row r="186" spans="1:18" x14ac:dyDescent="0.3">
      <c r="A186" s="2">
        <v>43882</v>
      </c>
      <c r="B186">
        <v>34.436149999999998</v>
      </c>
      <c r="F186" s="7" t="s">
        <v>22</v>
      </c>
      <c r="G186">
        <v>36.250304999999997</v>
      </c>
      <c r="I186" t="str">
        <f t="shared" si="35"/>
        <v>2015-Sep</v>
      </c>
      <c r="J186">
        <v>26.944044999999999</v>
      </c>
      <c r="K186">
        <v>41.5</v>
      </c>
      <c r="L186">
        <f t="shared" si="25"/>
        <v>1722.25</v>
      </c>
      <c r="M186">
        <f t="shared" si="26"/>
        <v>1118.1778675</v>
      </c>
      <c r="N186">
        <f t="shared" si="27"/>
        <v>32.671109857617708</v>
      </c>
      <c r="O186">
        <f t="shared" si="28"/>
        <v>-5.7270648576177088</v>
      </c>
      <c r="P186">
        <f t="shared" si="29"/>
        <v>32.799271883359744</v>
      </c>
      <c r="Q186">
        <f t="shared" si="30"/>
        <v>2.06753243957318E-2</v>
      </c>
      <c r="R186">
        <f t="shared" si="31"/>
        <v>2.06753243957318</v>
      </c>
    </row>
    <row r="187" spans="1:18" x14ac:dyDescent="0.3">
      <c r="A187" s="2">
        <v>43875</v>
      </c>
      <c r="B187">
        <v>36.036709999999999</v>
      </c>
      <c r="F187" s="7" t="s">
        <v>23</v>
      </c>
      <c r="G187">
        <v>34.917102499999999</v>
      </c>
      <c r="I187" t="str">
        <f t="shared" si="35"/>
        <v>2015-Oct</v>
      </c>
      <c r="J187">
        <v>29.514796</v>
      </c>
      <c r="K187">
        <v>42.5</v>
      </c>
      <c r="L187">
        <f t="shared" si="25"/>
        <v>1806.25</v>
      </c>
      <c r="M187">
        <f t="shared" si="26"/>
        <v>1254.3788300000001</v>
      </c>
      <c r="N187">
        <f t="shared" si="27"/>
        <v>32.787763904525342</v>
      </c>
      <c r="O187">
        <f t="shared" si="28"/>
        <v>-3.2729679045253413</v>
      </c>
      <c r="P187">
        <f t="shared" si="29"/>
        <v>10.712318904053003</v>
      </c>
      <c r="Q187">
        <f t="shared" si="30"/>
        <v>1.1815768608394733E-2</v>
      </c>
      <c r="R187">
        <f t="shared" si="31"/>
        <v>1.1815768608394732</v>
      </c>
    </row>
    <row r="188" spans="1:18" x14ac:dyDescent="0.3">
      <c r="A188" s="2">
        <v>43868</v>
      </c>
      <c r="B188">
        <v>35.685119999999998</v>
      </c>
      <c r="F188" s="7" t="s">
        <v>24</v>
      </c>
      <c r="G188">
        <v>31.964767999999999</v>
      </c>
      <c r="I188" t="str">
        <f t="shared" si="35"/>
        <v>2015-Nov</v>
      </c>
      <c r="J188">
        <v>28.749812500000001</v>
      </c>
      <c r="K188">
        <v>43.5</v>
      </c>
      <c r="L188">
        <f t="shared" si="25"/>
        <v>1892.25</v>
      </c>
      <c r="M188">
        <f t="shared" si="26"/>
        <v>1250.61684375</v>
      </c>
      <c r="N188">
        <f t="shared" si="27"/>
        <v>32.904417951432983</v>
      </c>
      <c r="O188">
        <f t="shared" si="28"/>
        <v>-4.1546054514329818</v>
      </c>
      <c r="P188">
        <f t="shared" si="29"/>
        <v>17.26074645707665</v>
      </c>
      <c r="Q188">
        <f t="shared" si="30"/>
        <v>1.4998575636942173E-2</v>
      </c>
      <c r="R188">
        <f t="shared" si="31"/>
        <v>1.4998575636942173</v>
      </c>
    </row>
    <row r="189" spans="1:18" x14ac:dyDescent="0.3">
      <c r="A189" s="2">
        <v>43861</v>
      </c>
      <c r="B189">
        <v>34.872660000000003</v>
      </c>
      <c r="F189" s="7" t="s">
        <v>25</v>
      </c>
      <c r="G189">
        <v>32.995064999999997</v>
      </c>
      <c r="I189" t="str">
        <f t="shared" si="35"/>
        <v>2015-Dec</v>
      </c>
      <c r="J189">
        <v>27.7924325</v>
      </c>
      <c r="K189">
        <v>44.5</v>
      </c>
      <c r="L189">
        <f t="shared" si="25"/>
        <v>1980.25</v>
      </c>
      <c r="M189">
        <f t="shared" si="26"/>
        <v>1236.7632462500001</v>
      </c>
      <c r="N189">
        <f t="shared" si="27"/>
        <v>33.021071998340624</v>
      </c>
      <c r="O189">
        <f t="shared" si="28"/>
        <v>-5.2286394983406232</v>
      </c>
      <c r="P189">
        <f t="shared" si="29"/>
        <v>27.338671003607683</v>
      </c>
      <c r="Q189">
        <f t="shared" si="30"/>
        <v>1.887595486765568E-2</v>
      </c>
      <c r="R189">
        <f t="shared" si="31"/>
        <v>1.887595486765568</v>
      </c>
    </row>
    <row r="190" spans="1:18" x14ac:dyDescent="0.3">
      <c r="A190" s="2">
        <v>43854</v>
      </c>
      <c r="B190">
        <v>36.515909999999998</v>
      </c>
      <c r="F190" s="7" t="s">
        <v>26</v>
      </c>
      <c r="G190">
        <v>30.282114</v>
      </c>
      <c r="I190" t="str">
        <f>_xlfn.CONCAT($F$206,"-",F207)</f>
        <v>2016-Jan</v>
      </c>
      <c r="J190">
        <v>25.804498000000002</v>
      </c>
      <c r="K190">
        <v>45.5</v>
      </c>
      <c r="L190">
        <f t="shared" si="25"/>
        <v>2070.25</v>
      </c>
      <c r="M190">
        <f t="shared" si="26"/>
        <v>1174.1046590000001</v>
      </c>
      <c r="N190">
        <f t="shared" si="27"/>
        <v>33.137726045248264</v>
      </c>
      <c r="O190">
        <f t="shared" si="28"/>
        <v>-7.3332280452482621</v>
      </c>
      <c r="P190">
        <f t="shared" si="29"/>
        <v>53.776233563615648</v>
      </c>
      <c r="Q190">
        <f t="shared" si="30"/>
        <v>2.64737474557699E-2</v>
      </c>
      <c r="R190">
        <f t="shared" si="31"/>
        <v>2.64737474557699</v>
      </c>
    </row>
    <row r="191" spans="1:18" x14ac:dyDescent="0.3">
      <c r="A191" s="2">
        <v>43847</v>
      </c>
      <c r="B191">
        <v>37.792580000000001</v>
      </c>
      <c r="F191" s="7" t="s">
        <v>27</v>
      </c>
      <c r="G191">
        <v>31.446782499999998</v>
      </c>
      <c r="I191" t="str">
        <f t="shared" ref="I191:I200" si="36">_xlfn.CONCAT($F$206,"-",F208)</f>
        <v>2016-Feb</v>
      </c>
      <c r="J191">
        <v>23.265542499999999</v>
      </c>
      <c r="K191">
        <v>46.5</v>
      </c>
      <c r="L191">
        <f t="shared" si="25"/>
        <v>2162.25</v>
      </c>
      <c r="M191">
        <f t="shared" si="26"/>
        <v>1081.8477262500001</v>
      </c>
      <c r="N191">
        <f t="shared" si="27"/>
        <v>33.254380092155898</v>
      </c>
      <c r="O191">
        <f t="shared" si="28"/>
        <v>-9.9888375921558996</v>
      </c>
      <c r="P191">
        <f t="shared" si="29"/>
        <v>99.776876442466872</v>
      </c>
      <c r="Q191">
        <f t="shared" si="30"/>
        <v>3.6060785531248737E-2</v>
      </c>
      <c r="R191">
        <f t="shared" si="31"/>
        <v>3.6060785531248736</v>
      </c>
    </row>
    <row r="192" spans="1:18" x14ac:dyDescent="0.3">
      <c r="A192" s="2">
        <v>43840</v>
      </c>
      <c r="B192">
        <v>37.842610000000001</v>
      </c>
      <c r="F192" s="7" t="s">
        <v>28</v>
      </c>
      <c r="G192">
        <v>32.940927500000001</v>
      </c>
      <c r="I192" t="str">
        <f t="shared" si="36"/>
        <v>2016-Mar</v>
      </c>
      <c r="J192">
        <v>26.456567499999998</v>
      </c>
      <c r="K192">
        <v>47.5</v>
      </c>
      <c r="L192">
        <f t="shared" si="25"/>
        <v>2256.25</v>
      </c>
      <c r="M192">
        <f t="shared" si="26"/>
        <v>1256.6869562499999</v>
      </c>
      <c r="N192">
        <f t="shared" si="27"/>
        <v>33.371034139063539</v>
      </c>
      <c r="O192">
        <f t="shared" si="28"/>
        <v>-6.9144666390635408</v>
      </c>
      <c r="P192">
        <f t="shared" si="29"/>
        <v>47.809848902722656</v>
      </c>
      <c r="Q192">
        <f t="shared" si="30"/>
        <v>2.4961973426222167E-2</v>
      </c>
      <c r="R192">
        <f t="shared" si="31"/>
        <v>2.4961973426222168</v>
      </c>
    </row>
    <row r="193" spans="1:18" x14ac:dyDescent="0.3">
      <c r="A193" s="2">
        <v>43833</v>
      </c>
      <c r="B193">
        <v>37.62171</v>
      </c>
      <c r="F193" s="4" t="s">
        <v>53</v>
      </c>
      <c r="G193">
        <v>30.316108076923076</v>
      </c>
      <c r="I193" t="str">
        <f t="shared" si="36"/>
        <v>2016-Apr</v>
      </c>
      <c r="J193">
        <v>28.359411999999999</v>
      </c>
      <c r="K193">
        <v>48.5</v>
      </c>
      <c r="L193">
        <f t="shared" si="25"/>
        <v>2352.25</v>
      </c>
      <c r="M193">
        <f t="shared" si="26"/>
        <v>1375.431482</v>
      </c>
      <c r="N193">
        <f t="shared" si="27"/>
        <v>33.48768818597118</v>
      </c>
      <c r="O193">
        <f t="shared" si="28"/>
        <v>-5.1282761859711812</v>
      </c>
      <c r="P193">
        <f t="shared" si="29"/>
        <v>26.299216639599123</v>
      </c>
      <c r="Q193">
        <f t="shared" si="30"/>
        <v>1.8513632440329175E-2</v>
      </c>
      <c r="R193">
        <f t="shared" si="31"/>
        <v>1.8513632440329175</v>
      </c>
    </row>
    <row r="194" spans="1:18" x14ac:dyDescent="0.3">
      <c r="A194" s="2">
        <v>43826</v>
      </c>
      <c r="B194">
        <v>38.41704</v>
      </c>
      <c r="F194" s="7" t="s">
        <v>30</v>
      </c>
      <c r="G194">
        <v>31.907075999999996</v>
      </c>
      <c r="I194" t="str">
        <f t="shared" si="36"/>
        <v>2016-May</v>
      </c>
      <c r="J194">
        <v>29.416255000000003</v>
      </c>
      <c r="K194">
        <v>49.5</v>
      </c>
      <c r="L194">
        <f t="shared" si="25"/>
        <v>2450.25</v>
      </c>
      <c r="M194">
        <f t="shared" si="26"/>
        <v>1456.1046225000002</v>
      </c>
      <c r="N194">
        <f t="shared" si="27"/>
        <v>33.604342232878821</v>
      </c>
      <c r="O194">
        <f t="shared" si="28"/>
        <v>-4.1880872328788179</v>
      </c>
      <c r="P194">
        <f t="shared" si="29"/>
        <v>17.540074670202554</v>
      </c>
      <c r="Q194">
        <f t="shared" si="30"/>
        <v>1.5119448494147357E-2</v>
      </c>
      <c r="R194">
        <f t="shared" si="31"/>
        <v>1.5119448494147358</v>
      </c>
    </row>
    <row r="195" spans="1:18" x14ac:dyDescent="0.3">
      <c r="A195" s="2">
        <v>43819</v>
      </c>
      <c r="B195">
        <v>38.099499999999999</v>
      </c>
      <c r="F195" s="7" t="s">
        <v>31</v>
      </c>
      <c r="G195">
        <v>33.322539999999996</v>
      </c>
      <c r="I195" t="str">
        <f t="shared" si="36"/>
        <v>2016-Jun</v>
      </c>
      <c r="J195">
        <v>28.615034999999999</v>
      </c>
      <c r="K195">
        <v>50.5</v>
      </c>
      <c r="L195">
        <f t="shared" si="25"/>
        <v>2550.25</v>
      </c>
      <c r="M195">
        <f t="shared" si="26"/>
        <v>1445.0592675</v>
      </c>
      <c r="N195">
        <f t="shared" si="27"/>
        <v>33.720996279786462</v>
      </c>
      <c r="O195">
        <f t="shared" si="28"/>
        <v>-5.1059612797864631</v>
      </c>
      <c r="P195">
        <f t="shared" si="29"/>
        <v>26.070840590678618</v>
      </c>
      <c r="Q195">
        <f t="shared" si="30"/>
        <v>1.8433073212225499E-2</v>
      </c>
      <c r="R195">
        <f t="shared" si="31"/>
        <v>1.8433073212225499</v>
      </c>
    </row>
    <row r="196" spans="1:18" x14ac:dyDescent="0.3">
      <c r="A196" s="2">
        <v>43812</v>
      </c>
      <c r="B196">
        <v>38.466920000000002</v>
      </c>
      <c r="F196" s="7" t="s">
        <v>19</v>
      </c>
      <c r="G196">
        <v>31.76829</v>
      </c>
      <c r="I196" t="str">
        <f t="shared" si="36"/>
        <v>2016-Jul</v>
      </c>
      <c r="J196">
        <v>28.391439999999999</v>
      </c>
      <c r="K196">
        <v>51.5</v>
      </c>
      <c r="L196">
        <f t="shared" si="25"/>
        <v>2652.25</v>
      </c>
      <c r="M196">
        <f t="shared" si="26"/>
        <v>1462.1591599999999</v>
      </c>
      <c r="N196">
        <f t="shared" si="27"/>
        <v>33.837650326694096</v>
      </c>
      <c r="O196">
        <f t="shared" si="28"/>
        <v>-5.4462103266940964</v>
      </c>
      <c r="P196">
        <f t="shared" si="29"/>
        <v>29.661206922589418</v>
      </c>
      <c r="Q196">
        <f t="shared" si="30"/>
        <v>1.9661409121639339E-2</v>
      </c>
      <c r="R196">
        <f t="shared" si="31"/>
        <v>1.9661409121639339</v>
      </c>
    </row>
    <row r="197" spans="1:18" x14ac:dyDescent="0.3">
      <c r="A197" s="2">
        <v>43805</v>
      </c>
      <c r="B197">
        <v>37.636749999999999</v>
      </c>
      <c r="F197" s="7" t="s">
        <v>20</v>
      </c>
      <c r="G197">
        <v>32.227982500000003</v>
      </c>
      <c r="I197" t="str">
        <f t="shared" si="36"/>
        <v>2016-Aug</v>
      </c>
      <c r="J197">
        <v>31.428339999999999</v>
      </c>
      <c r="K197">
        <v>52.5</v>
      </c>
      <c r="L197">
        <f t="shared" si="25"/>
        <v>2756.25</v>
      </c>
      <c r="M197">
        <f t="shared" si="26"/>
        <v>1649.98785</v>
      </c>
      <c r="N197">
        <f t="shared" si="27"/>
        <v>33.954304373601737</v>
      </c>
      <c r="O197">
        <f t="shared" si="28"/>
        <v>-2.5259643736017381</v>
      </c>
      <c r="P197">
        <f t="shared" si="29"/>
        <v>6.3804960167052212</v>
      </c>
      <c r="Q197">
        <f t="shared" si="30"/>
        <v>9.1190049588510402E-3</v>
      </c>
      <c r="R197">
        <f t="shared" si="31"/>
        <v>0.91190049588510402</v>
      </c>
    </row>
    <row r="198" spans="1:18" x14ac:dyDescent="0.3">
      <c r="A198" s="2">
        <v>43798</v>
      </c>
      <c r="B198">
        <v>37.184510000000003</v>
      </c>
      <c r="F198" s="7" t="s">
        <v>21</v>
      </c>
      <c r="G198">
        <v>32.157774000000003</v>
      </c>
      <c r="I198" t="str">
        <f t="shared" si="36"/>
        <v>2016-Sep</v>
      </c>
      <c r="J198">
        <v>31.261433999999998</v>
      </c>
      <c r="K198">
        <v>53.5</v>
      </c>
      <c r="L198">
        <f t="shared" si="25"/>
        <v>2862.25</v>
      </c>
      <c r="M198">
        <f t="shared" si="26"/>
        <v>1672.4867189999998</v>
      </c>
      <c r="N198">
        <f t="shared" si="27"/>
        <v>34.070958420509378</v>
      </c>
      <c r="O198">
        <f t="shared" si="28"/>
        <v>-2.8095244205093799</v>
      </c>
      <c r="P198">
        <f t="shared" si="29"/>
        <v>7.8934274694385671</v>
      </c>
      <c r="Q198">
        <f t="shared" si="30"/>
        <v>1.0142687438662021E-2</v>
      </c>
      <c r="R198">
        <f t="shared" si="31"/>
        <v>1.0142687438662021</v>
      </c>
    </row>
    <row r="199" spans="1:18" x14ac:dyDescent="0.3">
      <c r="A199" s="2">
        <v>43791</v>
      </c>
      <c r="B199">
        <v>37.4375</v>
      </c>
      <c r="F199" s="7" t="s">
        <v>22</v>
      </c>
      <c r="G199">
        <v>29.799267499999999</v>
      </c>
      <c r="I199" t="str">
        <f t="shared" si="36"/>
        <v>2016-Oct</v>
      </c>
      <c r="J199">
        <v>30.444802499999998</v>
      </c>
      <c r="K199">
        <v>54.5</v>
      </c>
      <c r="L199">
        <f t="shared" si="25"/>
        <v>2970.25</v>
      </c>
      <c r="M199">
        <f t="shared" si="26"/>
        <v>1659.2417362499998</v>
      </c>
      <c r="N199">
        <f t="shared" si="27"/>
        <v>34.187612467417019</v>
      </c>
      <c r="O199">
        <f t="shared" si="28"/>
        <v>-3.7428099674170205</v>
      </c>
      <c r="P199">
        <f t="shared" si="29"/>
        <v>14.008626452196198</v>
      </c>
      <c r="Q199">
        <f t="shared" si="30"/>
        <v>1.3511949340855671E-2</v>
      </c>
      <c r="R199">
        <f t="shared" si="31"/>
        <v>1.3511949340855671</v>
      </c>
    </row>
    <row r="200" spans="1:18" x14ac:dyDescent="0.3">
      <c r="A200" s="2">
        <v>43784</v>
      </c>
      <c r="B200">
        <v>37.859949999999998</v>
      </c>
      <c r="F200" s="7" t="s">
        <v>23</v>
      </c>
      <c r="G200">
        <v>30.431772000000002</v>
      </c>
      <c r="I200" t="str">
        <f t="shared" si="36"/>
        <v>2016-Nov</v>
      </c>
      <c r="J200">
        <v>30.976677500000001</v>
      </c>
      <c r="K200">
        <v>55.5</v>
      </c>
      <c r="L200">
        <f t="shared" si="25"/>
        <v>3080.25</v>
      </c>
      <c r="M200">
        <f t="shared" si="26"/>
        <v>1719.20560125</v>
      </c>
      <c r="N200">
        <f t="shared" si="27"/>
        <v>34.304266514324652</v>
      </c>
      <c r="O200">
        <f t="shared" si="28"/>
        <v>-3.3275890143246514</v>
      </c>
      <c r="P200">
        <f t="shared" si="29"/>
        <v>11.072848648254105</v>
      </c>
      <c r="Q200">
        <f t="shared" si="30"/>
        <v>1.2012956730413905E-2</v>
      </c>
      <c r="R200">
        <f t="shared" si="31"/>
        <v>1.2012956730413904</v>
      </c>
    </row>
    <row r="201" spans="1:18" x14ac:dyDescent="0.3">
      <c r="A201" s="2">
        <v>43777</v>
      </c>
      <c r="B201">
        <v>36.178660000000001</v>
      </c>
      <c r="F201" s="7" t="s">
        <v>24</v>
      </c>
      <c r="G201">
        <v>28.490762499999995</v>
      </c>
      <c r="I201" t="str">
        <f>_xlfn.CONCAT($F$206,"-",F218)</f>
        <v>2016-Dec</v>
      </c>
      <c r="J201">
        <v>32.120634000000003</v>
      </c>
      <c r="K201">
        <v>56.5</v>
      </c>
      <c r="L201">
        <f t="shared" ref="L201:L264" si="37">K201*K201</f>
        <v>3192.25</v>
      </c>
      <c r="M201">
        <f t="shared" ref="M201:M264" si="38">K201*J201</f>
        <v>1814.8158210000001</v>
      </c>
      <c r="N201">
        <f t="shared" ref="N201:N264" si="39">$I$2+$I$3*K201</f>
        <v>34.420920561232293</v>
      </c>
      <c r="O201">
        <f t="shared" ref="O201:O264" si="40">J201-N201</f>
        <v>-2.3002865612322907</v>
      </c>
      <c r="P201">
        <f t="shared" ref="P201:P264" si="41">O201*O201</f>
        <v>5.2913182637858771</v>
      </c>
      <c r="Q201">
        <f t="shared" ref="Q201:Q264" si="42">ABS(O201)/$J$1</f>
        <v>8.3042836145570068E-3</v>
      </c>
      <c r="R201">
        <f t="shared" ref="R201:R264" si="43">Q201*100</f>
        <v>0.83042836145570065</v>
      </c>
    </row>
    <row r="202" spans="1:18" x14ac:dyDescent="0.3">
      <c r="A202" s="2">
        <v>43770</v>
      </c>
      <c r="B202">
        <v>35.818860000000001</v>
      </c>
      <c r="F202" s="7" t="s">
        <v>25</v>
      </c>
      <c r="G202">
        <v>26.944044999999999</v>
      </c>
      <c r="I202" t="str">
        <f>_xlfn.CONCAT($F$219,"-",F220)</f>
        <v>2017-Jan</v>
      </c>
      <c r="J202">
        <v>33.732754999999997</v>
      </c>
      <c r="K202">
        <v>57.5</v>
      </c>
      <c r="L202">
        <f t="shared" si="37"/>
        <v>3306.25</v>
      </c>
      <c r="M202">
        <f t="shared" si="38"/>
        <v>1939.6334124999998</v>
      </c>
      <c r="N202">
        <f t="shared" si="39"/>
        <v>34.537574608139934</v>
      </c>
      <c r="O202">
        <f t="shared" si="40"/>
        <v>-0.8048196081399368</v>
      </c>
      <c r="P202">
        <f t="shared" si="41"/>
        <v>0.64773460164652141</v>
      </c>
      <c r="Q202">
        <f t="shared" si="42"/>
        <v>2.9054859499636708E-3</v>
      </c>
      <c r="R202">
        <f t="shared" si="43"/>
        <v>0.29054859499636709</v>
      </c>
    </row>
    <row r="203" spans="1:18" x14ac:dyDescent="0.3">
      <c r="A203" s="2">
        <v>43763</v>
      </c>
      <c r="B203">
        <v>35.425730000000001</v>
      </c>
      <c r="F203" s="7" t="s">
        <v>26</v>
      </c>
      <c r="G203">
        <v>29.514796</v>
      </c>
      <c r="I203" t="str">
        <f t="shared" ref="I203:I213" si="44">_xlfn.CONCAT($F$219,"-",F221)</f>
        <v>2017-Feb</v>
      </c>
      <c r="J203">
        <v>33.789167500000005</v>
      </c>
      <c r="K203">
        <v>58.5</v>
      </c>
      <c r="L203">
        <f t="shared" si="37"/>
        <v>3422.25</v>
      </c>
      <c r="M203">
        <f t="shared" si="38"/>
        <v>1976.6662987500004</v>
      </c>
      <c r="N203">
        <f t="shared" si="39"/>
        <v>34.654228655047575</v>
      </c>
      <c r="O203">
        <f t="shared" si="40"/>
        <v>-0.8650611550475702</v>
      </c>
      <c r="P203">
        <f t="shared" si="41"/>
        <v>0.74833080197223634</v>
      </c>
      <c r="Q203">
        <f t="shared" si="42"/>
        <v>3.1229644586554879E-3</v>
      </c>
      <c r="R203">
        <f t="shared" si="43"/>
        <v>0.31229644586554878</v>
      </c>
    </row>
    <row r="204" spans="1:18" x14ac:dyDescent="0.3">
      <c r="A204" s="2">
        <v>43756</v>
      </c>
      <c r="B204">
        <v>34.316429999999997</v>
      </c>
      <c r="F204" s="7" t="s">
        <v>27</v>
      </c>
      <c r="G204">
        <v>28.749812500000001</v>
      </c>
      <c r="I204" t="str">
        <f t="shared" si="44"/>
        <v>2017-Mar</v>
      </c>
      <c r="J204">
        <v>33.967494000000002</v>
      </c>
      <c r="K204">
        <v>59.5</v>
      </c>
      <c r="L204">
        <f t="shared" si="37"/>
        <v>3540.25</v>
      </c>
      <c r="M204">
        <f t="shared" si="38"/>
        <v>2021.0658930000002</v>
      </c>
      <c r="N204">
        <f t="shared" si="39"/>
        <v>34.770882701955216</v>
      </c>
      <c r="O204">
        <f t="shared" si="40"/>
        <v>-0.80338870195521395</v>
      </c>
      <c r="P204">
        <f t="shared" si="41"/>
        <v>0.6454334064292836</v>
      </c>
      <c r="Q204">
        <f t="shared" si="42"/>
        <v>2.9003202236650323E-3</v>
      </c>
      <c r="R204">
        <f t="shared" si="43"/>
        <v>0.29003202236650322</v>
      </c>
    </row>
    <row r="205" spans="1:18" x14ac:dyDescent="0.3">
      <c r="A205" s="2">
        <v>43749</v>
      </c>
      <c r="B205">
        <v>32.628079999999997</v>
      </c>
      <c r="F205" s="7" t="s">
        <v>28</v>
      </c>
      <c r="G205">
        <v>27.7924325</v>
      </c>
      <c r="I205" t="str">
        <f t="shared" si="44"/>
        <v>2017-Apr</v>
      </c>
      <c r="J205">
        <v>33.7988225</v>
      </c>
      <c r="K205">
        <v>60.5</v>
      </c>
      <c r="L205">
        <f t="shared" si="37"/>
        <v>3660.25</v>
      </c>
      <c r="M205">
        <f t="shared" si="38"/>
        <v>2044.8287612500001</v>
      </c>
      <c r="N205">
        <f t="shared" si="39"/>
        <v>34.88753674886285</v>
      </c>
      <c r="O205">
        <f t="shared" si="40"/>
        <v>-1.0887142488628498</v>
      </c>
      <c r="P205">
        <f t="shared" si="41"/>
        <v>1.1852987156769994</v>
      </c>
      <c r="Q205">
        <f t="shared" si="42"/>
        <v>3.9303763496853789E-3</v>
      </c>
      <c r="R205">
        <f t="shared" si="43"/>
        <v>0.39303763496853789</v>
      </c>
    </row>
    <row r="206" spans="1:18" x14ac:dyDescent="0.3">
      <c r="A206" s="2">
        <v>43742</v>
      </c>
      <c r="B206">
        <v>31.798680000000001</v>
      </c>
      <c r="F206" s="4" t="s">
        <v>54</v>
      </c>
      <c r="G206">
        <v>28.907546603773589</v>
      </c>
      <c r="I206" t="str">
        <f t="shared" si="44"/>
        <v>2017-May</v>
      </c>
      <c r="J206">
        <v>35.491245000000006</v>
      </c>
      <c r="K206">
        <v>61.5</v>
      </c>
      <c r="L206">
        <f t="shared" si="37"/>
        <v>3782.25</v>
      </c>
      <c r="M206">
        <f t="shared" si="38"/>
        <v>2182.7115675000005</v>
      </c>
      <c r="N206">
        <f t="shared" si="39"/>
        <v>35.004190795770491</v>
      </c>
      <c r="O206">
        <f t="shared" si="40"/>
        <v>0.48705420422951562</v>
      </c>
      <c r="P206">
        <f t="shared" si="41"/>
        <v>0.23722179785764672</v>
      </c>
      <c r="Q206">
        <f t="shared" si="42"/>
        <v>1.7583184268213561E-3</v>
      </c>
      <c r="R206">
        <f t="shared" si="43"/>
        <v>0.17583184268213561</v>
      </c>
    </row>
    <row r="207" spans="1:18" x14ac:dyDescent="0.3">
      <c r="A207" s="2">
        <v>43735</v>
      </c>
      <c r="B207">
        <v>32.881250000000001</v>
      </c>
      <c r="F207" s="7" t="s">
        <v>30</v>
      </c>
      <c r="G207">
        <v>25.804498000000002</v>
      </c>
      <c r="I207" t="str">
        <f t="shared" si="44"/>
        <v>2017-Jun</v>
      </c>
      <c r="J207">
        <v>36.518187999999995</v>
      </c>
      <c r="K207">
        <v>62.5</v>
      </c>
      <c r="L207">
        <f t="shared" si="37"/>
        <v>3906.25</v>
      </c>
      <c r="M207">
        <f t="shared" si="38"/>
        <v>2282.3867499999997</v>
      </c>
      <c r="N207">
        <f t="shared" si="39"/>
        <v>35.120844842678132</v>
      </c>
      <c r="O207">
        <f t="shared" si="40"/>
        <v>1.3973431573218633</v>
      </c>
      <c r="P207">
        <f t="shared" si="41"/>
        <v>1.9525678993142337</v>
      </c>
      <c r="Q207">
        <f t="shared" si="42"/>
        <v>5.0445601347359689E-3</v>
      </c>
      <c r="R207">
        <f t="shared" si="43"/>
        <v>0.50445601347359692</v>
      </c>
    </row>
    <row r="208" spans="1:18" x14ac:dyDescent="0.3">
      <c r="A208" s="2">
        <v>43728</v>
      </c>
      <c r="B208">
        <v>33.147579999999998</v>
      </c>
      <c r="F208" s="7" t="s">
        <v>31</v>
      </c>
      <c r="G208">
        <v>23.265542499999999</v>
      </c>
      <c r="I208" t="str">
        <f t="shared" si="44"/>
        <v>2017-Jul</v>
      </c>
      <c r="J208">
        <v>38.392587499999998</v>
      </c>
      <c r="K208">
        <v>63.5</v>
      </c>
      <c r="L208">
        <f t="shared" si="37"/>
        <v>4032.25</v>
      </c>
      <c r="M208">
        <f t="shared" si="38"/>
        <v>2437.9293062499996</v>
      </c>
      <c r="N208">
        <f t="shared" si="39"/>
        <v>35.237498889585773</v>
      </c>
      <c r="O208">
        <f t="shared" si="40"/>
        <v>3.1550886104142251</v>
      </c>
      <c r="P208">
        <f t="shared" si="41"/>
        <v>9.954584139565565</v>
      </c>
      <c r="Q208">
        <f t="shared" si="42"/>
        <v>1.139021158994305E-2</v>
      </c>
      <c r="R208">
        <f t="shared" si="43"/>
        <v>1.1390211589943049</v>
      </c>
    </row>
    <row r="209" spans="1:18" x14ac:dyDescent="0.3">
      <c r="A209" s="2">
        <v>43721</v>
      </c>
      <c r="B209">
        <v>34.435279999999999</v>
      </c>
      <c r="F209" s="7" t="s">
        <v>19</v>
      </c>
      <c r="G209">
        <v>26.456567499999998</v>
      </c>
      <c r="I209" t="str">
        <f t="shared" si="44"/>
        <v>2017-Aug</v>
      </c>
      <c r="J209">
        <v>40.672382499999998</v>
      </c>
      <c r="K209">
        <v>64.5</v>
      </c>
      <c r="L209">
        <f t="shared" si="37"/>
        <v>4160.25</v>
      </c>
      <c r="M209">
        <f t="shared" si="38"/>
        <v>2623.3686712499998</v>
      </c>
      <c r="N209">
        <f t="shared" si="39"/>
        <v>35.354152936493406</v>
      </c>
      <c r="O209">
        <f t="shared" si="40"/>
        <v>5.3182295635065913</v>
      </c>
      <c r="P209">
        <f t="shared" si="41"/>
        <v>28.283565690155509</v>
      </c>
      <c r="Q209">
        <f t="shared" si="42"/>
        <v>1.9199384705799967E-2</v>
      </c>
      <c r="R209">
        <f t="shared" si="43"/>
        <v>1.9199384705799967</v>
      </c>
    </row>
    <row r="210" spans="1:18" x14ac:dyDescent="0.3">
      <c r="A210" s="2">
        <v>43714</v>
      </c>
      <c r="B210">
        <v>33.48019</v>
      </c>
      <c r="F210" s="7" t="s">
        <v>20</v>
      </c>
      <c r="G210">
        <v>28.359411999999999</v>
      </c>
      <c r="I210" t="str">
        <f t="shared" si="44"/>
        <v>2017-Sep</v>
      </c>
      <c r="J210">
        <v>43.233877999999997</v>
      </c>
      <c r="K210">
        <v>65.5</v>
      </c>
      <c r="L210">
        <f t="shared" si="37"/>
        <v>4290.25</v>
      </c>
      <c r="M210">
        <f t="shared" si="38"/>
        <v>2831.8190089999998</v>
      </c>
      <c r="N210">
        <f t="shared" si="39"/>
        <v>35.470806983401047</v>
      </c>
      <c r="O210">
        <f t="shared" si="40"/>
        <v>7.7630710165989498</v>
      </c>
      <c r="P210">
        <f t="shared" si="41"/>
        <v>60.265271608758653</v>
      </c>
      <c r="Q210">
        <f t="shared" si="42"/>
        <v>2.8025527135736281E-2</v>
      </c>
      <c r="R210">
        <f t="shared" si="43"/>
        <v>2.8025527135736281</v>
      </c>
    </row>
    <row r="211" spans="1:18" x14ac:dyDescent="0.3">
      <c r="A211" s="2">
        <v>43707</v>
      </c>
      <c r="B211">
        <v>32.760719999999999</v>
      </c>
      <c r="F211" s="7" t="s">
        <v>21</v>
      </c>
      <c r="G211">
        <v>29.416255000000003</v>
      </c>
      <c r="I211" t="str">
        <f t="shared" si="44"/>
        <v>2017-Oct</v>
      </c>
      <c r="J211">
        <v>44.834607499999997</v>
      </c>
      <c r="K211">
        <v>66.5</v>
      </c>
      <c r="L211">
        <f t="shared" si="37"/>
        <v>4422.25</v>
      </c>
      <c r="M211">
        <f t="shared" si="38"/>
        <v>2981.5013987499997</v>
      </c>
      <c r="N211">
        <f t="shared" si="39"/>
        <v>35.587461030308688</v>
      </c>
      <c r="O211">
        <f t="shared" si="40"/>
        <v>9.2471464696913088</v>
      </c>
      <c r="P211">
        <f t="shared" si="41"/>
        <v>85.509717831924434</v>
      </c>
      <c r="Q211">
        <f t="shared" si="42"/>
        <v>3.3383200251593172E-2</v>
      </c>
      <c r="R211">
        <f t="shared" si="43"/>
        <v>3.3383200251593173</v>
      </c>
    </row>
    <row r="212" spans="1:18" x14ac:dyDescent="0.3">
      <c r="A212" s="2">
        <v>43700</v>
      </c>
      <c r="B212">
        <v>31.96893</v>
      </c>
      <c r="F212" s="7" t="s">
        <v>22</v>
      </c>
      <c r="G212">
        <v>28.615034999999999</v>
      </c>
      <c r="I212" t="str">
        <f t="shared" si="44"/>
        <v>2017-Nov</v>
      </c>
      <c r="J212">
        <v>46.440534999999997</v>
      </c>
      <c r="K212">
        <v>67.5</v>
      </c>
      <c r="L212">
        <f t="shared" si="37"/>
        <v>4556.25</v>
      </c>
      <c r="M212">
        <f t="shared" si="38"/>
        <v>3134.7361124999998</v>
      </c>
      <c r="N212">
        <f t="shared" si="39"/>
        <v>35.704115077216329</v>
      </c>
      <c r="O212">
        <f t="shared" si="40"/>
        <v>10.736419922783668</v>
      </c>
      <c r="P212">
        <f t="shared" si="41"/>
        <v>115.27071275834606</v>
      </c>
      <c r="Q212">
        <f t="shared" si="42"/>
        <v>3.8759638710410355E-2</v>
      </c>
      <c r="R212">
        <f t="shared" si="43"/>
        <v>3.8759638710410353</v>
      </c>
    </row>
    <row r="213" spans="1:18" x14ac:dyDescent="0.3">
      <c r="A213" s="2">
        <v>43693</v>
      </c>
      <c r="B213">
        <v>31.731529999999999</v>
      </c>
      <c r="F213" s="7" t="s">
        <v>23</v>
      </c>
      <c r="G213">
        <v>28.391439999999999</v>
      </c>
      <c r="I213" t="str">
        <f t="shared" si="44"/>
        <v>2017-Dec</v>
      </c>
      <c r="J213">
        <v>47.516095999999997</v>
      </c>
      <c r="K213">
        <v>68.5</v>
      </c>
      <c r="L213">
        <f t="shared" si="37"/>
        <v>4692.25</v>
      </c>
      <c r="M213">
        <f t="shared" si="38"/>
        <v>3254.8525759999998</v>
      </c>
      <c r="N213">
        <f t="shared" si="39"/>
        <v>35.82076912412397</v>
      </c>
      <c r="O213">
        <f t="shared" si="40"/>
        <v>11.695326875876027</v>
      </c>
      <c r="P213">
        <f t="shared" si="41"/>
        <v>136.78067073358812</v>
      </c>
      <c r="Q213">
        <f t="shared" si="42"/>
        <v>4.2221396663812374E-2</v>
      </c>
      <c r="R213">
        <f t="shared" si="43"/>
        <v>4.2221396663812376</v>
      </c>
    </row>
    <row r="214" spans="1:18" x14ac:dyDescent="0.3">
      <c r="A214" s="2">
        <v>43686</v>
      </c>
      <c r="B214">
        <v>32.29889</v>
      </c>
      <c r="F214" s="7" t="s">
        <v>24</v>
      </c>
      <c r="G214">
        <v>31.428339999999999</v>
      </c>
      <c r="I214" t="str">
        <f>_xlfn.CONCAT($F$232,"-",F233)</f>
        <v>2018-Jan</v>
      </c>
      <c r="J214">
        <v>49.147540000000006</v>
      </c>
      <c r="K214">
        <v>69.5</v>
      </c>
      <c r="L214">
        <f t="shared" si="37"/>
        <v>4830.25</v>
      </c>
      <c r="M214">
        <f t="shared" si="38"/>
        <v>3415.7540300000005</v>
      </c>
      <c r="N214">
        <f t="shared" si="39"/>
        <v>35.937423171031604</v>
      </c>
      <c r="O214">
        <f t="shared" si="40"/>
        <v>13.210116828968403</v>
      </c>
      <c r="P214">
        <f t="shared" si="41"/>
        <v>174.50718663499421</v>
      </c>
      <c r="Q214">
        <f t="shared" si="42"/>
        <v>4.7689952451149466E-2</v>
      </c>
      <c r="R214">
        <f t="shared" si="43"/>
        <v>4.7689952451149464</v>
      </c>
    </row>
    <row r="215" spans="1:18" x14ac:dyDescent="0.3">
      <c r="A215" s="2">
        <v>43679</v>
      </c>
      <c r="B215">
        <v>31.58043</v>
      </c>
      <c r="F215" s="7" t="s">
        <v>25</v>
      </c>
      <c r="G215">
        <v>31.261433999999998</v>
      </c>
      <c r="I215" t="str">
        <f t="shared" ref="I215:I225" si="45">_xlfn.CONCAT($F$232,"-",F234)</f>
        <v>2018-Feb</v>
      </c>
      <c r="J215">
        <v>45.729120000000002</v>
      </c>
      <c r="K215">
        <v>70.5</v>
      </c>
      <c r="L215">
        <f t="shared" si="37"/>
        <v>4970.25</v>
      </c>
      <c r="M215">
        <f t="shared" si="38"/>
        <v>3223.9029600000003</v>
      </c>
      <c r="N215">
        <f t="shared" si="39"/>
        <v>36.054077217939245</v>
      </c>
      <c r="O215">
        <f t="shared" si="40"/>
        <v>9.675042782060757</v>
      </c>
      <c r="P215">
        <f t="shared" si="41"/>
        <v>93.606452834705948</v>
      </c>
      <c r="Q215">
        <f t="shared" si="42"/>
        <v>3.4927952281807784E-2</v>
      </c>
      <c r="R215">
        <f t="shared" si="43"/>
        <v>3.4927952281807784</v>
      </c>
    </row>
    <row r="216" spans="1:18" x14ac:dyDescent="0.3">
      <c r="A216" s="2">
        <v>43672</v>
      </c>
      <c r="B216">
        <v>33.699660000000002</v>
      </c>
      <c r="F216" s="7" t="s">
        <v>26</v>
      </c>
      <c r="G216">
        <v>30.444802499999998</v>
      </c>
      <c r="I216" t="str">
        <f t="shared" si="45"/>
        <v>2018-Mar</v>
      </c>
      <c r="J216">
        <v>44.559462000000003</v>
      </c>
      <c r="K216">
        <v>71.5</v>
      </c>
      <c r="L216">
        <f t="shared" si="37"/>
        <v>5112.25</v>
      </c>
      <c r="M216">
        <f t="shared" si="38"/>
        <v>3186.0015330000001</v>
      </c>
      <c r="N216">
        <f t="shared" si="39"/>
        <v>36.170731264846886</v>
      </c>
      <c r="O216">
        <f t="shared" si="40"/>
        <v>8.3887307351531177</v>
      </c>
      <c r="P216">
        <f t="shared" si="41"/>
        <v>70.370803346902562</v>
      </c>
      <c r="Q216">
        <f t="shared" si="42"/>
        <v>3.0284226480697177E-2</v>
      </c>
      <c r="R216">
        <f t="shared" si="43"/>
        <v>3.0284226480697178</v>
      </c>
    </row>
    <row r="217" spans="1:18" x14ac:dyDescent="0.3">
      <c r="A217" s="2">
        <v>43665</v>
      </c>
      <c r="B217">
        <v>32.985190000000003</v>
      </c>
      <c r="F217" s="7" t="s">
        <v>27</v>
      </c>
      <c r="G217">
        <v>30.976677500000001</v>
      </c>
      <c r="I217" t="str">
        <f t="shared" si="45"/>
        <v>2018-Apr</v>
      </c>
      <c r="J217">
        <v>44.686475000000002</v>
      </c>
      <c r="K217">
        <v>72.5</v>
      </c>
      <c r="L217">
        <f t="shared" si="37"/>
        <v>5256.25</v>
      </c>
      <c r="M217">
        <f t="shared" si="38"/>
        <v>3239.7694375000001</v>
      </c>
      <c r="N217">
        <f t="shared" si="39"/>
        <v>36.28738531175452</v>
      </c>
      <c r="O217">
        <f t="shared" si="40"/>
        <v>8.399089688245482</v>
      </c>
      <c r="P217">
        <f t="shared" si="41"/>
        <v>70.544707591191582</v>
      </c>
      <c r="Q217">
        <f t="shared" si="42"/>
        <v>3.0321623423268888E-2</v>
      </c>
      <c r="R217">
        <f t="shared" si="43"/>
        <v>3.0321623423268886</v>
      </c>
    </row>
    <row r="218" spans="1:18" x14ac:dyDescent="0.3">
      <c r="A218" s="2">
        <v>43658</v>
      </c>
      <c r="B218">
        <v>33.054679999999998</v>
      </c>
      <c r="F218" s="7" t="s">
        <v>28</v>
      </c>
      <c r="G218">
        <v>32.120634000000003</v>
      </c>
      <c r="I218" t="str">
        <f t="shared" si="45"/>
        <v>2018-May</v>
      </c>
      <c r="J218">
        <v>40.974264999999995</v>
      </c>
      <c r="K218">
        <v>73.5</v>
      </c>
      <c r="L218">
        <f t="shared" si="37"/>
        <v>5402.25</v>
      </c>
      <c r="M218">
        <f t="shared" si="38"/>
        <v>3011.6084774999995</v>
      </c>
      <c r="N218">
        <f t="shared" si="39"/>
        <v>36.40403935866216</v>
      </c>
      <c r="O218">
        <f t="shared" si="40"/>
        <v>4.570225641337835</v>
      </c>
      <c r="P218">
        <f t="shared" si="41"/>
        <v>20.886962412741827</v>
      </c>
      <c r="Q218">
        <f t="shared" si="42"/>
        <v>1.6499009535515651E-2</v>
      </c>
      <c r="R218">
        <f t="shared" si="43"/>
        <v>1.6499009535515652</v>
      </c>
    </row>
    <row r="219" spans="1:18" x14ac:dyDescent="0.3">
      <c r="A219" s="2">
        <v>43651</v>
      </c>
      <c r="B219">
        <v>33.15775</v>
      </c>
      <c r="F219" s="4" t="s">
        <v>18</v>
      </c>
      <c r="G219">
        <v>39.130513269230761</v>
      </c>
      <c r="I219" t="str">
        <f t="shared" si="45"/>
        <v>2018-Jun</v>
      </c>
      <c r="J219">
        <v>35.48245</v>
      </c>
      <c r="K219">
        <v>74.5</v>
      </c>
      <c r="L219">
        <f t="shared" si="37"/>
        <v>5550.25</v>
      </c>
      <c r="M219">
        <f t="shared" si="38"/>
        <v>2643.4425249999999</v>
      </c>
      <c r="N219">
        <f t="shared" si="39"/>
        <v>36.520693405569801</v>
      </c>
      <c r="O219">
        <f t="shared" si="40"/>
        <v>-1.0382434055698013</v>
      </c>
      <c r="P219">
        <f t="shared" si="41"/>
        <v>1.0779493692091791</v>
      </c>
      <c r="Q219">
        <f t="shared" si="42"/>
        <v>3.7481711392411601E-3</v>
      </c>
      <c r="R219">
        <f t="shared" si="43"/>
        <v>0.37481711392411599</v>
      </c>
    </row>
    <row r="220" spans="1:18" x14ac:dyDescent="0.3">
      <c r="A220" s="2">
        <v>43644</v>
      </c>
      <c r="B220">
        <v>32.725279999999998</v>
      </c>
      <c r="F220" s="7" t="s">
        <v>30</v>
      </c>
      <c r="G220">
        <v>33.732754999999997</v>
      </c>
      <c r="I220" t="str">
        <f t="shared" si="45"/>
        <v>2018-Jul</v>
      </c>
      <c r="J220">
        <v>33.450702499999998</v>
      </c>
      <c r="K220">
        <v>75.5</v>
      </c>
      <c r="L220">
        <f t="shared" si="37"/>
        <v>5700.25</v>
      </c>
      <c r="M220">
        <f t="shared" si="38"/>
        <v>2525.5280387499997</v>
      </c>
      <c r="N220">
        <f t="shared" si="39"/>
        <v>36.637347452477442</v>
      </c>
      <c r="O220">
        <f t="shared" si="40"/>
        <v>-3.1866449524774438</v>
      </c>
      <c r="P220">
        <f t="shared" si="41"/>
        <v>10.154706053149971</v>
      </c>
      <c r="Q220">
        <f t="shared" si="42"/>
        <v>1.1504133402445646E-2</v>
      </c>
      <c r="R220">
        <f t="shared" si="43"/>
        <v>1.1504133402445647</v>
      </c>
    </row>
    <row r="221" spans="1:18" x14ac:dyDescent="0.3">
      <c r="A221" s="2">
        <v>43637</v>
      </c>
      <c r="B221">
        <v>32.146059999999999</v>
      </c>
      <c r="F221" s="7" t="s">
        <v>31</v>
      </c>
      <c r="G221">
        <v>33.789167500000005</v>
      </c>
      <c r="I221" t="str">
        <f t="shared" si="45"/>
        <v>2018-Aug</v>
      </c>
      <c r="J221">
        <v>35.442540000000001</v>
      </c>
      <c r="K221">
        <v>76.5</v>
      </c>
      <c r="L221">
        <f t="shared" si="37"/>
        <v>5852.25</v>
      </c>
      <c r="M221">
        <f t="shared" si="38"/>
        <v>2711.3543100000002</v>
      </c>
      <c r="N221">
        <f t="shared" si="39"/>
        <v>36.754001499385083</v>
      </c>
      <c r="O221">
        <f t="shared" si="40"/>
        <v>-1.3114614993850822</v>
      </c>
      <c r="P221">
        <f t="shared" si="41"/>
        <v>1.7199312643693678</v>
      </c>
      <c r="Q221">
        <f t="shared" si="42"/>
        <v>4.7345180483215959E-3</v>
      </c>
      <c r="R221">
        <f t="shared" si="43"/>
        <v>0.4734518048321596</v>
      </c>
    </row>
    <row r="222" spans="1:18" x14ac:dyDescent="0.3">
      <c r="A222" s="2">
        <v>43630</v>
      </c>
      <c r="B222">
        <v>30.723870000000002</v>
      </c>
      <c r="F222" s="7" t="s">
        <v>19</v>
      </c>
      <c r="G222">
        <v>33.967494000000002</v>
      </c>
      <c r="I222" t="str">
        <f t="shared" si="45"/>
        <v>2018-Sep</v>
      </c>
      <c r="J222">
        <v>36.039257500000005</v>
      </c>
      <c r="K222">
        <v>77.5</v>
      </c>
      <c r="L222">
        <f t="shared" si="37"/>
        <v>6006.25</v>
      </c>
      <c r="M222">
        <f t="shared" si="38"/>
        <v>2793.0424562500002</v>
      </c>
      <c r="N222">
        <f t="shared" si="39"/>
        <v>36.870655546292724</v>
      </c>
      <c r="O222">
        <f t="shared" si="40"/>
        <v>-0.83139804629271907</v>
      </c>
      <c r="P222">
        <f t="shared" si="41"/>
        <v>0.69122271137935021</v>
      </c>
      <c r="Q222">
        <f t="shared" si="42"/>
        <v>3.0014369902264227E-3</v>
      </c>
      <c r="R222">
        <f t="shared" si="43"/>
        <v>0.30014369902264226</v>
      </c>
    </row>
    <row r="223" spans="1:18" x14ac:dyDescent="0.3">
      <c r="A223" s="2">
        <v>43623</v>
      </c>
      <c r="B223">
        <v>30.969539999999999</v>
      </c>
      <c r="F223" s="7" t="s">
        <v>20</v>
      </c>
      <c r="G223">
        <v>33.7988225</v>
      </c>
      <c r="I223" t="str">
        <f t="shared" si="45"/>
        <v>2018-Oct</v>
      </c>
      <c r="J223">
        <v>33.083334999999998</v>
      </c>
      <c r="K223">
        <v>78.5</v>
      </c>
      <c r="L223">
        <f t="shared" si="37"/>
        <v>6162.25</v>
      </c>
      <c r="M223">
        <f t="shared" si="38"/>
        <v>2597.0417975</v>
      </c>
      <c r="N223">
        <f t="shared" si="39"/>
        <v>36.987309593200358</v>
      </c>
      <c r="O223">
        <f t="shared" si="40"/>
        <v>-3.9039745932003598</v>
      </c>
      <c r="P223">
        <f t="shared" si="41"/>
        <v>15.241017624353915</v>
      </c>
      <c r="Q223">
        <f t="shared" si="42"/>
        <v>1.4093771094586136E-2</v>
      </c>
      <c r="R223">
        <f t="shared" si="43"/>
        <v>1.4093771094586136</v>
      </c>
    </row>
    <row r="224" spans="1:18" x14ac:dyDescent="0.3">
      <c r="A224" s="2">
        <v>43616</v>
      </c>
      <c r="B224">
        <v>29.289090000000002</v>
      </c>
      <c r="F224" s="7" t="s">
        <v>21</v>
      </c>
      <c r="G224">
        <v>35.491245000000006</v>
      </c>
      <c r="I224" t="str">
        <f t="shared" si="45"/>
        <v>2018-Nov</v>
      </c>
      <c r="J224">
        <v>32.070098000000002</v>
      </c>
      <c r="K224">
        <v>79.5</v>
      </c>
      <c r="L224">
        <f t="shared" si="37"/>
        <v>6320.25</v>
      </c>
      <c r="M224">
        <f t="shared" si="38"/>
        <v>2549.5727910000001</v>
      </c>
      <c r="N224">
        <f t="shared" si="39"/>
        <v>37.103963640107999</v>
      </c>
      <c r="O224">
        <f t="shared" si="40"/>
        <v>-5.0338656401079973</v>
      </c>
      <c r="P224">
        <f t="shared" si="41"/>
        <v>25.339803282659897</v>
      </c>
      <c r="Q224">
        <f t="shared" si="42"/>
        <v>1.8172800144794214E-2</v>
      </c>
      <c r="R224">
        <f t="shared" si="43"/>
        <v>1.8172800144794214</v>
      </c>
    </row>
    <row r="225" spans="1:18" x14ac:dyDescent="0.3">
      <c r="A225" s="2">
        <v>43609</v>
      </c>
      <c r="B225">
        <v>30.14705</v>
      </c>
      <c r="F225" s="7" t="s">
        <v>22</v>
      </c>
      <c r="G225">
        <v>36.518187999999995</v>
      </c>
      <c r="I225" t="str">
        <f t="shared" si="45"/>
        <v>2018-Dec</v>
      </c>
      <c r="J225">
        <v>28.080724999999997</v>
      </c>
      <c r="K225">
        <v>80.5</v>
      </c>
      <c r="L225">
        <f t="shared" si="37"/>
        <v>6480.25</v>
      </c>
      <c r="M225">
        <f t="shared" si="38"/>
        <v>2260.4983625</v>
      </c>
      <c r="N225">
        <f t="shared" si="39"/>
        <v>37.22061768701564</v>
      </c>
      <c r="O225">
        <f t="shared" si="40"/>
        <v>-9.1398926870156423</v>
      </c>
      <c r="P225">
        <f t="shared" si="41"/>
        <v>83.537638330162011</v>
      </c>
      <c r="Q225">
        <f t="shared" si="42"/>
        <v>3.2996002480200876E-2</v>
      </c>
      <c r="R225">
        <f t="shared" si="43"/>
        <v>3.2996002480200874</v>
      </c>
    </row>
    <row r="226" spans="1:18" x14ac:dyDescent="0.3">
      <c r="A226" s="2">
        <v>43602</v>
      </c>
      <c r="B226">
        <v>31.16431</v>
      </c>
      <c r="F226" s="7" t="s">
        <v>23</v>
      </c>
      <c r="G226">
        <v>38.392587499999998</v>
      </c>
      <c r="I226" t="str">
        <f>_xlfn.CONCAT($F$245,"-",F246)</f>
        <v>2019-Jan</v>
      </c>
      <c r="J226">
        <v>29.0139125</v>
      </c>
      <c r="K226">
        <v>81.5</v>
      </c>
      <c r="L226">
        <f t="shared" si="37"/>
        <v>6642.25</v>
      </c>
      <c r="M226">
        <f t="shared" si="38"/>
        <v>2364.6338687500001</v>
      </c>
      <c r="N226">
        <f t="shared" si="39"/>
        <v>37.337271733923274</v>
      </c>
      <c r="O226">
        <f t="shared" si="40"/>
        <v>-8.3233592339232736</v>
      </c>
      <c r="P226">
        <f t="shared" si="41"/>
        <v>69.278308936935829</v>
      </c>
      <c r="Q226">
        <f t="shared" si="42"/>
        <v>3.0048228281311457E-2</v>
      </c>
      <c r="R226">
        <f t="shared" si="43"/>
        <v>3.0048228281311458</v>
      </c>
    </row>
    <row r="227" spans="1:18" x14ac:dyDescent="0.3">
      <c r="A227" s="2">
        <v>43595</v>
      </c>
      <c r="B227">
        <v>32.660339999999998</v>
      </c>
      <c r="F227" s="7" t="s">
        <v>24</v>
      </c>
      <c r="G227">
        <v>40.672382499999998</v>
      </c>
      <c r="I227" t="str">
        <f t="shared" ref="I227:I237" si="46">_xlfn.CONCAT($F$245,"-",F247)</f>
        <v>2019-Feb</v>
      </c>
      <c r="J227">
        <v>29.701629999999998</v>
      </c>
      <c r="K227">
        <v>82.5</v>
      </c>
      <c r="L227">
        <f t="shared" si="37"/>
        <v>6806.25</v>
      </c>
      <c r="M227">
        <f t="shared" si="38"/>
        <v>2450.3844749999998</v>
      </c>
      <c r="N227">
        <f t="shared" si="39"/>
        <v>37.453925780830915</v>
      </c>
      <c r="O227">
        <f t="shared" si="40"/>
        <v>-7.7522957808309165</v>
      </c>
      <c r="P227">
        <f t="shared" si="41"/>
        <v>60.098089873488831</v>
      </c>
      <c r="Q227">
        <f t="shared" si="42"/>
        <v>2.7986627367620639E-2</v>
      </c>
      <c r="R227">
        <f t="shared" si="43"/>
        <v>2.798662736762064</v>
      </c>
    </row>
    <row r="228" spans="1:18" x14ac:dyDescent="0.3">
      <c r="A228" s="2">
        <v>43588</v>
      </c>
      <c r="B228">
        <v>34.662820000000004</v>
      </c>
      <c r="F228" s="7" t="s">
        <v>25</v>
      </c>
      <c r="G228">
        <v>43.233877999999997</v>
      </c>
      <c r="I228" t="str">
        <f t="shared" si="46"/>
        <v>2019-Mar</v>
      </c>
      <c r="J228">
        <v>32.020246</v>
      </c>
      <c r="K228">
        <v>83.5</v>
      </c>
      <c r="L228">
        <f t="shared" si="37"/>
        <v>6972.25</v>
      </c>
      <c r="M228">
        <f t="shared" si="38"/>
        <v>2673.6905409999999</v>
      </c>
      <c r="N228">
        <f t="shared" si="39"/>
        <v>37.570579827738555</v>
      </c>
      <c r="O228">
        <f t="shared" si="40"/>
        <v>-5.5503338277385552</v>
      </c>
      <c r="P228">
        <f t="shared" si="41"/>
        <v>30.806205599338924</v>
      </c>
      <c r="Q228">
        <f t="shared" si="42"/>
        <v>2.0037306237323305E-2</v>
      </c>
      <c r="R228">
        <f t="shared" si="43"/>
        <v>2.0037306237323307</v>
      </c>
    </row>
    <row r="229" spans="1:18" x14ac:dyDescent="0.3">
      <c r="A229" s="2">
        <v>43581</v>
      </c>
      <c r="B229">
        <v>34.560650000000003</v>
      </c>
      <c r="F229" s="7" t="s">
        <v>26</v>
      </c>
      <c r="G229">
        <v>44.834607499999997</v>
      </c>
      <c r="I229" t="str">
        <f t="shared" si="46"/>
        <v>2019-Apr</v>
      </c>
      <c r="J229">
        <v>34.333149999999996</v>
      </c>
      <c r="K229">
        <v>84.5</v>
      </c>
      <c r="L229">
        <f t="shared" si="37"/>
        <v>7140.25</v>
      </c>
      <c r="M229">
        <f t="shared" si="38"/>
        <v>2901.1511749999995</v>
      </c>
      <c r="N229">
        <f t="shared" si="39"/>
        <v>37.687233874646196</v>
      </c>
      <c r="O229">
        <f t="shared" si="40"/>
        <v>-3.3540838746462001</v>
      </c>
      <c r="P229">
        <f t="shared" si="41"/>
        <v>11.249878638161666</v>
      </c>
      <c r="Q229">
        <f t="shared" si="42"/>
        <v>1.2108606045654152E-2</v>
      </c>
      <c r="R229">
        <f t="shared" si="43"/>
        <v>1.2108606045654151</v>
      </c>
    </row>
    <row r="230" spans="1:18" x14ac:dyDescent="0.3">
      <c r="A230" s="2">
        <v>43574</v>
      </c>
      <c r="B230">
        <v>35.110599999999998</v>
      </c>
      <c r="F230" s="7" t="s">
        <v>27</v>
      </c>
      <c r="G230">
        <v>46.440534999999997</v>
      </c>
      <c r="I230" t="str">
        <f t="shared" si="46"/>
        <v>2019-May</v>
      </c>
      <c r="J230">
        <v>31.584721999999999</v>
      </c>
      <c r="K230">
        <v>85.5</v>
      </c>
      <c r="L230">
        <f t="shared" si="37"/>
        <v>7310.25</v>
      </c>
      <c r="M230">
        <f t="shared" si="38"/>
        <v>2700.493731</v>
      </c>
      <c r="N230">
        <f t="shared" si="39"/>
        <v>37.803887921553837</v>
      </c>
      <c r="O230">
        <f t="shared" si="40"/>
        <v>-6.219165921553838</v>
      </c>
      <c r="P230">
        <f t="shared" si="41"/>
        <v>38.678024759816601</v>
      </c>
      <c r="Q230">
        <f t="shared" si="42"/>
        <v>2.2451862532685336E-2</v>
      </c>
      <c r="R230">
        <f t="shared" si="43"/>
        <v>2.2451862532685336</v>
      </c>
    </row>
    <row r="231" spans="1:18" x14ac:dyDescent="0.3">
      <c r="A231" s="2">
        <v>43567</v>
      </c>
      <c r="B231">
        <v>34.11168</v>
      </c>
      <c r="F231" s="7" t="s">
        <v>28</v>
      </c>
      <c r="G231">
        <v>47.516095999999997</v>
      </c>
      <c r="I231" t="str">
        <f t="shared" si="46"/>
        <v>2019-Jun</v>
      </c>
      <c r="J231">
        <v>31.641187500000001</v>
      </c>
      <c r="K231">
        <v>86.5</v>
      </c>
      <c r="L231">
        <f t="shared" si="37"/>
        <v>7482.25</v>
      </c>
      <c r="M231">
        <f t="shared" si="38"/>
        <v>2736.96271875</v>
      </c>
      <c r="N231">
        <f t="shared" si="39"/>
        <v>37.920541968461478</v>
      </c>
      <c r="O231">
        <f t="shared" si="40"/>
        <v>-6.2793544684614773</v>
      </c>
      <c r="P231">
        <f t="shared" si="41"/>
        <v>39.430292540587125</v>
      </c>
      <c r="Q231">
        <f t="shared" si="42"/>
        <v>2.26691497056371E-2</v>
      </c>
      <c r="R231">
        <f t="shared" si="43"/>
        <v>2.2669149705637102</v>
      </c>
    </row>
    <row r="232" spans="1:18" x14ac:dyDescent="0.3">
      <c r="A232" s="2">
        <v>43560</v>
      </c>
      <c r="B232">
        <v>33.549669999999999</v>
      </c>
      <c r="F232" s="4" t="s">
        <v>29</v>
      </c>
      <c r="G232">
        <v>38.125739038461532</v>
      </c>
      <c r="I232" t="str">
        <f t="shared" si="46"/>
        <v>2019-Jul</v>
      </c>
      <c r="J232">
        <v>33.224319999999999</v>
      </c>
      <c r="K232">
        <v>87.5</v>
      </c>
      <c r="L232">
        <f t="shared" si="37"/>
        <v>7656.25</v>
      </c>
      <c r="M232">
        <f t="shared" si="38"/>
        <v>2907.1279999999997</v>
      </c>
      <c r="N232">
        <f t="shared" si="39"/>
        <v>38.037196015369112</v>
      </c>
      <c r="O232">
        <f t="shared" si="40"/>
        <v>-4.8128760153691132</v>
      </c>
      <c r="P232">
        <f t="shared" si="41"/>
        <v>23.163775539315274</v>
      </c>
      <c r="Q232">
        <f t="shared" si="42"/>
        <v>1.7375003665592467E-2</v>
      </c>
      <c r="R232">
        <f t="shared" si="43"/>
        <v>1.7375003665592466</v>
      </c>
    </row>
    <row r="233" spans="1:18" x14ac:dyDescent="0.3">
      <c r="A233" s="2">
        <v>43553</v>
      </c>
      <c r="B233">
        <v>32.552120000000002</v>
      </c>
      <c r="F233" s="7" t="s">
        <v>30</v>
      </c>
      <c r="G233">
        <v>49.147540000000006</v>
      </c>
      <c r="I233" t="str">
        <f t="shared" si="46"/>
        <v>2019-Aug</v>
      </c>
      <c r="J233">
        <v>32.068100000000001</v>
      </c>
      <c r="K233">
        <v>88.5</v>
      </c>
      <c r="L233">
        <f t="shared" si="37"/>
        <v>7832.25</v>
      </c>
      <c r="M233">
        <f t="shared" si="38"/>
        <v>2838.0268500000002</v>
      </c>
      <c r="N233">
        <f t="shared" si="39"/>
        <v>38.153850062276753</v>
      </c>
      <c r="O233">
        <f t="shared" si="40"/>
        <v>-6.0857500622767517</v>
      </c>
      <c r="P233">
        <f t="shared" si="41"/>
        <v>37.036353820501489</v>
      </c>
      <c r="Q233">
        <f t="shared" si="42"/>
        <v>2.1970216831324014E-2</v>
      </c>
      <c r="R233">
        <f t="shared" si="43"/>
        <v>2.1970216831324012</v>
      </c>
    </row>
    <row r="234" spans="1:18" x14ac:dyDescent="0.3">
      <c r="A234" s="2">
        <v>43546</v>
      </c>
      <c r="B234">
        <v>32.083480000000002</v>
      </c>
      <c r="F234" s="7" t="s">
        <v>31</v>
      </c>
      <c r="G234">
        <v>45.729120000000002</v>
      </c>
      <c r="I234" t="str">
        <f t="shared" si="46"/>
        <v>2019-Sep</v>
      </c>
      <c r="J234">
        <v>33.486075</v>
      </c>
      <c r="K234">
        <v>89.5</v>
      </c>
      <c r="L234">
        <f t="shared" si="37"/>
        <v>8010.25</v>
      </c>
      <c r="M234">
        <f t="shared" si="38"/>
        <v>2997.0037124999999</v>
      </c>
      <c r="N234">
        <f t="shared" si="39"/>
        <v>38.270504109184394</v>
      </c>
      <c r="O234">
        <f t="shared" si="40"/>
        <v>-4.7844291091843942</v>
      </c>
      <c r="P234">
        <f t="shared" si="41"/>
        <v>22.890761900810976</v>
      </c>
      <c r="Q234">
        <f t="shared" si="42"/>
        <v>1.7272307253373264E-2</v>
      </c>
      <c r="R234">
        <f t="shared" si="43"/>
        <v>1.7272307253373265</v>
      </c>
    </row>
    <row r="235" spans="1:18" x14ac:dyDescent="0.3">
      <c r="A235" s="2">
        <v>43539</v>
      </c>
      <c r="B235">
        <v>33.224200000000003</v>
      </c>
      <c r="F235" s="7" t="s">
        <v>19</v>
      </c>
      <c r="G235">
        <v>44.559462000000003</v>
      </c>
      <c r="I235" t="str">
        <f t="shared" si="46"/>
        <v>2019-Oct</v>
      </c>
      <c r="J235">
        <v>33.542229999999996</v>
      </c>
      <c r="K235">
        <v>90.5</v>
      </c>
      <c r="L235">
        <f t="shared" si="37"/>
        <v>8190.25</v>
      </c>
      <c r="M235">
        <f t="shared" si="38"/>
        <v>3035.5718149999998</v>
      </c>
      <c r="N235">
        <f t="shared" si="39"/>
        <v>38.387158156092028</v>
      </c>
      <c r="O235">
        <f t="shared" si="40"/>
        <v>-4.8449281560920312</v>
      </c>
      <c r="P235">
        <f t="shared" si="41"/>
        <v>23.47332883769333</v>
      </c>
      <c r="Q235">
        <f t="shared" si="42"/>
        <v>1.7490715364953183E-2</v>
      </c>
      <c r="R235">
        <f t="shared" si="43"/>
        <v>1.7490715364953182</v>
      </c>
    </row>
    <row r="236" spans="1:18" x14ac:dyDescent="0.3">
      <c r="A236" s="2">
        <v>43532</v>
      </c>
      <c r="B236">
        <v>31.078600000000002</v>
      </c>
      <c r="F236" s="7" t="s">
        <v>20</v>
      </c>
      <c r="G236">
        <v>44.686475000000002</v>
      </c>
      <c r="I236" t="str">
        <f t="shared" si="46"/>
        <v>2019-Nov</v>
      </c>
      <c r="J236">
        <v>36.895896</v>
      </c>
      <c r="K236">
        <v>91.5</v>
      </c>
      <c r="L236">
        <f t="shared" si="37"/>
        <v>8372.25</v>
      </c>
      <c r="M236">
        <f t="shared" si="38"/>
        <v>3375.9744839999998</v>
      </c>
      <c r="N236">
        <f t="shared" si="39"/>
        <v>38.503812202999669</v>
      </c>
      <c r="O236">
        <f t="shared" si="40"/>
        <v>-1.6079162029996681</v>
      </c>
      <c r="P236">
        <f t="shared" si="41"/>
        <v>2.5853945158688698</v>
      </c>
      <c r="Q236">
        <f t="shared" si="42"/>
        <v>5.8047516353778635E-3</v>
      </c>
      <c r="R236">
        <f t="shared" si="43"/>
        <v>0.58047516353778639</v>
      </c>
    </row>
    <row r="237" spans="1:18" x14ac:dyDescent="0.3">
      <c r="A237" s="2">
        <v>43525</v>
      </c>
      <c r="B237">
        <v>31.16283</v>
      </c>
      <c r="F237" s="7" t="s">
        <v>21</v>
      </c>
      <c r="G237">
        <v>40.974264999999995</v>
      </c>
      <c r="I237" t="str">
        <f t="shared" si="46"/>
        <v>2019-Dec</v>
      </c>
      <c r="J237">
        <v>38.155052499999996</v>
      </c>
      <c r="K237">
        <v>92.5</v>
      </c>
      <c r="L237">
        <f t="shared" si="37"/>
        <v>8556.25</v>
      </c>
      <c r="M237">
        <f t="shared" si="38"/>
        <v>3529.3423562499997</v>
      </c>
      <c r="N237">
        <f t="shared" si="39"/>
        <v>38.620466249907309</v>
      </c>
      <c r="O237">
        <f t="shared" si="40"/>
        <v>-0.46541374990731299</v>
      </c>
      <c r="P237">
        <f t="shared" si="41"/>
        <v>0.2166099586027869</v>
      </c>
      <c r="Q237">
        <f t="shared" si="42"/>
        <v>1.6801940429866896E-3</v>
      </c>
      <c r="R237">
        <f t="shared" si="43"/>
        <v>0.16801940429866896</v>
      </c>
    </row>
    <row r="238" spans="1:18" x14ac:dyDescent="0.3">
      <c r="A238" s="2">
        <v>43518</v>
      </c>
      <c r="B238">
        <v>30.429970000000001</v>
      </c>
      <c r="F238" s="7" t="s">
        <v>22</v>
      </c>
      <c r="G238">
        <v>35.48245</v>
      </c>
      <c r="I238" t="str">
        <f>_xlfn.CONCAT($F$258,"-",F259)</f>
        <v>2020-Jan</v>
      </c>
      <c r="J238">
        <v>36.929094000000006</v>
      </c>
      <c r="K238">
        <v>93.5</v>
      </c>
      <c r="L238">
        <f t="shared" si="37"/>
        <v>8742.25</v>
      </c>
      <c r="M238">
        <f t="shared" si="38"/>
        <v>3452.8702890000004</v>
      </c>
      <c r="N238">
        <f t="shared" si="39"/>
        <v>38.73712029681495</v>
      </c>
      <c r="O238">
        <f t="shared" si="40"/>
        <v>-1.8080262968149441</v>
      </c>
      <c r="P238">
        <f t="shared" si="41"/>
        <v>3.2689590899743601</v>
      </c>
      <c r="Q238">
        <f t="shared" si="42"/>
        <v>6.5271707466243471E-3</v>
      </c>
      <c r="R238">
        <f t="shared" si="43"/>
        <v>0.65271707466243467</v>
      </c>
    </row>
    <row r="239" spans="1:18" x14ac:dyDescent="0.3">
      <c r="A239" s="2">
        <v>43511</v>
      </c>
      <c r="B239">
        <v>30.08764</v>
      </c>
      <c r="F239" s="7" t="s">
        <v>23</v>
      </c>
      <c r="G239">
        <v>33.450702499999998</v>
      </c>
      <c r="I239" t="str">
        <f t="shared" ref="I239:I249" si="47">_xlfn.CONCAT($F$258,"-",F260)</f>
        <v>2020-Feb</v>
      </c>
      <c r="J239">
        <v>33.959670000000003</v>
      </c>
      <c r="K239">
        <v>94.5</v>
      </c>
      <c r="L239">
        <f t="shared" si="37"/>
        <v>8930.25</v>
      </c>
      <c r="M239">
        <f t="shared" si="38"/>
        <v>3209.1888150000004</v>
      </c>
      <c r="N239">
        <f t="shared" si="39"/>
        <v>38.853774343722591</v>
      </c>
      <c r="O239">
        <f t="shared" si="40"/>
        <v>-4.8941043437225886</v>
      </c>
      <c r="P239">
        <f t="shared" si="41"/>
        <v>23.952257327244311</v>
      </c>
      <c r="Q239">
        <f t="shared" si="42"/>
        <v>1.7668246728240394E-2</v>
      </c>
      <c r="R239">
        <f t="shared" si="43"/>
        <v>1.7668246728240393</v>
      </c>
    </row>
    <row r="240" spans="1:18" x14ac:dyDescent="0.3">
      <c r="A240" s="2">
        <v>43504</v>
      </c>
      <c r="B240">
        <v>28.698889999999999</v>
      </c>
      <c r="F240" s="7" t="s">
        <v>24</v>
      </c>
      <c r="G240">
        <v>35.442540000000001</v>
      </c>
      <c r="I240" t="str">
        <f t="shared" si="47"/>
        <v>2020-Mar</v>
      </c>
      <c r="J240">
        <v>25.042072500000003</v>
      </c>
      <c r="K240">
        <v>95.5</v>
      </c>
      <c r="L240">
        <f t="shared" si="37"/>
        <v>9120.25</v>
      </c>
      <c r="M240">
        <f t="shared" si="38"/>
        <v>2391.5179237500001</v>
      </c>
      <c r="N240">
        <f t="shared" si="39"/>
        <v>38.970428390630225</v>
      </c>
      <c r="O240">
        <f t="shared" si="40"/>
        <v>-13.928355890630222</v>
      </c>
      <c r="P240">
        <f t="shared" si="41"/>
        <v>193.99909781605359</v>
      </c>
      <c r="Q240">
        <f t="shared" si="42"/>
        <v>5.0282873251372644E-2</v>
      </c>
      <c r="R240">
        <f t="shared" si="43"/>
        <v>5.0282873251372644</v>
      </c>
    </row>
    <row r="241" spans="1:18" x14ac:dyDescent="0.3">
      <c r="A241" s="2">
        <v>43497</v>
      </c>
      <c r="B241">
        <v>29.590019999999999</v>
      </c>
      <c r="F241" s="7" t="s">
        <v>25</v>
      </c>
      <c r="G241">
        <v>36.039257500000005</v>
      </c>
      <c r="I241" t="str">
        <f t="shared" si="47"/>
        <v>2020-Apr</v>
      </c>
      <c r="J241">
        <v>27.842345000000002</v>
      </c>
      <c r="K241">
        <v>96.5</v>
      </c>
      <c r="L241">
        <f t="shared" si="37"/>
        <v>9312.25</v>
      </c>
      <c r="M241">
        <f t="shared" si="38"/>
        <v>2686.7862924999999</v>
      </c>
      <c r="N241">
        <f t="shared" si="39"/>
        <v>39.087082437537866</v>
      </c>
      <c r="O241">
        <f t="shared" si="40"/>
        <v>-11.244737437537864</v>
      </c>
      <c r="P241">
        <f t="shared" si="41"/>
        <v>126.44412003916561</v>
      </c>
      <c r="Q241">
        <f t="shared" si="42"/>
        <v>4.0594719991111423E-2</v>
      </c>
      <c r="R241">
        <f t="shared" si="43"/>
        <v>4.0594719991111425</v>
      </c>
    </row>
    <row r="242" spans="1:18" x14ac:dyDescent="0.3">
      <c r="A242" s="2">
        <v>43490</v>
      </c>
      <c r="B242">
        <v>29.917940000000002</v>
      </c>
      <c r="F242" s="7" t="s">
        <v>26</v>
      </c>
      <c r="G242">
        <v>33.083334999999998</v>
      </c>
      <c r="I242" t="str">
        <f t="shared" si="47"/>
        <v>2020-May</v>
      </c>
      <c r="J242">
        <v>29.921193999999996</v>
      </c>
      <c r="K242">
        <v>97.5</v>
      </c>
      <c r="L242">
        <f t="shared" si="37"/>
        <v>9506.25</v>
      </c>
      <c r="M242">
        <f t="shared" si="38"/>
        <v>2917.3164149999998</v>
      </c>
      <c r="N242">
        <f t="shared" si="39"/>
        <v>39.203736484445507</v>
      </c>
      <c r="O242">
        <f t="shared" si="40"/>
        <v>-9.2825424844455107</v>
      </c>
      <c r="P242">
        <f t="shared" si="41"/>
        <v>86.165594975535839</v>
      </c>
      <c r="Q242">
        <f t="shared" si="42"/>
        <v>3.3510983698359247E-2</v>
      </c>
      <c r="R242">
        <f t="shared" si="43"/>
        <v>3.3510983698359245</v>
      </c>
    </row>
    <row r="243" spans="1:18" x14ac:dyDescent="0.3">
      <c r="A243" s="2">
        <v>43483</v>
      </c>
      <c r="B243">
        <v>29.45129</v>
      </c>
      <c r="F243" s="7" t="s">
        <v>27</v>
      </c>
      <c r="G243">
        <v>32.070098000000002</v>
      </c>
      <c r="I243" t="str">
        <f t="shared" si="47"/>
        <v>2020-Jun</v>
      </c>
      <c r="J243">
        <v>34.890132499999993</v>
      </c>
      <c r="K243">
        <v>98.5</v>
      </c>
      <c r="L243">
        <f t="shared" si="37"/>
        <v>9702.25</v>
      </c>
      <c r="M243">
        <f t="shared" si="38"/>
        <v>3436.6780512499995</v>
      </c>
      <c r="N243">
        <f t="shared" si="39"/>
        <v>39.320390531353148</v>
      </c>
      <c r="O243">
        <f t="shared" si="40"/>
        <v>-4.430258031353155</v>
      </c>
      <c r="P243">
        <f t="shared" si="41"/>
        <v>19.627186224369133</v>
      </c>
      <c r="Q243">
        <f t="shared" si="42"/>
        <v>1.5993711304524025E-2</v>
      </c>
      <c r="R243">
        <f t="shared" si="43"/>
        <v>1.5993711304524025</v>
      </c>
    </row>
    <row r="244" spans="1:18" x14ac:dyDescent="0.3">
      <c r="A244" s="2">
        <v>43476</v>
      </c>
      <c r="B244">
        <v>28.7075</v>
      </c>
      <c r="F244" s="7" t="s">
        <v>28</v>
      </c>
      <c r="G244">
        <v>28.080724999999997</v>
      </c>
      <c r="I244" t="str">
        <f t="shared" si="47"/>
        <v>2020-Jul</v>
      </c>
      <c r="J244">
        <v>39.326284000000001</v>
      </c>
      <c r="K244">
        <v>99.5</v>
      </c>
      <c r="L244">
        <f t="shared" si="37"/>
        <v>9900.25</v>
      </c>
      <c r="M244">
        <f t="shared" si="38"/>
        <v>3912.9652580000002</v>
      </c>
      <c r="N244">
        <f t="shared" si="39"/>
        <v>39.437044578260782</v>
      </c>
      <c r="O244">
        <f t="shared" si="40"/>
        <v>-0.11076057826078056</v>
      </c>
      <c r="P244">
        <f t="shared" si="41"/>
        <v>1.2267905696662496E-2</v>
      </c>
      <c r="Q244">
        <f t="shared" si="42"/>
        <v>3.9985768325191538E-4</v>
      </c>
      <c r="R244">
        <f t="shared" si="43"/>
        <v>3.9985768325191538E-2</v>
      </c>
    </row>
    <row r="245" spans="1:18" x14ac:dyDescent="0.3">
      <c r="A245" s="2">
        <v>43469</v>
      </c>
      <c r="B245">
        <v>27.978919999999999</v>
      </c>
      <c r="F245" s="4" t="s">
        <v>32</v>
      </c>
      <c r="G245">
        <v>32.985289423076928</v>
      </c>
      <c r="I245" t="str">
        <f t="shared" si="47"/>
        <v>2020-Aug</v>
      </c>
      <c r="J245">
        <v>44.406212500000002</v>
      </c>
      <c r="K245">
        <v>100.5</v>
      </c>
      <c r="L245">
        <f t="shared" si="37"/>
        <v>10100.25</v>
      </c>
      <c r="M245">
        <f t="shared" si="38"/>
        <v>4462.8243562500002</v>
      </c>
      <c r="N245">
        <f t="shared" si="39"/>
        <v>39.553698625168423</v>
      </c>
      <c r="O245">
        <f t="shared" si="40"/>
        <v>4.8525138748315797</v>
      </c>
      <c r="P245">
        <f t="shared" si="41"/>
        <v>23.546890905432992</v>
      </c>
      <c r="Q245">
        <f t="shared" si="42"/>
        <v>1.7518100631160938E-2</v>
      </c>
      <c r="R245">
        <f t="shared" si="43"/>
        <v>1.7518100631160938</v>
      </c>
    </row>
    <row r="246" spans="1:18" x14ac:dyDescent="0.3">
      <c r="A246" s="2">
        <v>43462</v>
      </c>
      <c r="B246">
        <v>27.355429999999998</v>
      </c>
      <c r="F246" s="7" t="s">
        <v>30</v>
      </c>
      <c r="G246">
        <v>29.0139125</v>
      </c>
      <c r="I246" t="str">
        <f t="shared" si="47"/>
        <v>2020-Sep</v>
      </c>
      <c r="J246">
        <v>45.332147499999998</v>
      </c>
      <c r="K246">
        <v>101.5</v>
      </c>
      <c r="L246">
        <f t="shared" si="37"/>
        <v>10302.25</v>
      </c>
      <c r="M246">
        <f t="shared" si="38"/>
        <v>4601.21297125</v>
      </c>
      <c r="N246">
        <f t="shared" si="39"/>
        <v>39.670352672076064</v>
      </c>
      <c r="O246">
        <f t="shared" si="40"/>
        <v>5.6617948279239343</v>
      </c>
      <c r="P246">
        <f t="shared" si="41"/>
        <v>32.055920673506215</v>
      </c>
      <c r="Q246">
        <f t="shared" si="42"/>
        <v>2.0439692519580992E-2</v>
      </c>
      <c r="R246">
        <f t="shared" si="43"/>
        <v>2.043969251958099</v>
      </c>
    </row>
    <row r="247" spans="1:18" x14ac:dyDescent="0.3">
      <c r="A247" s="2">
        <v>43455</v>
      </c>
      <c r="B247">
        <v>27.178380000000001</v>
      </c>
      <c r="F247" s="7" t="s">
        <v>31</v>
      </c>
      <c r="G247">
        <v>29.701629999999998</v>
      </c>
      <c r="I247" t="str">
        <f t="shared" si="47"/>
        <v>2020-Oct</v>
      </c>
      <c r="J247">
        <v>47.059633999999996</v>
      </c>
      <c r="K247">
        <v>102.5</v>
      </c>
      <c r="L247">
        <f t="shared" si="37"/>
        <v>10506.25</v>
      </c>
      <c r="M247">
        <f t="shared" si="38"/>
        <v>4823.6124849999997</v>
      </c>
      <c r="N247">
        <f t="shared" si="39"/>
        <v>39.787006718983704</v>
      </c>
      <c r="O247">
        <f t="shared" si="40"/>
        <v>7.2726272810162911</v>
      </c>
      <c r="P247">
        <f t="shared" si="41"/>
        <v>52.891107568582413</v>
      </c>
      <c r="Q247">
        <f t="shared" si="42"/>
        <v>2.6254972133632822E-2</v>
      </c>
      <c r="R247">
        <f t="shared" si="43"/>
        <v>2.6254972133632823</v>
      </c>
    </row>
    <row r="248" spans="1:18" x14ac:dyDescent="0.3">
      <c r="A248" s="2">
        <v>43448</v>
      </c>
      <c r="B248">
        <v>28.162089999999999</v>
      </c>
      <c r="F248" s="7" t="s">
        <v>19</v>
      </c>
      <c r="G248">
        <v>32.020246</v>
      </c>
      <c r="I248" t="str">
        <f t="shared" si="47"/>
        <v>2020-Nov</v>
      </c>
      <c r="J248">
        <v>47.776265000000002</v>
      </c>
      <c r="K248">
        <v>103.5</v>
      </c>
      <c r="L248">
        <f t="shared" si="37"/>
        <v>10712.25</v>
      </c>
      <c r="M248">
        <f t="shared" si="38"/>
        <v>4944.8434275</v>
      </c>
      <c r="N248">
        <f t="shared" si="39"/>
        <v>39.903660765891345</v>
      </c>
      <c r="O248">
        <f t="shared" si="40"/>
        <v>7.8726042341086568</v>
      </c>
      <c r="P248">
        <f t="shared" si="41"/>
        <v>61.97789742690555</v>
      </c>
      <c r="Q248">
        <f t="shared" si="42"/>
        <v>2.8420953913749665E-2</v>
      </c>
      <c r="R248">
        <f t="shared" si="43"/>
        <v>2.8420953913749667</v>
      </c>
    </row>
    <row r="249" spans="1:18" x14ac:dyDescent="0.3">
      <c r="A249" s="2">
        <v>43441</v>
      </c>
      <c r="B249">
        <v>29.626999999999999</v>
      </c>
      <c r="F249" s="7" t="s">
        <v>20</v>
      </c>
      <c r="G249">
        <v>34.333149999999996</v>
      </c>
      <c r="I249" t="str">
        <f t="shared" si="47"/>
        <v>2020-Dec</v>
      </c>
      <c r="J249">
        <v>48.716174999999993</v>
      </c>
      <c r="K249">
        <v>104.5</v>
      </c>
      <c r="L249">
        <f t="shared" si="37"/>
        <v>10920.25</v>
      </c>
      <c r="M249">
        <f t="shared" si="38"/>
        <v>5090.8402874999992</v>
      </c>
      <c r="N249">
        <f t="shared" si="39"/>
        <v>40.020314812798979</v>
      </c>
      <c r="O249">
        <f t="shared" si="40"/>
        <v>8.6958601872010135</v>
      </c>
      <c r="P249">
        <f t="shared" si="41"/>
        <v>75.617984395347648</v>
      </c>
      <c r="Q249">
        <f t="shared" si="42"/>
        <v>3.1392997065707633E-2</v>
      </c>
      <c r="R249">
        <f t="shared" si="43"/>
        <v>3.1392997065707631</v>
      </c>
    </row>
    <row r="250" spans="1:18" x14ac:dyDescent="0.3">
      <c r="A250" s="2">
        <v>43434</v>
      </c>
      <c r="B250">
        <v>31.95356</v>
      </c>
      <c r="F250" s="7" t="s">
        <v>21</v>
      </c>
      <c r="G250">
        <v>31.584721999999999</v>
      </c>
      <c r="I250" t="str">
        <f>_xlfn.CONCAT($F$271,"-",F272)</f>
        <v>2021-Jan</v>
      </c>
      <c r="J250">
        <v>50.710585999999999</v>
      </c>
      <c r="K250">
        <v>105.5</v>
      </c>
      <c r="L250">
        <f t="shared" si="37"/>
        <v>11130.25</v>
      </c>
      <c r="M250">
        <f t="shared" si="38"/>
        <v>5349.9668229999997</v>
      </c>
      <c r="N250">
        <f t="shared" si="39"/>
        <v>40.13696885970662</v>
      </c>
      <c r="O250">
        <f t="shared" si="40"/>
        <v>10.573617140293379</v>
      </c>
      <c r="P250">
        <f t="shared" si="41"/>
        <v>111.80137942950594</v>
      </c>
      <c r="Q250">
        <f t="shared" si="42"/>
        <v>3.8171903033550107E-2</v>
      </c>
      <c r="R250">
        <f t="shared" si="43"/>
        <v>3.8171903033550105</v>
      </c>
    </row>
    <row r="251" spans="1:18" x14ac:dyDescent="0.3">
      <c r="A251" s="2">
        <v>43427</v>
      </c>
      <c r="B251">
        <v>31.4773</v>
      </c>
      <c r="F251" s="7" t="s">
        <v>22</v>
      </c>
      <c r="G251">
        <v>31.641187500000001</v>
      </c>
      <c r="I251" t="str">
        <f t="shared" ref="I251:I261" si="48">_xlfn.CONCAT($F$271,"-",F273)</f>
        <v>2021-Feb</v>
      </c>
      <c r="J251">
        <v>50.923385000000003</v>
      </c>
      <c r="K251">
        <v>106.5</v>
      </c>
      <c r="L251">
        <f t="shared" si="37"/>
        <v>11342.25</v>
      </c>
      <c r="M251">
        <f t="shared" si="38"/>
        <v>5423.3405025000002</v>
      </c>
      <c r="N251">
        <f t="shared" si="39"/>
        <v>40.253622906614261</v>
      </c>
      <c r="O251">
        <f t="shared" si="40"/>
        <v>10.669762093385742</v>
      </c>
      <c r="P251">
        <f t="shared" si="41"/>
        <v>113.84382312945129</v>
      </c>
      <c r="Q251">
        <f t="shared" si="42"/>
        <v>3.8518996727024343E-2</v>
      </c>
      <c r="R251">
        <f t="shared" si="43"/>
        <v>3.8518996727024342</v>
      </c>
    </row>
    <row r="252" spans="1:18" x14ac:dyDescent="0.3">
      <c r="A252" s="2">
        <v>43420</v>
      </c>
      <c r="B252">
        <v>32.478549999999998</v>
      </c>
      <c r="F252" s="7" t="s">
        <v>23</v>
      </c>
      <c r="G252">
        <v>33.224319999999999</v>
      </c>
      <c r="I252" t="str">
        <f t="shared" si="48"/>
        <v>2021-Mar</v>
      </c>
      <c r="J252">
        <v>52.5309825</v>
      </c>
      <c r="K252">
        <v>107.5</v>
      </c>
      <c r="L252">
        <f t="shared" si="37"/>
        <v>11556.25</v>
      </c>
      <c r="M252">
        <f t="shared" si="38"/>
        <v>5647.0806187500002</v>
      </c>
      <c r="N252">
        <f t="shared" si="39"/>
        <v>40.370276953521902</v>
      </c>
      <c r="O252">
        <f t="shared" si="40"/>
        <v>12.160705546478098</v>
      </c>
      <c r="P252">
        <f t="shared" si="41"/>
        <v>147.8827593881432</v>
      </c>
      <c r="Q252">
        <f t="shared" si="42"/>
        <v>4.3901464066707939E-2</v>
      </c>
      <c r="R252">
        <f t="shared" si="43"/>
        <v>4.3901464066707936</v>
      </c>
    </row>
    <row r="253" spans="1:18" x14ac:dyDescent="0.3">
      <c r="A253" s="2">
        <v>43413</v>
      </c>
      <c r="B253">
        <v>32.45485</v>
      </c>
      <c r="F253" s="7" t="s">
        <v>24</v>
      </c>
      <c r="G253">
        <v>32.068100000000001</v>
      </c>
      <c r="I253" t="str">
        <f t="shared" si="48"/>
        <v>2021-Apr</v>
      </c>
      <c r="J253">
        <v>57.634176000000004</v>
      </c>
      <c r="K253">
        <v>108.5</v>
      </c>
      <c r="L253">
        <f t="shared" si="37"/>
        <v>11772.25</v>
      </c>
      <c r="M253">
        <f t="shared" si="38"/>
        <v>6253.3080960000007</v>
      </c>
      <c r="N253">
        <f t="shared" si="39"/>
        <v>40.486931000429536</v>
      </c>
      <c r="O253">
        <f t="shared" si="40"/>
        <v>17.147244999570468</v>
      </c>
      <c r="P253">
        <f t="shared" si="41"/>
        <v>294.02801107529439</v>
      </c>
      <c r="Q253">
        <f t="shared" si="42"/>
        <v>6.1903411550795914E-2</v>
      </c>
      <c r="R253">
        <f t="shared" si="43"/>
        <v>6.190341155079591</v>
      </c>
    </row>
    <row r="254" spans="1:18" x14ac:dyDescent="0.3">
      <c r="A254" s="2">
        <v>43406</v>
      </c>
      <c r="B254">
        <v>31.986229999999999</v>
      </c>
      <c r="F254" s="7" t="s">
        <v>25</v>
      </c>
      <c r="G254">
        <v>33.486075</v>
      </c>
      <c r="I254" t="str">
        <f t="shared" si="48"/>
        <v>2021-May</v>
      </c>
      <c r="J254">
        <v>63.63955</v>
      </c>
      <c r="K254">
        <v>109.5</v>
      </c>
      <c r="L254">
        <f t="shared" si="37"/>
        <v>11990.25</v>
      </c>
      <c r="M254">
        <f t="shared" si="38"/>
        <v>6968.5307249999996</v>
      </c>
      <c r="N254">
        <f t="shared" si="39"/>
        <v>40.603585047337177</v>
      </c>
      <c r="O254">
        <f t="shared" si="40"/>
        <v>23.035964952662823</v>
      </c>
      <c r="P254">
        <f t="shared" si="41"/>
        <v>530.65568130030988</v>
      </c>
      <c r="Q254">
        <f t="shared" si="42"/>
        <v>8.3162328348963255E-2</v>
      </c>
      <c r="R254">
        <f t="shared" si="43"/>
        <v>8.3162328348963257</v>
      </c>
    </row>
    <row r="255" spans="1:18" x14ac:dyDescent="0.3">
      <c r="A255" s="2">
        <v>43399</v>
      </c>
      <c r="B255">
        <v>32.284869999999998</v>
      </c>
      <c r="F255" s="7" t="s">
        <v>26</v>
      </c>
      <c r="G255">
        <v>33.542229999999996</v>
      </c>
      <c r="I255" t="str">
        <f t="shared" si="48"/>
        <v>2021-Jun</v>
      </c>
      <c r="J255">
        <v>68.459599999999995</v>
      </c>
      <c r="K255">
        <v>110.5</v>
      </c>
      <c r="L255">
        <f t="shared" si="37"/>
        <v>12210.25</v>
      </c>
      <c r="M255">
        <f t="shared" si="38"/>
        <v>7564.7857999999997</v>
      </c>
      <c r="N255">
        <f t="shared" si="39"/>
        <v>40.720239094244818</v>
      </c>
      <c r="O255">
        <f t="shared" si="40"/>
        <v>27.739360905755177</v>
      </c>
      <c r="P255">
        <f t="shared" si="41"/>
        <v>769.47214345973873</v>
      </c>
      <c r="Q255">
        <f t="shared" si="42"/>
        <v>0.10014209713269016</v>
      </c>
      <c r="R255">
        <f t="shared" si="43"/>
        <v>10.014209713269016</v>
      </c>
    </row>
    <row r="256" spans="1:18" x14ac:dyDescent="0.3">
      <c r="A256" s="2">
        <v>43392</v>
      </c>
      <c r="B256">
        <v>33.212159999999997</v>
      </c>
      <c r="F256" s="7" t="s">
        <v>27</v>
      </c>
      <c r="G256">
        <v>36.895896</v>
      </c>
      <c r="I256" t="str">
        <f t="shared" si="48"/>
        <v>2021-Jul</v>
      </c>
      <c r="J256">
        <v>68.766227999999998</v>
      </c>
      <c r="K256">
        <v>111.5</v>
      </c>
      <c r="L256">
        <f t="shared" si="37"/>
        <v>12432.25</v>
      </c>
      <c r="M256">
        <f t="shared" si="38"/>
        <v>7667.4344219999994</v>
      </c>
      <c r="N256">
        <f t="shared" si="39"/>
        <v>40.836893141152458</v>
      </c>
      <c r="O256">
        <f t="shared" si="40"/>
        <v>27.92933485884754</v>
      </c>
      <c r="P256">
        <f t="shared" si="41"/>
        <v>780.04774565763637</v>
      </c>
      <c r="Q256">
        <f t="shared" si="42"/>
        <v>0.10082792367814997</v>
      </c>
      <c r="R256">
        <f t="shared" si="43"/>
        <v>10.082792367814996</v>
      </c>
    </row>
    <row r="257" spans="1:18" x14ac:dyDescent="0.3">
      <c r="A257" s="2">
        <v>43385</v>
      </c>
      <c r="B257">
        <v>32.723289999999999</v>
      </c>
      <c r="F257" s="7" t="s">
        <v>28</v>
      </c>
      <c r="G257">
        <v>38.155052499999996</v>
      </c>
      <c r="I257" t="str">
        <f t="shared" si="48"/>
        <v>2021-Aug</v>
      </c>
      <c r="J257">
        <v>68.87136000000001</v>
      </c>
      <c r="K257">
        <v>112.5</v>
      </c>
      <c r="L257">
        <f t="shared" si="37"/>
        <v>12656.25</v>
      </c>
      <c r="M257">
        <f t="shared" si="38"/>
        <v>7748.0280000000012</v>
      </c>
      <c r="N257">
        <f t="shared" si="39"/>
        <v>40.953547188060099</v>
      </c>
      <c r="O257">
        <f t="shared" si="40"/>
        <v>27.91781281193991</v>
      </c>
      <c r="P257">
        <f t="shared" si="41"/>
        <v>779.40427220251627</v>
      </c>
      <c r="Q257">
        <f t="shared" si="42"/>
        <v>0.1007863278409383</v>
      </c>
      <c r="R257">
        <f t="shared" si="43"/>
        <v>10.078632784093831</v>
      </c>
    </row>
    <row r="258" spans="1:18" x14ac:dyDescent="0.3">
      <c r="A258" s="2">
        <v>43378</v>
      </c>
      <c r="B258">
        <v>34.113019999999999</v>
      </c>
      <c r="F258" s="4" t="s">
        <v>33</v>
      </c>
      <c r="G258">
        <v>38.4238675</v>
      </c>
      <c r="I258" t="str">
        <f t="shared" si="48"/>
        <v>2021-Sep</v>
      </c>
      <c r="J258">
        <v>68.816415000000006</v>
      </c>
      <c r="K258">
        <v>113.5</v>
      </c>
      <c r="L258">
        <f t="shared" si="37"/>
        <v>12882.25</v>
      </c>
      <c r="M258">
        <f t="shared" si="38"/>
        <v>7810.6631025000006</v>
      </c>
      <c r="N258">
        <f t="shared" si="39"/>
        <v>41.070201234967733</v>
      </c>
      <c r="O258">
        <f t="shared" si="40"/>
        <v>27.746213765032273</v>
      </c>
      <c r="P258">
        <f t="shared" si="41"/>
        <v>769.85237829486641</v>
      </c>
      <c r="Q258">
        <f t="shared" si="42"/>
        <v>0.10016683669686741</v>
      </c>
      <c r="R258">
        <f t="shared" si="43"/>
        <v>10.01668366968674</v>
      </c>
    </row>
    <row r="259" spans="1:18" x14ac:dyDescent="0.3">
      <c r="A259" s="2">
        <v>43371</v>
      </c>
      <c r="B259">
        <v>35.53884</v>
      </c>
      <c r="F259" s="7" t="s">
        <v>30</v>
      </c>
      <c r="G259">
        <v>36.929094000000006</v>
      </c>
      <c r="I259" t="str">
        <f t="shared" si="48"/>
        <v>2021-Oct</v>
      </c>
      <c r="J259">
        <v>62.063392</v>
      </c>
      <c r="K259">
        <v>114.5</v>
      </c>
      <c r="L259">
        <f t="shared" si="37"/>
        <v>13110.25</v>
      </c>
      <c r="M259">
        <f t="shared" si="38"/>
        <v>7106.2583839999998</v>
      </c>
      <c r="N259">
        <f t="shared" si="39"/>
        <v>41.186855281875374</v>
      </c>
      <c r="O259">
        <f t="shared" si="40"/>
        <v>20.876536718124626</v>
      </c>
      <c r="P259">
        <f t="shared" si="41"/>
        <v>435.82978534320574</v>
      </c>
      <c r="Q259">
        <f t="shared" si="42"/>
        <v>7.5366558549186377E-2</v>
      </c>
      <c r="R259">
        <f t="shared" si="43"/>
        <v>7.5366558549186378</v>
      </c>
    </row>
    <row r="260" spans="1:18" x14ac:dyDescent="0.3">
      <c r="A260" s="2">
        <v>43364</v>
      </c>
      <c r="B260">
        <v>37.1282</v>
      </c>
      <c r="F260" s="7" t="s">
        <v>31</v>
      </c>
      <c r="G260">
        <v>33.959670000000003</v>
      </c>
      <c r="I260" t="str">
        <f t="shared" si="48"/>
        <v>2021-Nov</v>
      </c>
      <c r="J260">
        <v>63.592427499999999</v>
      </c>
      <c r="K260">
        <v>115.5</v>
      </c>
      <c r="L260">
        <f t="shared" si="37"/>
        <v>13340.25</v>
      </c>
      <c r="M260">
        <f t="shared" si="38"/>
        <v>7344.9253762500002</v>
      </c>
      <c r="N260">
        <f t="shared" si="39"/>
        <v>41.303509328783015</v>
      </c>
      <c r="O260">
        <f t="shared" si="40"/>
        <v>22.288918171216984</v>
      </c>
      <c r="P260">
        <f t="shared" si="41"/>
        <v>496.7958732432067</v>
      </c>
      <c r="Q260">
        <f t="shared" si="42"/>
        <v>8.046540856035013E-2</v>
      </c>
      <c r="R260">
        <f t="shared" si="43"/>
        <v>8.0465408560350138</v>
      </c>
    </row>
    <row r="261" spans="1:18" x14ac:dyDescent="0.3">
      <c r="A261" s="2">
        <v>43357</v>
      </c>
      <c r="B261">
        <v>36.205820000000003</v>
      </c>
      <c r="F261" s="7" t="s">
        <v>19</v>
      </c>
      <c r="G261">
        <v>25.042072500000003</v>
      </c>
      <c r="I261" t="str">
        <f t="shared" si="48"/>
        <v>2021-Dec</v>
      </c>
      <c r="J261">
        <v>61.188171999999994</v>
      </c>
      <c r="K261">
        <v>116.5</v>
      </c>
      <c r="L261">
        <f t="shared" si="37"/>
        <v>13572.25</v>
      </c>
      <c r="M261">
        <f t="shared" si="38"/>
        <v>7128.4220379999997</v>
      </c>
      <c r="N261">
        <f t="shared" si="39"/>
        <v>41.420163375690649</v>
      </c>
      <c r="O261">
        <f t="shared" si="40"/>
        <v>19.768008624309346</v>
      </c>
      <c r="P261">
        <f t="shared" si="41"/>
        <v>390.77416497076865</v>
      </c>
      <c r="Q261">
        <f t="shared" si="42"/>
        <v>7.1364652073318935E-2</v>
      </c>
      <c r="R261">
        <f t="shared" si="43"/>
        <v>7.1364652073318933</v>
      </c>
    </row>
    <row r="262" spans="1:18" x14ac:dyDescent="0.3">
      <c r="A262" s="2">
        <v>43350</v>
      </c>
      <c r="B262">
        <v>35.284170000000003</v>
      </c>
      <c r="F262" s="7" t="s">
        <v>20</v>
      </c>
      <c r="G262">
        <v>27.842345000000002</v>
      </c>
      <c r="I262" t="str">
        <f>_xlfn.CONCAT($F$284,"-",F285)</f>
        <v>2022-Jan</v>
      </c>
      <c r="J262">
        <v>60.739712499999996</v>
      </c>
      <c r="K262">
        <v>117.5</v>
      </c>
      <c r="L262">
        <f t="shared" si="37"/>
        <v>13806.25</v>
      </c>
      <c r="M262">
        <f t="shared" si="38"/>
        <v>7136.9162187499996</v>
      </c>
      <c r="N262">
        <f t="shared" si="39"/>
        <v>41.53681742259829</v>
      </c>
      <c r="O262">
        <f t="shared" si="40"/>
        <v>19.202895077401706</v>
      </c>
      <c r="P262">
        <f t="shared" si="41"/>
        <v>368.75117935369866</v>
      </c>
      <c r="Q262">
        <f t="shared" si="42"/>
        <v>6.9324530965349115E-2</v>
      </c>
      <c r="R262">
        <f t="shared" si="43"/>
        <v>6.9324530965349114</v>
      </c>
    </row>
    <row r="263" spans="1:18" x14ac:dyDescent="0.3">
      <c r="A263" s="2">
        <v>43343</v>
      </c>
      <c r="B263">
        <v>36.30395</v>
      </c>
      <c r="F263" s="7" t="s">
        <v>21</v>
      </c>
      <c r="G263">
        <v>29.921193999999996</v>
      </c>
      <c r="I263" t="str">
        <f t="shared" ref="I263:I273" si="49">_xlfn.CONCAT($F$284,"-",F286)</f>
        <v>2022-Feb</v>
      </c>
      <c r="J263">
        <v>56.702777499999996</v>
      </c>
      <c r="K263">
        <v>118.5</v>
      </c>
      <c r="L263">
        <f t="shared" si="37"/>
        <v>14042.25</v>
      </c>
      <c r="M263">
        <f t="shared" si="38"/>
        <v>6719.2791337499993</v>
      </c>
      <c r="N263">
        <f t="shared" si="39"/>
        <v>41.653471469505931</v>
      </c>
      <c r="O263">
        <f t="shared" si="40"/>
        <v>15.049306030494066</v>
      </c>
      <c r="P263">
        <f t="shared" si="41"/>
        <v>226.48161199946506</v>
      </c>
      <c r="Q263">
        <f t="shared" si="42"/>
        <v>5.4329624658823343E-2</v>
      </c>
      <c r="R263">
        <f t="shared" si="43"/>
        <v>5.4329624658823343</v>
      </c>
    </row>
    <row r="264" spans="1:18" x14ac:dyDescent="0.3">
      <c r="A264" s="2">
        <v>43336</v>
      </c>
      <c r="B264">
        <v>36.638849999999998</v>
      </c>
      <c r="F264" s="7" t="s">
        <v>22</v>
      </c>
      <c r="G264">
        <v>34.890132499999993</v>
      </c>
      <c r="I264" t="str">
        <f t="shared" si="49"/>
        <v>2022-Mar</v>
      </c>
      <c r="J264">
        <v>48.093232499999999</v>
      </c>
      <c r="K264">
        <v>119.5</v>
      </c>
      <c r="L264">
        <f t="shared" si="37"/>
        <v>14280.25</v>
      </c>
      <c r="M264">
        <f t="shared" si="38"/>
        <v>5747.1412837500002</v>
      </c>
      <c r="N264">
        <f t="shared" si="39"/>
        <v>41.770125516413572</v>
      </c>
      <c r="O264">
        <f t="shared" si="40"/>
        <v>6.3231069835864275</v>
      </c>
      <c r="P264">
        <f t="shared" si="41"/>
        <v>39.98168192587945</v>
      </c>
      <c r="Q264">
        <f t="shared" si="42"/>
        <v>2.2827101023777718E-2</v>
      </c>
      <c r="R264">
        <f t="shared" si="43"/>
        <v>2.2827101023777718</v>
      </c>
    </row>
    <row r="265" spans="1:18" x14ac:dyDescent="0.3">
      <c r="A265" s="2">
        <v>43329</v>
      </c>
      <c r="B265">
        <v>35.16254</v>
      </c>
      <c r="F265" s="7" t="s">
        <v>23</v>
      </c>
      <c r="G265">
        <v>39.326284000000001</v>
      </c>
      <c r="I265" t="str">
        <f t="shared" si="49"/>
        <v>2022-Apr</v>
      </c>
      <c r="J265">
        <v>44.699278000000007</v>
      </c>
      <c r="K265">
        <v>120.5</v>
      </c>
      <c r="L265">
        <f t="shared" ref="L265:L280" si="50">K265*K265</f>
        <v>14520.25</v>
      </c>
      <c r="M265">
        <f t="shared" ref="M265:M280" si="51">K265*J265</f>
        <v>5386.2629990000005</v>
      </c>
      <c r="N265">
        <f t="shared" ref="N265:N280" si="52">$I$2+$I$3*K265</f>
        <v>41.886779563321213</v>
      </c>
      <c r="O265">
        <f t="shared" ref="O265:O280" si="53">J265-N265</f>
        <v>2.8124984366787942</v>
      </c>
      <c r="P265">
        <f t="shared" ref="P265:P280" si="54">O265*O265</f>
        <v>7.9101474563206615</v>
      </c>
      <c r="Q265">
        <f t="shared" ref="Q265:Q280" si="55">ABS(O265)/$J$1</f>
        <v>1.015342395912922E-2</v>
      </c>
      <c r="R265">
        <f t="shared" ref="R265:R280" si="56">Q265*100</f>
        <v>1.015342395912922</v>
      </c>
    </row>
    <row r="266" spans="1:18" x14ac:dyDescent="0.3">
      <c r="A266" s="2">
        <v>43322</v>
      </c>
      <c r="B266">
        <v>34.867319999999999</v>
      </c>
      <c r="F266" s="7" t="s">
        <v>24</v>
      </c>
      <c r="G266">
        <v>44.406212500000002</v>
      </c>
      <c r="I266" t="str">
        <f t="shared" si="49"/>
        <v>2022-May</v>
      </c>
      <c r="J266">
        <v>40.528570000000002</v>
      </c>
      <c r="K266">
        <v>121.5</v>
      </c>
      <c r="L266">
        <f t="shared" si="50"/>
        <v>14762.25</v>
      </c>
      <c r="M266">
        <f t="shared" si="51"/>
        <v>4924.2212550000004</v>
      </c>
      <c r="N266">
        <f t="shared" si="52"/>
        <v>42.003433610228853</v>
      </c>
      <c r="O266">
        <f t="shared" si="53"/>
        <v>-1.4748636102288515</v>
      </c>
      <c r="P266">
        <f t="shared" si="54"/>
        <v>2.1752226687772818</v>
      </c>
      <c r="Q266">
        <f t="shared" si="55"/>
        <v>5.3244173654471176E-3</v>
      </c>
      <c r="R266">
        <f t="shared" si="56"/>
        <v>0.53244173654471172</v>
      </c>
    </row>
    <row r="267" spans="1:18" x14ac:dyDescent="0.3">
      <c r="A267" s="2">
        <v>43315</v>
      </c>
      <c r="B267">
        <v>34.24004</v>
      </c>
      <c r="F267" s="7" t="s">
        <v>25</v>
      </c>
      <c r="G267">
        <v>45.332147499999998</v>
      </c>
      <c r="I267" t="str">
        <f t="shared" si="49"/>
        <v>2022-Jun</v>
      </c>
      <c r="J267">
        <v>38.050489999999996</v>
      </c>
      <c r="K267">
        <v>122.5</v>
      </c>
      <c r="L267">
        <f t="shared" si="50"/>
        <v>15006.25</v>
      </c>
      <c r="M267">
        <f t="shared" si="51"/>
        <v>4661.1850249999998</v>
      </c>
      <c r="N267">
        <f t="shared" si="52"/>
        <v>42.120087657136487</v>
      </c>
      <c r="O267">
        <f t="shared" si="53"/>
        <v>-4.0695976571364909</v>
      </c>
      <c r="P267">
        <f t="shared" si="54"/>
        <v>16.561625090970814</v>
      </c>
      <c r="Q267">
        <f t="shared" si="55"/>
        <v>1.4691688292911519E-2</v>
      </c>
      <c r="R267">
        <f t="shared" si="56"/>
        <v>1.469168829291152</v>
      </c>
    </row>
    <row r="268" spans="1:18" x14ac:dyDescent="0.3">
      <c r="A268" s="2">
        <v>43308</v>
      </c>
      <c r="B268">
        <v>34.71752</v>
      </c>
      <c r="F268" s="7" t="s">
        <v>26</v>
      </c>
      <c r="G268">
        <v>47.059633999999996</v>
      </c>
      <c r="I268" t="str">
        <f t="shared" si="49"/>
        <v>2022-Jul</v>
      </c>
      <c r="J268">
        <v>37.884501999999998</v>
      </c>
      <c r="K268">
        <v>123.5</v>
      </c>
      <c r="L268">
        <f t="shared" si="50"/>
        <v>15252.25</v>
      </c>
      <c r="M268">
        <f t="shared" si="51"/>
        <v>4678.7359969999998</v>
      </c>
      <c r="N268">
        <f t="shared" si="52"/>
        <v>42.236741704044128</v>
      </c>
      <c r="O268">
        <f t="shared" si="53"/>
        <v>-4.3522397040441305</v>
      </c>
      <c r="P268">
        <f t="shared" si="54"/>
        <v>18.941990441458142</v>
      </c>
      <c r="Q268">
        <f t="shared" si="55"/>
        <v>1.571205669330011E-2</v>
      </c>
      <c r="R268">
        <f t="shared" si="56"/>
        <v>1.5712056693300109</v>
      </c>
    </row>
    <row r="269" spans="1:18" x14ac:dyDescent="0.3">
      <c r="A269" s="2">
        <v>43301</v>
      </c>
      <c r="B269">
        <v>33.850720000000003</v>
      </c>
      <c r="F269" s="7" t="s">
        <v>27</v>
      </c>
      <c r="G269">
        <v>47.776265000000002</v>
      </c>
      <c r="I269" t="str">
        <f t="shared" si="49"/>
        <v>2022-Aug</v>
      </c>
      <c r="J269">
        <v>40.126395000000002</v>
      </c>
      <c r="K269">
        <v>124.5</v>
      </c>
      <c r="L269">
        <f t="shared" si="50"/>
        <v>15500.25</v>
      </c>
      <c r="M269">
        <f t="shared" si="51"/>
        <v>4995.7361774999999</v>
      </c>
      <c r="N269">
        <f t="shared" si="52"/>
        <v>42.353395750951769</v>
      </c>
      <c r="O269">
        <f t="shared" si="53"/>
        <v>-2.2270007509517669</v>
      </c>
      <c r="P269">
        <f t="shared" si="54"/>
        <v>4.9595323447397339</v>
      </c>
      <c r="Q269">
        <f t="shared" si="55"/>
        <v>8.0397139023529497E-3</v>
      </c>
      <c r="R269">
        <f t="shared" si="56"/>
        <v>0.80397139023529496</v>
      </c>
    </row>
    <row r="270" spans="1:18" x14ac:dyDescent="0.3">
      <c r="A270" s="2">
        <v>43294</v>
      </c>
      <c r="B270">
        <v>32.81561</v>
      </c>
      <c r="F270" s="7" t="s">
        <v>28</v>
      </c>
      <c r="G270">
        <v>48.716174999999993</v>
      </c>
      <c r="I270" t="str">
        <f t="shared" si="49"/>
        <v>2022-Sep</v>
      </c>
      <c r="J270">
        <v>32.973644</v>
      </c>
      <c r="K270">
        <v>125.5</v>
      </c>
      <c r="L270">
        <f t="shared" si="50"/>
        <v>15750.25</v>
      </c>
      <c r="M270">
        <f t="shared" si="51"/>
        <v>4138.1923219999999</v>
      </c>
      <c r="N270">
        <f t="shared" si="52"/>
        <v>42.470049797859403</v>
      </c>
      <c r="O270">
        <f t="shared" si="53"/>
        <v>-9.4964057978594028</v>
      </c>
      <c r="P270">
        <f t="shared" si="54"/>
        <v>90.181723077617676</v>
      </c>
      <c r="Q270">
        <f t="shared" si="55"/>
        <v>3.4283053421875098E-2</v>
      </c>
      <c r="R270">
        <f t="shared" si="56"/>
        <v>3.4283053421875098</v>
      </c>
    </row>
    <row r="271" spans="1:18" x14ac:dyDescent="0.3">
      <c r="A271" s="2">
        <v>43287</v>
      </c>
      <c r="B271">
        <v>32.418959999999998</v>
      </c>
      <c r="F271" s="4" t="s">
        <v>34</v>
      </c>
      <c r="G271">
        <v>61.304672641509441</v>
      </c>
      <c r="I271" t="str">
        <f t="shared" si="49"/>
        <v>2022-Oct</v>
      </c>
      <c r="J271">
        <v>32.864350000000002</v>
      </c>
      <c r="K271">
        <v>126.5</v>
      </c>
      <c r="L271">
        <f t="shared" si="50"/>
        <v>16002.25</v>
      </c>
      <c r="M271">
        <f t="shared" si="51"/>
        <v>4157.3402750000005</v>
      </c>
      <c r="N271">
        <f t="shared" si="52"/>
        <v>42.586703844767044</v>
      </c>
      <c r="O271">
        <f t="shared" si="53"/>
        <v>-9.7223538447670421</v>
      </c>
      <c r="P271">
        <f t="shared" si="54"/>
        <v>94.524164282856489</v>
      </c>
      <c r="Q271">
        <f t="shared" si="55"/>
        <v>3.5098750342119282E-2</v>
      </c>
      <c r="R271">
        <f t="shared" si="56"/>
        <v>3.509875034211928</v>
      </c>
    </row>
    <row r="272" spans="1:18" x14ac:dyDescent="0.3">
      <c r="A272" s="2">
        <v>43280</v>
      </c>
      <c r="B272">
        <v>32.637210000000003</v>
      </c>
      <c r="F272" s="7" t="s">
        <v>30</v>
      </c>
      <c r="G272">
        <v>50.710585999999999</v>
      </c>
      <c r="I272" t="str">
        <f t="shared" si="49"/>
        <v>2022-Nov</v>
      </c>
      <c r="J272">
        <v>38.963172499999999</v>
      </c>
      <c r="K272">
        <v>127.5</v>
      </c>
      <c r="L272">
        <f t="shared" si="50"/>
        <v>16256.25</v>
      </c>
      <c r="M272">
        <f t="shared" si="51"/>
        <v>4967.8044937499999</v>
      </c>
      <c r="N272">
        <f t="shared" si="52"/>
        <v>42.703357891674685</v>
      </c>
      <c r="O272">
        <f t="shared" si="53"/>
        <v>-3.7401853916746859</v>
      </c>
      <c r="P272">
        <f t="shared" si="54"/>
        <v>13.988986764096724</v>
      </c>
      <c r="Q272">
        <f t="shared" si="55"/>
        <v>1.3502474338175762E-2</v>
      </c>
      <c r="R272">
        <f t="shared" si="56"/>
        <v>1.3502474338175763</v>
      </c>
    </row>
    <row r="273" spans="1:18" x14ac:dyDescent="0.3">
      <c r="A273" s="2">
        <v>43273</v>
      </c>
      <c r="B273">
        <v>34.093699999999998</v>
      </c>
      <c r="F273" s="7" t="s">
        <v>31</v>
      </c>
      <c r="G273">
        <v>50.923385000000003</v>
      </c>
      <c r="I273" t="str">
        <f t="shared" si="49"/>
        <v>2022-Dec</v>
      </c>
      <c r="J273">
        <v>38.876342000000001</v>
      </c>
      <c r="K273">
        <v>128.5</v>
      </c>
      <c r="L273">
        <f t="shared" si="50"/>
        <v>16512.25</v>
      </c>
      <c r="M273">
        <f t="shared" si="51"/>
        <v>4995.6099469999999</v>
      </c>
      <c r="N273">
        <f t="shared" si="52"/>
        <v>42.820011938582326</v>
      </c>
      <c r="O273">
        <f t="shared" si="53"/>
        <v>-3.9436699385823246</v>
      </c>
      <c r="P273">
        <f t="shared" si="54"/>
        <v>15.552532584477916</v>
      </c>
      <c r="Q273">
        <f t="shared" si="55"/>
        <v>1.4237075590549908E-2</v>
      </c>
      <c r="R273">
        <f t="shared" si="56"/>
        <v>1.4237075590549908</v>
      </c>
    </row>
    <row r="274" spans="1:18" x14ac:dyDescent="0.3">
      <c r="A274" s="2">
        <v>43266</v>
      </c>
      <c r="B274">
        <v>35.314019999999999</v>
      </c>
      <c r="F274" s="7" t="s">
        <v>19</v>
      </c>
      <c r="G274">
        <v>52.5309825</v>
      </c>
      <c r="I274" t="str">
        <f>_xlfn.CONCAT($F$297,"-",F298)</f>
        <v>2023-Jan</v>
      </c>
      <c r="J274">
        <v>41.902430000000003</v>
      </c>
      <c r="K274">
        <v>129.5</v>
      </c>
      <c r="L274">
        <f t="shared" si="50"/>
        <v>16770.25</v>
      </c>
      <c r="M274">
        <f t="shared" si="51"/>
        <v>5426.3646850000005</v>
      </c>
      <c r="N274">
        <f t="shared" si="52"/>
        <v>42.936665985489967</v>
      </c>
      <c r="O274">
        <f t="shared" si="53"/>
        <v>-1.0342359854899641</v>
      </c>
      <c r="P274">
        <f t="shared" si="54"/>
        <v>1.0696440736823971</v>
      </c>
      <c r="Q274">
        <f t="shared" si="55"/>
        <v>3.7337039187363323E-3</v>
      </c>
      <c r="R274">
        <f t="shared" si="56"/>
        <v>0.37337039187363324</v>
      </c>
    </row>
    <row r="275" spans="1:18" x14ac:dyDescent="0.3">
      <c r="A275" s="2">
        <v>43259</v>
      </c>
      <c r="B275">
        <v>36.849490000000003</v>
      </c>
      <c r="F275" s="7" t="s">
        <v>20</v>
      </c>
      <c r="G275">
        <v>57.634176000000004</v>
      </c>
      <c r="I275" t="str">
        <f t="shared" ref="I275:I280" si="57">_xlfn.CONCAT($F$297,"-",F299)</f>
        <v>2023-Feb</v>
      </c>
      <c r="J275">
        <v>43.871812500000004</v>
      </c>
      <c r="K275">
        <v>130.5</v>
      </c>
      <c r="L275">
        <f t="shared" si="50"/>
        <v>17030.25</v>
      </c>
      <c r="M275">
        <f t="shared" si="51"/>
        <v>5725.2715312500004</v>
      </c>
      <c r="N275">
        <f t="shared" si="52"/>
        <v>43.053320032397608</v>
      </c>
      <c r="O275">
        <f t="shared" si="53"/>
        <v>0.8184924676023968</v>
      </c>
      <c r="P275">
        <f t="shared" si="54"/>
        <v>0.66992991952186054</v>
      </c>
      <c r="Q275">
        <f t="shared" si="55"/>
        <v>2.9548464534382554E-3</v>
      </c>
      <c r="R275">
        <f t="shared" si="56"/>
        <v>0.29548464534382551</v>
      </c>
    </row>
    <row r="276" spans="1:18" x14ac:dyDescent="0.3">
      <c r="A276" s="2">
        <v>43252</v>
      </c>
      <c r="B276">
        <v>38.517829999999996</v>
      </c>
      <c r="F276" s="7" t="s">
        <v>21</v>
      </c>
      <c r="G276">
        <v>63.63955</v>
      </c>
      <c r="I276" t="str">
        <f t="shared" si="57"/>
        <v>2023-Mar</v>
      </c>
      <c r="J276">
        <v>44.381527999999996</v>
      </c>
      <c r="K276">
        <v>131.5</v>
      </c>
      <c r="L276">
        <f t="shared" si="50"/>
        <v>17292.25</v>
      </c>
      <c r="M276">
        <f t="shared" si="51"/>
        <v>5836.1709319999991</v>
      </c>
      <c r="N276">
        <f t="shared" si="52"/>
        <v>43.169974079305241</v>
      </c>
      <c r="O276">
        <f t="shared" si="53"/>
        <v>1.2115539206947545</v>
      </c>
      <c r="P276">
        <f t="shared" si="54"/>
        <v>1.4678629027508316</v>
      </c>
      <c r="Q276">
        <f t="shared" si="55"/>
        <v>4.3738408689341316E-3</v>
      </c>
      <c r="R276">
        <f t="shared" si="56"/>
        <v>0.43738408689341318</v>
      </c>
    </row>
    <row r="277" spans="1:18" x14ac:dyDescent="0.3">
      <c r="A277" s="2">
        <v>43245</v>
      </c>
      <c r="B277">
        <v>38.959400000000002</v>
      </c>
      <c r="F277" s="7" t="s">
        <v>22</v>
      </c>
      <c r="G277">
        <v>68.459599999999995</v>
      </c>
      <c r="I277" t="str">
        <f t="shared" si="57"/>
        <v>2023-Apr</v>
      </c>
      <c r="J277">
        <v>47.114834999999999</v>
      </c>
      <c r="K277">
        <v>132.5</v>
      </c>
      <c r="L277">
        <f t="shared" si="50"/>
        <v>17556.25</v>
      </c>
      <c r="M277">
        <f t="shared" si="51"/>
        <v>6242.7156374999995</v>
      </c>
      <c r="N277">
        <f t="shared" si="52"/>
        <v>43.286628126212882</v>
      </c>
      <c r="O277">
        <f t="shared" si="53"/>
        <v>3.8282068737871171</v>
      </c>
      <c r="P277">
        <f t="shared" si="54"/>
        <v>14.655167868510933</v>
      </c>
      <c r="Q277">
        <f t="shared" si="55"/>
        <v>1.3820241421614142E-2</v>
      </c>
      <c r="R277">
        <f t="shared" si="56"/>
        <v>1.3820241421614141</v>
      </c>
    </row>
    <row r="278" spans="1:18" x14ac:dyDescent="0.3">
      <c r="A278" s="2">
        <v>43238</v>
      </c>
      <c r="B278">
        <v>40.077379999999998</v>
      </c>
      <c r="F278" s="7" t="s">
        <v>23</v>
      </c>
      <c r="G278">
        <v>68.766227999999998</v>
      </c>
      <c r="I278" t="str">
        <f t="shared" si="57"/>
        <v>2023-May</v>
      </c>
      <c r="J278">
        <v>45.360625000000006</v>
      </c>
      <c r="K278">
        <v>133.5</v>
      </c>
      <c r="L278">
        <f t="shared" si="50"/>
        <v>17822.25</v>
      </c>
      <c r="M278">
        <f t="shared" si="51"/>
        <v>6055.6434375000008</v>
      </c>
      <c r="N278">
        <f t="shared" si="52"/>
        <v>43.403282173120523</v>
      </c>
      <c r="O278">
        <f t="shared" si="53"/>
        <v>1.9573428268794828</v>
      </c>
      <c r="P278">
        <f t="shared" si="54"/>
        <v>3.8311909419365651</v>
      </c>
      <c r="Q278">
        <f t="shared" si="55"/>
        <v>7.0662195916226817E-3</v>
      </c>
      <c r="R278">
        <f t="shared" si="56"/>
        <v>0.70662195916226822</v>
      </c>
    </row>
    <row r="279" spans="1:18" x14ac:dyDescent="0.3">
      <c r="A279" s="2">
        <v>43231</v>
      </c>
      <c r="B279">
        <v>41.159439999999996</v>
      </c>
      <c r="F279" s="7" t="s">
        <v>24</v>
      </c>
      <c r="G279">
        <v>68.87136000000001</v>
      </c>
      <c r="I279" t="str">
        <f t="shared" si="57"/>
        <v>2023-Jun</v>
      </c>
      <c r="J279">
        <v>46.892471999999998</v>
      </c>
      <c r="K279">
        <v>134.5</v>
      </c>
      <c r="L279">
        <f t="shared" si="50"/>
        <v>18090.25</v>
      </c>
      <c r="M279">
        <f t="shared" si="51"/>
        <v>6307.0374839999995</v>
      </c>
      <c r="N279">
        <f t="shared" si="52"/>
        <v>43.519936220028157</v>
      </c>
      <c r="O279">
        <f t="shared" si="53"/>
        <v>3.372535779971841</v>
      </c>
      <c r="P279">
        <f t="shared" si="54"/>
        <v>11.373997587190274</v>
      </c>
      <c r="Q279">
        <f t="shared" si="55"/>
        <v>1.2175219422281015E-2</v>
      </c>
      <c r="R279">
        <f t="shared" si="56"/>
        <v>1.2175219422281014</v>
      </c>
    </row>
    <row r="280" spans="1:18" x14ac:dyDescent="0.3">
      <c r="A280" s="2">
        <v>43224</v>
      </c>
      <c r="B280">
        <v>43.700839999999999</v>
      </c>
      <c r="F280" s="7" t="s">
        <v>25</v>
      </c>
      <c r="G280">
        <v>68.816415000000006</v>
      </c>
      <c r="I280" t="str">
        <f t="shared" si="57"/>
        <v>2023-Jul</v>
      </c>
      <c r="J280">
        <v>50.295383333333326</v>
      </c>
      <c r="K280">
        <v>135.5</v>
      </c>
      <c r="L280">
        <f t="shared" si="50"/>
        <v>18360.25</v>
      </c>
      <c r="M280">
        <f t="shared" si="51"/>
        <v>6815.0244416666656</v>
      </c>
      <c r="N280">
        <f t="shared" si="52"/>
        <v>43.636590266935798</v>
      </c>
      <c r="O280">
        <f t="shared" si="53"/>
        <v>6.6587930663975285</v>
      </c>
      <c r="P280">
        <f t="shared" si="54"/>
        <v>44.339525101103803</v>
      </c>
      <c r="Q280">
        <f t="shared" si="55"/>
        <v>2.4038964138619237E-2</v>
      </c>
      <c r="R280">
        <f t="shared" si="56"/>
        <v>2.4038964138619239</v>
      </c>
    </row>
    <row r="281" spans="1:18" x14ac:dyDescent="0.3">
      <c r="A281" s="2">
        <v>43217</v>
      </c>
      <c r="B281">
        <v>43.611710000000002</v>
      </c>
      <c r="F281" s="7" t="s">
        <v>26</v>
      </c>
      <c r="G281">
        <v>62.063392</v>
      </c>
    </row>
    <row r="282" spans="1:18" x14ac:dyDescent="0.3">
      <c r="A282" s="2">
        <v>43210</v>
      </c>
      <c r="B282">
        <v>46.212130000000002</v>
      </c>
      <c r="F282" s="7" t="s">
        <v>27</v>
      </c>
      <c r="G282">
        <v>63.592427499999999</v>
      </c>
    </row>
    <row r="283" spans="1:18" x14ac:dyDescent="0.3">
      <c r="A283" s="2">
        <v>43203</v>
      </c>
      <c r="B283">
        <v>44.924880000000002</v>
      </c>
      <c r="F283" s="7" t="s">
        <v>28</v>
      </c>
      <c r="G283">
        <v>61.188171999999994</v>
      </c>
    </row>
    <row r="284" spans="1:18" x14ac:dyDescent="0.3">
      <c r="A284" s="2">
        <v>43196</v>
      </c>
      <c r="B284">
        <v>43.99718</v>
      </c>
      <c r="F284" s="4" t="s">
        <v>35</v>
      </c>
      <c r="G284">
        <v>42.239300576923078</v>
      </c>
    </row>
    <row r="285" spans="1:18" x14ac:dyDescent="0.3">
      <c r="A285" s="2">
        <v>43189</v>
      </c>
      <c r="B285">
        <v>43.817419999999998</v>
      </c>
      <c r="F285" s="7" t="s">
        <v>30</v>
      </c>
      <c r="G285">
        <v>60.739712499999996</v>
      </c>
    </row>
    <row r="286" spans="1:18" x14ac:dyDescent="0.3">
      <c r="A286" s="2">
        <v>43182</v>
      </c>
      <c r="B286">
        <v>42.945590000000003</v>
      </c>
      <c r="F286" s="7" t="s">
        <v>31</v>
      </c>
      <c r="G286">
        <v>56.702777499999996</v>
      </c>
    </row>
    <row r="287" spans="1:18" x14ac:dyDescent="0.3">
      <c r="A287" s="2">
        <v>43175</v>
      </c>
      <c r="B287">
        <v>45.370989999999999</v>
      </c>
      <c r="F287" s="7" t="s">
        <v>19</v>
      </c>
      <c r="G287">
        <v>48.093232499999999</v>
      </c>
    </row>
    <row r="288" spans="1:18" x14ac:dyDescent="0.3">
      <c r="A288" s="2">
        <v>43168</v>
      </c>
      <c r="B288">
        <v>45.909190000000002</v>
      </c>
      <c r="F288" s="7" t="s">
        <v>20</v>
      </c>
      <c r="G288">
        <v>44.699278000000007</v>
      </c>
    </row>
    <row r="289" spans="1:7" x14ac:dyDescent="0.3">
      <c r="A289" s="2">
        <v>43161</v>
      </c>
      <c r="B289">
        <v>44.75412</v>
      </c>
      <c r="F289" s="7" t="s">
        <v>21</v>
      </c>
      <c r="G289">
        <v>40.528570000000002</v>
      </c>
    </row>
    <row r="290" spans="1:7" x14ac:dyDescent="0.3">
      <c r="A290" s="2">
        <v>43154</v>
      </c>
      <c r="B290">
        <v>46.135190000000001</v>
      </c>
      <c r="F290" s="7" t="s">
        <v>22</v>
      </c>
      <c r="G290">
        <v>38.050489999999996</v>
      </c>
    </row>
    <row r="291" spans="1:7" x14ac:dyDescent="0.3">
      <c r="A291" s="2">
        <v>43147</v>
      </c>
      <c r="B291">
        <v>46.330280000000002</v>
      </c>
      <c r="F291" s="7" t="s">
        <v>23</v>
      </c>
      <c r="G291">
        <v>37.884501999999998</v>
      </c>
    </row>
    <row r="292" spans="1:7" x14ac:dyDescent="0.3">
      <c r="A292" s="2">
        <v>43140</v>
      </c>
      <c r="B292">
        <v>44.15361</v>
      </c>
      <c r="F292" s="7" t="s">
        <v>24</v>
      </c>
      <c r="G292">
        <v>40.126395000000002</v>
      </c>
    </row>
    <row r="293" spans="1:7" x14ac:dyDescent="0.3">
      <c r="A293" s="2">
        <v>43133</v>
      </c>
      <c r="B293">
        <v>46.297400000000003</v>
      </c>
      <c r="F293" s="7" t="s">
        <v>25</v>
      </c>
      <c r="G293">
        <v>32.973644</v>
      </c>
    </row>
    <row r="294" spans="1:7" x14ac:dyDescent="0.3">
      <c r="A294" s="2">
        <v>43126</v>
      </c>
      <c r="B294">
        <v>48.549419999999998</v>
      </c>
      <c r="F294" s="7" t="s">
        <v>26</v>
      </c>
      <c r="G294">
        <v>32.864350000000002</v>
      </c>
    </row>
    <row r="295" spans="1:7" x14ac:dyDescent="0.3">
      <c r="A295" s="2">
        <v>43119</v>
      </c>
      <c r="B295">
        <v>50.008499999999998</v>
      </c>
      <c r="F295" s="7" t="s">
        <v>27</v>
      </c>
      <c r="G295">
        <v>38.963172499999999</v>
      </c>
    </row>
    <row r="296" spans="1:7" x14ac:dyDescent="0.3">
      <c r="A296" s="2">
        <v>43112</v>
      </c>
      <c r="B296">
        <v>48.976860000000002</v>
      </c>
      <c r="F296" s="7" t="s">
        <v>28</v>
      </c>
      <c r="G296">
        <v>38.876342000000001</v>
      </c>
    </row>
    <row r="297" spans="1:7" x14ac:dyDescent="0.3">
      <c r="A297" s="2">
        <v>43105</v>
      </c>
      <c r="B297">
        <v>49.05538</v>
      </c>
      <c r="F297" s="4" t="s">
        <v>36</v>
      </c>
      <c r="G297">
        <v>45.52603310344827</v>
      </c>
    </row>
    <row r="298" spans="1:7" x14ac:dyDescent="0.3">
      <c r="A298" s="2">
        <v>43098</v>
      </c>
      <c r="B298">
        <v>47.78745</v>
      </c>
      <c r="F298" s="7" t="s">
        <v>30</v>
      </c>
      <c r="G298">
        <v>41.902430000000003</v>
      </c>
    </row>
    <row r="299" spans="1:7" x14ac:dyDescent="0.3">
      <c r="A299" s="2">
        <v>43091</v>
      </c>
      <c r="B299">
        <v>47.935899999999997</v>
      </c>
      <c r="F299" s="7" t="s">
        <v>31</v>
      </c>
      <c r="G299">
        <v>43.871812500000004</v>
      </c>
    </row>
    <row r="300" spans="1:7" x14ac:dyDescent="0.3">
      <c r="A300" s="2">
        <v>43084</v>
      </c>
      <c r="B300">
        <v>47.495310000000003</v>
      </c>
      <c r="F300" s="7" t="s">
        <v>19</v>
      </c>
      <c r="G300">
        <v>44.381527999999996</v>
      </c>
    </row>
    <row r="301" spans="1:7" x14ac:dyDescent="0.3">
      <c r="A301" s="2">
        <v>43077</v>
      </c>
      <c r="B301">
        <v>47.524810000000002</v>
      </c>
      <c r="F301" s="7" t="s">
        <v>20</v>
      </c>
      <c r="G301">
        <v>47.114834999999999</v>
      </c>
    </row>
    <row r="302" spans="1:7" x14ac:dyDescent="0.3">
      <c r="A302" s="2">
        <v>43070</v>
      </c>
      <c r="B302">
        <v>46.837009999999999</v>
      </c>
      <c r="F302" s="7" t="s">
        <v>21</v>
      </c>
      <c r="G302">
        <v>45.360625000000006</v>
      </c>
    </row>
    <row r="303" spans="1:7" x14ac:dyDescent="0.3">
      <c r="A303" s="2">
        <v>43063</v>
      </c>
      <c r="B303">
        <v>47.296909999999997</v>
      </c>
      <c r="F303" s="7" t="s">
        <v>22</v>
      </c>
      <c r="G303">
        <v>46.892471999999998</v>
      </c>
    </row>
    <row r="304" spans="1:7" x14ac:dyDescent="0.3">
      <c r="A304" s="2">
        <v>43056</v>
      </c>
      <c r="B304">
        <v>46.045499999999997</v>
      </c>
      <c r="F304" s="7" t="s">
        <v>23</v>
      </c>
      <c r="G304">
        <v>50.295383333333326</v>
      </c>
    </row>
    <row r="305" spans="1:7" x14ac:dyDescent="0.3">
      <c r="A305" s="2">
        <v>43049</v>
      </c>
      <c r="B305">
        <v>45.797719999999998</v>
      </c>
      <c r="F305" s="4" t="s">
        <v>13</v>
      </c>
      <c r="G305">
        <v>28.229915785472972</v>
      </c>
    </row>
    <row r="306" spans="1:7" x14ac:dyDescent="0.3">
      <c r="A306" s="2">
        <v>43042</v>
      </c>
      <c r="B306">
        <v>46.622010000000003</v>
      </c>
    </row>
    <row r="307" spans="1:7" x14ac:dyDescent="0.3">
      <c r="A307" s="2">
        <v>43035</v>
      </c>
      <c r="B307">
        <v>45.358620000000002</v>
      </c>
    </row>
    <row r="308" spans="1:7" x14ac:dyDescent="0.3">
      <c r="A308" s="2">
        <v>43028</v>
      </c>
      <c r="B308">
        <v>45.067909999999998</v>
      </c>
    </row>
    <row r="309" spans="1:7" x14ac:dyDescent="0.3">
      <c r="A309" s="2">
        <v>43021</v>
      </c>
      <c r="B309">
        <v>45.302140000000001</v>
      </c>
    </row>
    <row r="310" spans="1:7" x14ac:dyDescent="0.3">
      <c r="A310" s="2">
        <v>43014</v>
      </c>
      <c r="B310">
        <v>43.609760000000001</v>
      </c>
    </row>
    <row r="311" spans="1:7" x14ac:dyDescent="0.3">
      <c r="A311" s="2">
        <v>43007</v>
      </c>
      <c r="B311">
        <v>44.543340000000001</v>
      </c>
    </row>
    <row r="312" spans="1:7" x14ac:dyDescent="0.3">
      <c r="A312" s="2">
        <v>43000</v>
      </c>
      <c r="B312">
        <v>44.551270000000002</v>
      </c>
    </row>
    <row r="313" spans="1:7" x14ac:dyDescent="0.3">
      <c r="A313" s="2">
        <v>42993</v>
      </c>
      <c r="B313">
        <v>43.20626</v>
      </c>
    </row>
    <row r="314" spans="1:7" x14ac:dyDescent="0.3">
      <c r="A314" s="2">
        <v>42986</v>
      </c>
      <c r="B314">
        <v>42.21848</v>
      </c>
    </row>
    <row r="315" spans="1:7" x14ac:dyDescent="0.3">
      <c r="A315" s="2">
        <v>42979</v>
      </c>
      <c r="B315">
        <v>41.650039999999997</v>
      </c>
    </row>
    <row r="316" spans="1:7" x14ac:dyDescent="0.3">
      <c r="A316" s="2">
        <v>42972</v>
      </c>
      <c r="B316">
        <v>41.176569999999998</v>
      </c>
    </row>
    <row r="317" spans="1:7" x14ac:dyDescent="0.3">
      <c r="A317" s="2">
        <v>42965</v>
      </c>
      <c r="B317">
        <v>41.043959999999998</v>
      </c>
    </row>
    <row r="318" spans="1:7" x14ac:dyDescent="0.3">
      <c r="A318" s="2">
        <v>42958</v>
      </c>
      <c r="B318">
        <v>40.429000000000002</v>
      </c>
    </row>
    <row r="319" spans="1:7" x14ac:dyDescent="0.3">
      <c r="A319" s="2">
        <v>42951</v>
      </c>
      <c r="B319">
        <v>40.04</v>
      </c>
    </row>
    <row r="320" spans="1:7" x14ac:dyDescent="0.3">
      <c r="A320" s="2">
        <v>42944</v>
      </c>
      <c r="B320">
        <v>38.428289999999997</v>
      </c>
    </row>
    <row r="321" spans="1:2" x14ac:dyDescent="0.3">
      <c r="A321" s="2">
        <v>42937</v>
      </c>
      <c r="B321">
        <v>38.497799999999998</v>
      </c>
    </row>
    <row r="322" spans="1:2" x14ac:dyDescent="0.3">
      <c r="A322" s="2">
        <v>42930</v>
      </c>
      <c r="B322">
        <v>39.130189999999999</v>
      </c>
    </row>
    <row r="323" spans="1:2" x14ac:dyDescent="0.3">
      <c r="A323" s="2">
        <v>42923</v>
      </c>
      <c r="B323">
        <v>37.514069999999997</v>
      </c>
    </row>
    <row r="324" spans="1:2" x14ac:dyDescent="0.3">
      <c r="A324" s="2">
        <v>42916</v>
      </c>
      <c r="B324">
        <v>37.554479999999998</v>
      </c>
    </row>
    <row r="325" spans="1:2" x14ac:dyDescent="0.3">
      <c r="A325" s="2">
        <v>42909</v>
      </c>
      <c r="B325">
        <v>36.330910000000003</v>
      </c>
    </row>
    <row r="326" spans="1:2" x14ac:dyDescent="0.3">
      <c r="A326" s="2">
        <v>42902</v>
      </c>
      <c r="B326">
        <v>36.252360000000003</v>
      </c>
    </row>
    <row r="327" spans="1:2" x14ac:dyDescent="0.3">
      <c r="A327" s="2">
        <v>42895</v>
      </c>
      <c r="B327">
        <v>35.661149999999999</v>
      </c>
    </row>
    <row r="328" spans="1:2" x14ac:dyDescent="0.3">
      <c r="A328" s="2">
        <v>42888</v>
      </c>
      <c r="B328">
        <v>36.79204</v>
      </c>
    </row>
    <row r="329" spans="1:2" x14ac:dyDescent="0.3">
      <c r="A329" s="2">
        <v>42881</v>
      </c>
      <c r="B329">
        <v>35.233260000000001</v>
      </c>
    </row>
    <row r="330" spans="1:2" x14ac:dyDescent="0.3">
      <c r="A330" s="2">
        <v>42874</v>
      </c>
      <c r="B330">
        <v>35.257249999999999</v>
      </c>
    </row>
    <row r="331" spans="1:2" x14ac:dyDescent="0.3">
      <c r="A331" s="2">
        <v>42867</v>
      </c>
      <c r="B331">
        <v>34.999760000000002</v>
      </c>
    </row>
    <row r="332" spans="1:2" x14ac:dyDescent="0.3">
      <c r="A332" s="2">
        <v>42860</v>
      </c>
      <c r="B332">
        <v>36.474710000000002</v>
      </c>
    </row>
    <row r="333" spans="1:2" x14ac:dyDescent="0.3">
      <c r="A333" s="2">
        <v>42853</v>
      </c>
      <c r="B333">
        <v>35.865380000000002</v>
      </c>
    </row>
    <row r="334" spans="1:2" x14ac:dyDescent="0.3">
      <c r="A334" s="2">
        <v>42846</v>
      </c>
      <c r="B334">
        <v>32.891669999999998</v>
      </c>
    </row>
    <row r="335" spans="1:2" x14ac:dyDescent="0.3">
      <c r="A335" s="2">
        <v>42839</v>
      </c>
      <c r="B335">
        <v>33.040790000000001</v>
      </c>
    </row>
    <row r="336" spans="1:2" x14ac:dyDescent="0.3">
      <c r="A336" s="2">
        <v>42832</v>
      </c>
      <c r="B336">
        <v>33.397449999999999</v>
      </c>
    </row>
    <row r="337" spans="1:2" x14ac:dyDescent="0.3">
      <c r="A337" s="2">
        <v>42825</v>
      </c>
      <c r="B337">
        <v>34.290300000000002</v>
      </c>
    </row>
    <row r="338" spans="1:2" x14ac:dyDescent="0.3">
      <c r="A338" s="2">
        <v>42818</v>
      </c>
      <c r="B338">
        <v>33.898629999999997</v>
      </c>
    </row>
    <row r="339" spans="1:2" x14ac:dyDescent="0.3">
      <c r="A339" s="2">
        <v>42811</v>
      </c>
      <c r="B339">
        <v>34.284039999999997</v>
      </c>
    </row>
    <row r="340" spans="1:2" x14ac:dyDescent="0.3">
      <c r="A340" s="2">
        <v>42804</v>
      </c>
      <c r="B340">
        <v>33.180590000000002</v>
      </c>
    </row>
    <row r="341" spans="1:2" x14ac:dyDescent="0.3">
      <c r="A341" s="2">
        <v>42797</v>
      </c>
      <c r="B341">
        <v>34.183909999999997</v>
      </c>
    </row>
    <row r="342" spans="1:2" x14ac:dyDescent="0.3">
      <c r="A342" s="2">
        <v>42790</v>
      </c>
      <c r="B342">
        <v>34.100879999999997</v>
      </c>
    </row>
    <row r="343" spans="1:2" x14ac:dyDescent="0.3">
      <c r="A343" s="2">
        <v>42783</v>
      </c>
      <c r="B343">
        <v>33.894750000000002</v>
      </c>
    </row>
    <row r="344" spans="1:2" x14ac:dyDescent="0.3">
      <c r="A344" s="2">
        <v>42776</v>
      </c>
      <c r="B344">
        <v>33.378</v>
      </c>
    </row>
    <row r="345" spans="1:2" x14ac:dyDescent="0.3">
      <c r="A345" s="2">
        <v>42769</v>
      </c>
      <c r="B345">
        <v>33.78304</v>
      </c>
    </row>
    <row r="346" spans="1:2" x14ac:dyDescent="0.3">
      <c r="A346" s="2">
        <v>42762</v>
      </c>
      <c r="B346">
        <v>34.014670000000002</v>
      </c>
    </row>
    <row r="347" spans="1:2" x14ac:dyDescent="0.3">
      <c r="A347" s="2">
        <v>42755</v>
      </c>
      <c r="B347">
        <v>33.62518</v>
      </c>
    </row>
    <row r="348" spans="1:2" x14ac:dyDescent="0.3">
      <c r="A348" s="2">
        <v>42748</v>
      </c>
      <c r="B348">
        <v>33.677810000000001</v>
      </c>
    </row>
    <row r="349" spans="1:2" x14ac:dyDescent="0.3">
      <c r="A349" s="2">
        <v>42741</v>
      </c>
      <c r="B349">
        <v>33.61336</v>
      </c>
    </row>
    <row r="350" spans="1:2" x14ac:dyDescent="0.3">
      <c r="A350" s="2">
        <v>42734</v>
      </c>
      <c r="B350">
        <v>32.943550000000002</v>
      </c>
    </row>
    <row r="351" spans="1:2" x14ac:dyDescent="0.3">
      <c r="A351" s="2">
        <v>42727</v>
      </c>
      <c r="B351">
        <v>32.572679999999998</v>
      </c>
    </row>
    <row r="352" spans="1:2" x14ac:dyDescent="0.3">
      <c r="A352" s="2">
        <v>42720</v>
      </c>
      <c r="B352">
        <v>32.443190000000001</v>
      </c>
    </row>
    <row r="353" spans="1:2" x14ac:dyDescent="0.3">
      <c r="A353" s="2">
        <v>42713</v>
      </c>
      <c r="B353">
        <v>31.78126</v>
      </c>
    </row>
    <row r="354" spans="1:2" x14ac:dyDescent="0.3">
      <c r="A354" s="2">
        <v>42706</v>
      </c>
      <c r="B354">
        <v>30.862490000000001</v>
      </c>
    </row>
    <row r="355" spans="1:2" x14ac:dyDescent="0.3">
      <c r="A355" s="2">
        <v>42699</v>
      </c>
      <c r="B355">
        <v>31.236640000000001</v>
      </c>
    </row>
    <row r="356" spans="1:2" x14ac:dyDescent="0.3">
      <c r="A356" s="2">
        <v>42692</v>
      </c>
      <c r="B356">
        <v>30.757619999999999</v>
      </c>
    </row>
    <row r="357" spans="1:2" x14ac:dyDescent="0.3">
      <c r="A357" s="2">
        <v>42685</v>
      </c>
      <c r="B357">
        <v>31.113900000000001</v>
      </c>
    </row>
    <row r="358" spans="1:2" x14ac:dyDescent="0.3">
      <c r="A358" s="2">
        <v>42678</v>
      </c>
      <c r="B358">
        <v>30.798549999999999</v>
      </c>
    </row>
    <row r="359" spans="1:2" x14ac:dyDescent="0.3">
      <c r="A359" s="2">
        <v>42671</v>
      </c>
      <c r="B359">
        <v>30.796099999999999</v>
      </c>
    </row>
    <row r="360" spans="1:2" x14ac:dyDescent="0.3">
      <c r="A360" s="2">
        <v>42664</v>
      </c>
      <c r="B360">
        <v>30.362380000000002</v>
      </c>
    </row>
    <row r="361" spans="1:2" x14ac:dyDescent="0.3">
      <c r="A361" s="2">
        <v>42657</v>
      </c>
      <c r="B361">
        <v>30.326409999999999</v>
      </c>
    </row>
    <row r="362" spans="1:2" x14ac:dyDescent="0.3">
      <c r="A362" s="2">
        <v>42650</v>
      </c>
      <c r="B362">
        <v>30.294319999999999</v>
      </c>
    </row>
    <row r="363" spans="1:2" x14ac:dyDescent="0.3">
      <c r="A363" s="2">
        <v>42643</v>
      </c>
      <c r="B363">
        <v>31.11279</v>
      </c>
    </row>
    <row r="364" spans="1:2" x14ac:dyDescent="0.3">
      <c r="A364" s="2">
        <v>42636</v>
      </c>
      <c r="B364">
        <v>31.5563</v>
      </c>
    </row>
    <row r="365" spans="1:2" x14ac:dyDescent="0.3">
      <c r="A365" s="2">
        <v>42629</v>
      </c>
      <c r="B365">
        <v>30.357780000000002</v>
      </c>
    </row>
    <row r="366" spans="1:2" x14ac:dyDescent="0.3">
      <c r="A366" s="2">
        <v>42622</v>
      </c>
      <c r="B366">
        <v>31.186669999999999</v>
      </c>
    </row>
    <row r="367" spans="1:2" x14ac:dyDescent="0.3">
      <c r="A367" s="2">
        <v>42615</v>
      </c>
      <c r="B367">
        <v>32.093629999999997</v>
      </c>
    </row>
    <row r="368" spans="1:2" x14ac:dyDescent="0.3">
      <c r="A368" s="2">
        <v>42608</v>
      </c>
      <c r="B368">
        <v>31.79393</v>
      </c>
    </row>
    <row r="369" spans="1:2" x14ac:dyDescent="0.3">
      <c r="A369" s="2">
        <v>42601</v>
      </c>
      <c r="B369">
        <v>31.70166</v>
      </c>
    </row>
    <row r="370" spans="1:2" x14ac:dyDescent="0.3">
      <c r="A370" s="2">
        <v>42594</v>
      </c>
      <c r="B370">
        <v>31.685849999999999</v>
      </c>
    </row>
    <row r="371" spans="1:2" x14ac:dyDescent="0.3">
      <c r="A371" s="2">
        <v>42587</v>
      </c>
      <c r="B371">
        <v>30.53192</v>
      </c>
    </row>
    <row r="372" spans="1:2" x14ac:dyDescent="0.3">
      <c r="A372" s="2">
        <v>42580</v>
      </c>
      <c r="B372">
        <v>29.63522</v>
      </c>
    </row>
    <row r="373" spans="1:2" x14ac:dyDescent="0.3">
      <c r="A373" s="2">
        <v>42573</v>
      </c>
      <c r="B373">
        <v>28.25977</v>
      </c>
    </row>
    <row r="374" spans="1:2" x14ac:dyDescent="0.3">
      <c r="A374" s="2">
        <v>42566</v>
      </c>
      <c r="B374">
        <v>28.508990000000001</v>
      </c>
    </row>
    <row r="375" spans="1:2" x14ac:dyDescent="0.3">
      <c r="A375" s="2">
        <v>42559</v>
      </c>
      <c r="B375">
        <v>27.375499999999999</v>
      </c>
    </row>
    <row r="376" spans="1:2" x14ac:dyDescent="0.3">
      <c r="A376" s="2">
        <v>42552</v>
      </c>
      <c r="B376">
        <v>28.177720000000001</v>
      </c>
    </row>
    <row r="377" spans="1:2" x14ac:dyDescent="0.3">
      <c r="A377" s="2">
        <v>42545</v>
      </c>
      <c r="B377">
        <v>27.364519999999999</v>
      </c>
    </row>
    <row r="378" spans="1:2" x14ac:dyDescent="0.3">
      <c r="A378" s="2">
        <v>42538</v>
      </c>
      <c r="B378">
        <v>28.632829999999998</v>
      </c>
    </row>
    <row r="379" spans="1:2" x14ac:dyDescent="0.3">
      <c r="A379" s="2">
        <v>42531</v>
      </c>
      <c r="B379">
        <v>28.9495</v>
      </c>
    </row>
    <row r="380" spans="1:2" x14ac:dyDescent="0.3">
      <c r="A380" s="2">
        <v>42524</v>
      </c>
      <c r="B380">
        <v>29.513290000000001</v>
      </c>
    </row>
    <row r="381" spans="1:2" x14ac:dyDescent="0.3">
      <c r="A381" s="2">
        <v>42517</v>
      </c>
      <c r="B381">
        <v>29.576530000000002</v>
      </c>
    </row>
    <row r="382" spans="1:2" x14ac:dyDescent="0.3">
      <c r="A382" s="2">
        <v>42510</v>
      </c>
      <c r="B382">
        <v>28.893660000000001</v>
      </c>
    </row>
    <row r="383" spans="1:2" x14ac:dyDescent="0.3">
      <c r="A383" s="2">
        <v>42503</v>
      </c>
      <c r="B383">
        <v>30.07479</v>
      </c>
    </row>
    <row r="384" spans="1:2" x14ac:dyDescent="0.3">
      <c r="A384" s="2">
        <v>42496</v>
      </c>
      <c r="B384">
        <v>29.120039999999999</v>
      </c>
    </row>
    <row r="385" spans="1:2" x14ac:dyDescent="0.3">
      <c r="A385" s="2">
        <v>42489</v>
      </c>
      <c r="B385">
        <v>29.297840000000001</v>
      </c>
    </row>
    <row r="386" spans="1:2" x14ac:dyDescent="0.3">
      <c r="A386" s="2">
        <v>42482</v>
      </c>
      <c r="B386">
        <v>29.333559999999999</v>
      </c>
    </row>
    <row r="387" spans="1:2" x14ac:dyDescent="0.3">
      <c r="A387" s="2">
        <v>42475</v>
      </c>
      <c r="B387">
        <v>28.474350000000001</v>
      </c>
    </row>
    <row r="388" spans="1:2" x14ac:dyDescent="0.3">
      <c r="A388" s="2">
        <v>42468</v>
      </c>
      <c r="B388">
        <v>27.3095</v>
      </c>
    </row>
    <row r="389" spans="1:2" x14ac:dyDescent="0.3">
      <c r="A389" s="2">
        <v>42461</v>
      </c>
      <c r="B389">
        <v>27.381810000000002</v>
      </c>
    </row>
    <row r="390" spans="1:2" x14ac:dyDescent="0.3">
      <c r="A390" s="2">
        <v>42454</v>
      </c>
      <c r="B390">
        <v>27.271470000000001</v>
      </c>
    </row>
    <row r="391" spans="1:2" x14ac:dyDescent="0.3">
      <c r="A391" s="2">
        <v>42447</v>
      </c>
      <c r="B391">
        <v>27.41065</v>
      </c>
    </row>
    <row r="392" spans="1:2" x14ac:dyDescent="0.3">
      <c r="A392" s="2">
        <v>42440</v>
      </c>
      <c r="B392">
        <v>26.25788</v>
      </c>
    </row>
    <row r="393" spans="1:2" x14ac:dyDescent="0.3">
      <c r="A393" s="2">
        <v>42433</v>
      </c>
      <c r="B393">
        <v>24.88627</v>
      </c>
    </row>
    <row r="394" spans="1:2" x14ac:dyDescent="0.3">
      <c r="A394" s="2">
        <v>42426</v>
      </c>
      <c r="B394">
        <v>24.061219999999999</v>
      </c>
    </row>
    <row r="395" spans="1:2" x14ac:dyDescent="0.3">
      <c r="A395" s="2">
        <v>42419</v>
      </c>
      <c r="B395">
        <v>23.410959999999999</v>
      </c>
    </row>
    <row r="396" spans="1:2" x14ac:dyDescent="0.3">
      <c r="A396" s="2">
        <v>42412</v>
      </c>
      <c r="B396">
        <v>22.390789999999999</v>
      </c>
    </row>
    <row r="397" spans="1:2" x14ac:dyDescent="0.3">
      <c r="A397" s="2">
        <v>42405</v>
      </c>
      <c r="B397">
        <v>23.199200000000001</v>
      </c>
    </row>
    <row r="398" spans="1:2" x14ac:dyDescent="0.3">
      <c r="A398" s="2">
        <v>42398</v>
      </c>
      <c r="B398">
        <v>24.308920000000001</v>
      </c>
    </row>
    <row r="399" spans="1:2" x14ac:dyDescent="0.3">
      <c r="A399" s="2">
        <v>42391</v>
      </c>
      <c r="B399">
        <v>25.477589999999999</v>
      </c>
    </row>
    <row r="400" spans="1:2" x14ac:dyDescent="0.3">
      <c r="A400" s="2">
        <v>42384</v>
      </c>
      <c r="B400">
        <v>24.763500000000001</v>
      </c>
    </row>
    <row r="401" spans="1:2" x14ac:dyDescent="0.3">
      <c r="A401" s="2">
        <v>42377</v>
      </c>
      <c r="B401">
        <v>26.152979999999999</v>
      </c>
    </row>
    <row r="402" spans="1:2" x14ac:dyDescent="0.3">
      <c r="A402" s="2">
        <v>42370</v>
      </c>
      <c r="B402">
        <v>28.319500000000001</v>
      </c>
    </row>
    <row r="403" spans="1:2" x14ac:dyDescent="0.3">
      <c r="A403" s="2">
        <v>42363</v>
      </c>
      <c r="B403">
        <v>28.39658</v>
      </c>
    </row>
    <row r="404" spans="1:2" x14ac:dyDescent="0.3">
      <c r="A404" s="2">
        <v>42356</v>
      </c>
      <c r="B404">
        <v>27.735130000000002</v>
      </c>
    </row>
    <row r="405" spans="1:2" x14ac:dyDescent="0.3">
      <c r="A405" s="2">
        <v>42349</v>
      </c>
      <c r="B405">
        <v>26.82536</v>
      </c>
    </row>
    <row r="406" spans="1:2" x14ac:dyDescent="0.3">
      <c r="A406" s="2">
        <v>42342</v>
      </c>
      <c r="B406">
        <v>28.21266</v>
      </c>
    </row>
    <row r="407" spans="1:2" x14ac:dyDescent="0.3">
      <c r="A407" s="2">
        <v>42335</v>
      </c>
      <c r="B407">
        <v>29.214659999999999</v>
      </c>
    </row>
    <row r="408" spans="1:2" x14ac:dyDescent="0.3">
      <c r="A408" s="2">
        <v>42328</v>
      </c>
      <c r="B408">
        <v>28.721990000000002</v>
      </c>
    </row>
    <row r="409" spans="1:2" x14ac:dyDescent="0.3">
      <c r="A409" s="2">
        <v>42321</v>
      </c>
      <c r="B409">
        <v>27.471430000000002</v>
      </c>
    </row>
    <row r="410" spans="1:2" x14ac:dyDescent="0.3">
      <c r="A410" s="2">
        <v>42314</v>
      </c>
      <c r="B410">
        <v>29.591170000000002</v>
      </c>
    </row>
    <row r="411" spans="1:2" x14ac:dyDescent="0.3">
      <c r="A411" s="2">
        <v>42307</v>
      </c>
      <c r="B411">
        <v>29.746400000000001</v>
      </c>
    </row>
    <row r="412" spans="1:2" x14ac:dyDescent="0.3">
      <c r="A412" s="2">
        <v>42300</v>
      </c>
      <c r="B412">
        <v>30.324839999999998</v>
      </c>
    </row>
    <row r="413" spans="1:2" x14ac:dyDescent="0.3">
      <c r="A413" s="2">
        <v>42293</v>
      </c>
      <c r="B413">
        <v>29.450610000000001</v>
      </c>
    </row>
    <row r="414" spans="1:2" x14ac:dyDescent="0.3">
      <c r="A414" s="2">
        <v>42286</v>
      </c>
      <c r="B414">
        <v>30.001090000000001</v>
      </c>
    </row>
    <row r="415" spans="1:2" x14ac:dyDescent="0.3">
      <c r="A415" s="2">
        <v>42279</v>
      </c>
      <c r="B415">
        <v>28.05104</v>
      </c>
    </row>
    <row r="416" spans="1:2" x14ac:dyDescent="0.3">
      <c r="A416" s="2">
        <v>42272</v>
      </c>
      <c r="B416">
        <v>26.649529999999999</v>
      </c>
    </row>
    <row r="417" spans="1:2" x14ac:dyDescent="0.3">
      <c r="A417" s="2">
        <v>42265</v>
      </c>
      <c r="B417">
        <v>27.053460000000001</v>
      </c>
    </row>
    <row r="418" spans="1:2" x14ac:dyDescent="0.3">
      <c r="A418" s="2">
        <v>42258</v>
      </c>
      <c r="B418">
        <v>27.188289999999999</v>
      </c>
    </row>
    <row r="419" spans="1:2" x14ac:dyDescent="0.3">
      <c r="A419" s="2">
        <v>42251</v>
      </c>
      <c r="B419">
        <v>26.884899999999998</v>
      </c>
    </row>
    <row r="420" spans="1:2" x14ac:dyDescent="0.3">
      <c r="A420" s="2">
        <v>42244</v>
      </c>
      <c r="B420">
        <v>27.665859999999999</v>
      </c>
    </row>
    <row r="421" spans="1:2" x14ac:dyDescent="0.3">
      <c r="A421" s="2">
        <v>42237</v>
      </c>
      <c r="B421">
        <v>27.533529999999999</v>
      </c>
    </row>
    <row r="422" spans="1:2" x14ac:dyDescent="0.3">
      <c r="A422" s="2">
        <v>42230</v>
      </c>
      <c r="B422">
        <v>29.254359999999998</v>
      </c>
    </row>
    <row r="423" spans="1:2" x14ac:dyDescent="0.3">
      <c r="A423" s="2">
        <v>42223</v>
      </c>
      <c r="B423">
        <v>29.5093</v>
      </c>
    </row>
    <row r="424" spans="1:2" x14ac:dyDescent="0.3">
      <c r="A424" s="2">
        <v>42216</v>
      </c>
      <c r="B424">
        <v>30.22964</v>
      </c>
    </row>
    <row r="425" spans="1:2" x14ac:dyDescent="0.3">
      <c r="A425" s="2">
        <v>42209</v>
      </c>
      <c r="B425">
        <v>30.504570000000001</v>
      </c>
    </row>
    <row r="426" spans="1:2" x14ac:dyDescent="0.3">
      <c r="A426" s="2">
        <v>42202</v>
      </c>
      <c r="B426">
        <v>31.108560000000001</v>
      </c>
    </row>
    <row r="427" spans="1:2" x14ac:dyDescent="0.3">
      <c r="A427" s="2">
        <v>42195</v>
      </c>
      <c r="B427">
        <v>31.397130000000001</v>
      </c>
    </row>
    <row r="428" spans="1:2" x14ac:dyDescent="0.3">
      <c r="A428" s="2">
        <v>42188</v>
      </c>
      <c r="B428">
        <v>28.918959999999998</v>
      </c>
    </row>
    <row r="429" spans="1:2" x14ac:dyDescent="0.3">
      <c r="A429" s="2">
        <v>42181</v>
      </c>
      <c r="B429">
        <v>30.31643</v>
      </c>
    </row>
    <row r="430" spans="1:2" x14ac:dyDescent="0.3">
      <c r="A430" s="2">
        <v>42174</v>
      </c>
      <c r="B430">
        <v>29.67407</v>
      </c>
    </row>
    <row r="431" spans="1:2" x14ac:dyDescent="0.3">
      <c r="A431" s="2">
        <v>42167</v>
      </c>
      <c r="B431">
        <v>29.714880000000001</v>
      </c>
    </row>
    <row r="432" spans="1:2" x14ac:dyDescent="0.3">
      <c r="A432" s="2">
        <v>42160</v>
      </c>
      <c r="B432">
        <v>29.491689999999998</v>
      </c>
    </row>
    <row r="433" spans="1:2" x14ac:dyDescent="0.3">
      <c r="A433" s="2">
        <v>42153</v>
      </c>
      <c r="B433">
        <v>30.116499999999998</v>
      </c>
    </row>
    <row r="434" spans="1:2" x14ac:dyDescent="0.3">
      <c r="A434" s="2">
        <v>42146</v>
      </c>
      <c r="B434">
        <v>32.003300000000003</v>
      </c>
    </row>
    <row r="435" spans="1:2" x14ac:dyDescent="0.3">
      <c r="A435" s="2">
        <v>42139</v>
      </c>
      <c r="B435">
        <v>32.272539999999999</v>
      </c>
    </row>
    <row r="436" spans="1:2" x14ac:dyDescent="0.3">
      <c r="A436" s="2">
        <v>42132</v>
      </c>
      <c r="B436">
        <v>33.449800000000003</v>
      </c>
    </row>
    <row r="437" spans="1:2" x14ac:dyDescent="0.3">
      <c r="A437" s="2">
        <v>42125</v>
      </c>
      <c r="B437">
        <v>32.946730000000002</v>
      </c>
    </row>
    <row r="438" spans="1:2" x14ac:dyDescent="0.3">
      <c r="A438" s="2">
        <v>42118</v>
      </c>
      <c r="B438">
        <v>32.566600000000001</v>
      </c>
    </row>
    <row r="439" spans="1:2" x14ac:dyDescent="0.3">
      <c r="A439" s="2">
        <v>42111</v>
      </c>
      <c r="B439">
        <v>31.790500000000002</v>
      </c>
    </row>
    <row r="440" spans="1:2" x14ac:dyDescent="0.3">
      <c r="A440" s="2">
        <v>42104</v>
      </c>
      <c r="B440">
        <v>32.87227</v>
      </c>
    </row>
    <row r="441" spans="1:2" x14ac:dyDescent="0.3">
      <c r="A441" s="2">
        <v>42097</v>
      </c>
      <c r="B441">
        <v>31.682559999999999</v>
      </c>
    </row>
    <row r="442" spans="1:2" x14ac:dyDescent="0.3">
      <c r="A442" s="2">
        <v>42090</v>
      </c>
      <c r="B442">
        <v>31.754259999999999</v>
      </c>
    </row>
    <row r="443" spans="1:2" x14ac:dyDescent="0.3">
      <c r="A443" s="2">
        <v>42083</v>
      </c>
      <c r="B443">
        <v>31.898859999999999</v>
      </c>
    </row>
    <row r="444" spans="1:2" x14ac:dyDescent="0.3">
      <c r="A444" s="2">
        <v>42076</v>
      </c>
      <c r="B444">
        <v>30.5611</v>
      </c>
    </row>
    <row r="445" spans="1:2" x14ac:dyDescent="0.3">
      <c r="A445" s="2">
        <v>42069</v>
      </c>
      <c r="B445">
        <v>32.858939999999997</v>
      </c>
    </row>
    <row r="446" spans="1:2" x14ac:dyDescent="0.3">
      <c r="A446" s="2">
        <v>42062</v>
      </c>
      <c r="B446">
        <v>33.938760000000002</v>
      </c>
    </row>
    <row r="447" spans="1:2" x14ac:dyDescent="0.3">
      <c r="A447" s="2">
        <v>42055</v>
      </c>
      <c r="B447">
        <v>33.805309999999999</v>
      </c>
    </row>
    <row r="448" spans="1:2" x14ac:dyDescent="0.3">
      <c r="A448" s="2">
        <v>42048</v>
      </c>
      <c r="B448">
        <v>32.99194</v>
      </c>
    </row>
    <row r="449" spans="1:2" x14ac:dyDescent="0.3">
      <c r="A449" s="2">
        <v>42041</v>
      </c>
      <c r="B449">
        <v>32.55415</v>
      </c>
    </row>
    <row r="450" spans="1:2" x14ac:dyDescent="0.3">
      <c r="A450" s="2">
        <v>42034</v>
      </c>
      <c r="B450">
        <v>32.40446</v>
      </c>
    </row>
    <row r="451" spans="1:2" x14ac:dyDescent="0.3">
      <c r="A451" s="2">
        <v>42027</v>
      </c>
      <c r="B451">
        <v>31.317039999999999</v>
      </c>
    </row>
    <row r="452" spans="1:2" x14ac:dyDescent="0.3">
      <c r="A452" s="2">
        <v>42020</v>
      </c>
      <c r="B452">
        <v>31.89789</v>
      </c>
    </row>
    <row r="453" spans="1:2" x14ac:dyDescent="0.3">
      <c r="A453" s="2">
        <v>42013</v>
      </c>
      <c r="B453">
        <v>31.416930000000001</v>
      </c>
    </row>
    <row r="454" spans="1:2" x14ac:dyDescent="0.3">
      <c r="A454" s="2">
        <v>42006</v>
      </c>
      <c r="B454">
        <v>32.49906</v>
      </c>
    </row>
    <row r="455" spans="1:2" x14ac:dyDescent="0.3">
      <c r="A455" s="2">
        <v>41999</v>
      </c>
      <c r="B455">
        <v>33.212479999999999</v>
      </c>
    </row>
    <row r="456" spans="1:2" x14ac:dyDescent="0.3">
      <c r="A456" s="2">
        <v>41992</v>
      </c>
      <c r="B456">
        <v>32.828899999999997</v>
      </c>
    </row>
    <row r="457" spans="1:2" x14ac:dyDescent="0.3">
      <c r="A457" s="2">
        <v>41985</v>
      </c>
      <c r="B457">
        <v>32.617280000000001</v>
      </c>
    </row>
    <row r="458" spans="1:2" x14ac:dyDescent="0.3">
      <c r="A458" s="2">
        <v>41978</v>
      </c>
      <c r="B458">
        <v>33.105049999999999</v>
      </c>
    </row>
    <row r="459" spans="1:2" x14ac:dyDescent="0.3">
      <c r="A459" s="2">
        <v>41971</v>
      </c>
      <c r="B459">
        <v>33.115650000000002</v>
      </c>
    </row>
    <row r="460" spans="1:2" x14ac:dyDescent="0.3">
      <c r="A460" s="2">
        <v>41964</v>
      </c>
      <c r="B460">
        <v>31.323060000000002</v>
      </c>
    </row>
    <row r="461" spans="1:2" x14ac:dyDescent="0.3">
      <c r="A461" s="2">
        <v>41957</v>
      </c>
      <c r="B461">
        <v>30.390250000000002</v>
      </c>
    </row>
    <row r="462" spans="1:2" x14ac:dyDescent="0.3">
      <c r="A462" s="2">
        <v>41950</v>
      </c>
      <c r="B462">
        <v>30.958169999999999</v>
      </c>
    </row>
    <row r="463" spans="1:2" x14ac:dyDescent="0.3">
      <c r="A463" s="2">
        <v>41943</v>
      </c>
      <c r="B463">
        <v>31.519220000000001</v>
      </c>
    </row>
    <row r="464" spans="1:2" x14ac:dyDescent="0.3">
      <c r="A464" s="2">
        <v>41936</v>
      </c>
      <c r="B464">
        <v>30.320699999999999</v>
      </c>
    </row>
    <row r="465" spans="1:2" x14ac:dyDescent="0.3">
      <c r="A465" s="2">
        <v>41929</v>
      </c>
      <c r="B465">
        <v>29.501010000000001</v>
      </c>
    </row>
    <row r="466" spans="1:2" x14ac:dyDescent="0.3">
      <c r="A466" s="2">
        <v>41922</v>
      </c>
      <c r="B466">
        <v>29.093710000000002</v>
      </c>
    </row>
    <row r="467" spans="1:2" x14ac:dyDescent="0.3">
      <c r="A467" s="2">
        <v>41915</v>
      </c>
      <c r="B467">
        <v>30.975930000000002</v>
      </c>
    </row>
    <row r="468" spans="1:2" x14ac:dyDescent="0.3">
      <c r="A468" s="2">
        <v>41908</v>
      </c>
      <c r="B468">
        <v>32.268129999999999</v>
      </c>
    </row>
    <row r="469" spans="1:2" x14ac:dyDescent="0.3">
      <c r="A469" s="2">
        <v>41901</v>
      </c>
      <c r="B469">
        <v>33.539050000000003</v>
      </c>
    </row>
    <row r="470" spans="1:2" x14ac:dyDescent="0.3">
      <c r="A470" s="2">
        <v>41894</v>
      </c>
      <c r="B470">
        <v>32.843679999999999</v>
      </c>
    </row>
    <row r="471" spans="1:2" x14ac:dyDescent="0.3">
      <c r="A471" s="2">
        <v>41887</v>
      </c>
      <c r="B471">
        <v>33.3294</v>
      </c>
    </row>
    <row r="472" spans="1:2" x14ac:dyDescent="0.3">
      <c r="A472" s="2">
        <v>41880</v>
      </c>
      <c r="B472">
        <v>32.70476</v>
      </c>
    </row>
    <row r="473" spans="1:2" x14ac:dyDescent="0.3">
      <c r="A473" s="2">
        <v>41873</v>
      </c>
      <c r="B473">
        <v>32.451239999999999</v>
      </c>
    </row>
    <row r="474" spans="1:2" x14ac:dyDescent="0.3">
      <c r="A474" s="2">
        <v>41866</v>
      </c>
      <c r="B474">
        <v>31.631119999999999</v>
      </c>
    </row>
    <row r="475" spans="1:2" x14ac:dyDescent="0.3">
      <c r="A475" s="2">
        <v>41859</v>
      </c>
      <c r="B475">
        <v>31.54102</v>
      </c>
    </row>
    <row r="476" spans="1:2" x14ac:dyDescent="0.3">
      <c r="A476" s="2">
        <v>41852</v>
      </c>
      <c r="B476">
        <v>31.495699999999999</v>
      </c>
    </row>
    <row r="477" spans="1:2" x14ac:dyDescent="0.3">
      <c r="A477" s="2">
        <v>41845</v>
      </c>
      <c r="B477">
        <v>33.38449</v>
      </c>
    </row>
    <row r="478" spans="1:2" x14ac:dyDescent="0.3">
      <c r="A478" s="2">
        <v>41838</v>
      </c>
      <c r="B478">
        <v>34.48021</v>
      </c>
    </row>
    <row r="479" spans="1:2" x14ac:dyDescent="0.3">
      <c r="A479" s="2">
        <v>41831</v>
      </c>
      <c r="B479">
        <v>35.197760000000002</v>
      </c>
    </row>
    <row r="480" spans="1:2" x14ac:dyDescent="0.3">
      <c r="A480" s="2">
        <v>41824</v>
      </c>
      <c r="B480">
        <v>36.60595</v>
      </c>
    </row>
    <row r="481" spans="1:2" x14ac:dyDescent="0.3">
      <c r="A481" s="2">
        <v>41817</v>
      </c>
      <c r="B481">
        <v>36.148650000000004</v>
      </c>
    </row>
    <row r="482" spans="1:2" x14ac:dyDescent="0.3">
      <c r="A482" s="2">
        <v>41810</v>
      </c>
      <c r="B482">
        <v>35.77346</v>
      </c>
    </row>
    <row r="483" spans="1:2" x14ac:dyDescent="0.3">
      <c r="A483" s="2">
        <v>41803</v>
      </c>
      <c r="B483">
        <v>35.715069999999997</v>
      </c>
    </row>
    <row r="484" spans="1:2" x14ac:dyDescent="0.3">
      <c r="A484" s="2">
        <v>41796</v>
      </c>
      <c r="B484">
        <v>37.364040000000003</v>
      </c>
    </row>
    <row r="485" spans="1:2" x14ac:dyDescent="0.3">
      <c r="A485" s="2">
        <v>41789</v>
      </c>
      <c r="B485">
        <v>37.028489999999998</v>
      </c>
    </row>
    <row r="486" spans="1:2" x14ac:dyDescent="0.3">
      <c r="A486" s="2">
        <v>41782</v>
      </c>
      <c r="B486">
        <v>36.938690000000001</v>
      </c>
    </row>
    <row r="487" spans="1:2" x14ac:dyDescent="0.3">
      <c r="A487" s="2">
        <v>41775</v>
      </c>
      <c r="B487">
        <v>36.522680000000001</v>
      </c>
    </row>
    <row r="488" spans="1:2" x14ac:dyDescent="0.3">
      <c r="A488" s="2">
        <v>41768</v>
      </c>
      <c r="B488">
        <v>37.579979999999999</v>
      </c>
    </row>
    <row r="489" spans="1:2" x14ac:dyDescent="0.3">
      <c r="A489" s="2">
        <v>41761</v>
      </c>
      <c r="B489">
        <v>37.16245</v>
      </c>
    </row>
    <row r="490" spans="1:2" x14ac:dyDescent="0.3">
      <c r="A490" s="2">
        <v>41754</v>
      </c>
      <c r="B490">
        <v>36.739890000000003</v>
      </c>
    </row>
    <row r="491" spans="1:2" x14ac:dyDescent="0.3">
      <c r="A491" s="2">
        <v>41747</v>
      </c>
      <c r="B491">
        <v>37.000369999999997</v>
      </c>
    </row>
    <row r="492" spans="1:2" x14ac:dyDescent="0.3">
      <c r="A492" s="2">
        <v>41740</v>
      </c>
      <c r="B492">
        <v>36.757570000000001</v>
      </c>
    </row>
    <row r="493" spans="1:2" x14ac:dyDescent="0.3">
      <c r="A493" s="2">
        <v>41733</v>
      </c>
      <c r="B493">
        <v>38.442529999999998</v>
      </c>
    </row>
    <row r="494" spans="1:2" x14ac:dyDescent="0.3">
      <c r="A494" s="2">
        <v>41726</v>
      </c>
      <c r="B494">
        <v>37.683219999999999</v>
      </c>
    </row>
    <row r="495" spans="1:2" x14ac:dyDescent="0.3">
      <c r="A495" s="2">
        <v>41719</v>
      </c>
      <c r="B495">
        <v>35.13841</v>
      </c>
    </row>
    <row r="496" spans="1:2" x14ac:dyDescent="0.3">
      <c r="A496" s="2">
        <v>41712</v>
      </c>
      <c r="B496">
        <v>34.951549999999997</v>
      </c>
    </row>
    <row r="497" spans="1:2" x14ac:dyDescent="0.3">
      <c r="A497" s="2">
        <v>41705</v>
      </c>
      <c r="B497">
        <v>36.581440000000001</v>
      </c>
    </row>
    <row r="498" spans="1:2" x14ac:dyDescent="0.3">
      <c r="A498" s="2">
        <v>41698</v>
      </c>
      <c r="B498">
        <v>37.336829999999999</v>
      </c>
    </row>
    <row r="499" spans="1:2" x14ac:dyDescent="0.3">
      <c r="A499" s="2">
        <v>41691</v>
      </c>
      <c r="B499">
        <v>36.356540000000003</v>
      </c>
    </row>
    <row r="500" spans="1:2" x14ac:dyDescent="0.3">
      <c r="A500" s="2">
        <v>41684</v>
      </c>
      <c r="B500">
        <v>36.073999999999998</v>
      </c>
    </row>
    <row r="501" spans="1:2" x14ac:dyDescent="0.3">
      <c r="A501" s="2">
        <v>41677</v>
      </c>
      <c r="B501">
        <v>34.883380000000002</v>
      </c>
    </row>
    <row r="502" spans="1:2" x14ac:dyDescent="0.3">
      <c r="A502" s="2">
        <v>41670</v>
      </c>
      <c r="B502">
        <v>34.707850000000001</v>
      </c>
    </row>
    <row r="503" spans="1:2" x14ac:dyDescent="0.3">
      <c r="A503" s="2">
        <v>41663</v>
      </c>
      <c r="B503">
        <v>34.672719999999998</v>
      </c>
    </row>
    <row r="504" spans="1:2" x14ac:dyDescent="0.3">
      <c r="A504" s="2">
        <v>41656</v>
      </c>
      <c r="B504">
        <v>35.934229999999999</v>
      </c>
    </row>
    <row r="505" spans="1:2" x14ac:dyDescent="0.3">
      <c r="A505" s="2">
        <v>41649</v>
      </c>
      <c r="B505">
        <v>35.626269999999998</v>
      </c>
    </row>
    <row r="506" spans="1:2" x14ac:dyDescent="0.3">
      <c r="A506" s="2">
        <v>41642</v>
      </c>
      <c r="B506">
        <v>35.393410000000003</v>
      </c>
    </row>
    <row r="507" spans="1:2" x14ac:dyDescent="0.3">
      <c r="A507" s="2">
        <v>41635</v>
      </c>
      <c r="B507">
        <v>36.719259999999998</v>
      </c>
    </row>
    <row r="508" spans="1:2" x14ac:dyDescent="0.3">
      <c r="A508" s="2">
        <v>41628</v>
      </c>
      <c r="B508">
        <v>35.911589999999997</v>
      </c>
    </row>
    <row r="509" spans="1:2" x14ac:dyDescent="0.3">
      <c r="A509" s="2">
        <v>41621</v>
      </c>
      <c r="B509">
        <v>33.876600000000003</v>
      </c>
    </row>
    <row r="510" spans="1:2" x14ac:dyDescent="0.3">
      <c r="A510" s="2">
        <v>41614</v>
      </c>
      <c r="B510">
        <v>34.685119999999998</v>
      </c>
    </row>
    <row r="511" spans="1:2" x14ac:dyDescent="0.3">
      <c r="A511" s="2">
        <v>41607</v>
      </c>
      <c r="B511">
        <v>35.296430000000001</v>
      </c>
    </row>
    <row r="512" spans="1:2" x14ac:dyDescent="0.3">
      <c r="A512" s="2">
        <v>41600</v>
      </c>
      <c r="B512">
        <v>33.614629999999998</v>
      </c>
    </row>
    <row r="513" spans="1:2" x14ac:dyDescent="0.3">
      <c r="A513" s="2">
        <v>41593</v>
      </c>
      <c r="B513">
        <v>33.88449</v>
      </c>
    </row>
    <row r="514" spans="1:2" x14ac:dyDescent="0.3">
      <c r="A514" s="2">
        <v>41586</v>
      </c>
      <c r="B514">
        <v>32.588749999999997</v>
      </c>
    </row>
    <row r="515" spans="1:2" x14ac:dyDescent="0.3">
      <c r="A515" s="2">
        <v>41579</v>
      </c>
      <c r="B515">
        <v>33.487839999999998</v>
      </c>
    </row>
    <row r="516" spans="1:2" x14ac:dyDescent="0.3">
      <c r="A516" s="2">
        <v>41572</v>
      </c>
      <c r="B516">
        <v>34.508189999999999</v>
      </c>
    </row>
    <row r="517" spans="1:2" x14ac:dyDescent="0.3">
      <c r="A517" s="2">
        <v>41565</v>
      </c>
      <c r="B517">
        <v>32.819719999999997</v>
      </c>
    </row>
    <row r="518" spans="1:2" x14ac:dyDescent="0.3">
      <c r="A518" s="2">
        <v>41558</v>
      </c>
      <c r="B518">
        <v>32.466520000000003</v>
      </c>
    </row>
    <row r="519" spans="1:2" x14ac:dyDescent="0.3">
      <c r="A519" s="2">
        <v>41551</v>
      </c>
      <c r="B519">
        <v>32.673870000000001</v>
      </c>
    </row>
    <row r="520" spans="1:2" x14ac:dyDescent="0.3">
      <c r="A520" s="2">
        <v>41544</v>
      </c>
      <c r="B520">
        <v>33.32338</v>
      </c>
    </row>
    <row r="521" spans="1:2" x14ac:dyDescent="0.3">
      <c r="A521" s="2">
        <v>41537</v>
      </c>
      <c r="B521">
        <v>33.21555</v>
      </c>
    </row>
    <row r="522" spans="1:2" x14ac:dyDescent="0.3">
      <c r="A522" s="2">
        <v>41530</v>
      </c>
      <c r="B522">
        <v>30.95008</v>
      </c>
    </row>
    <row r="523" spans="1:2" x14ac:dyDescent="0.3">
      <c r="A523" s="2">
        <v>41523</v>
      </c>
      <c r="B523">
        <v>30.059989999999999</v>
      </c>
    </row>
    <row r="524" spans="1:2" x14ac:dyDescent="0.3">
      <c r="A524" s="2">
        <v>41516</v>
      </c>
      <c r="B524">
        <v>28.791319999999999</v>
      </c>
    </row>
    <row r="525" spans="1:2" x14ac:dyDescent="0.3">
      <c r="A525" s="2">
        <v>41509</v>
      </c>
      <c r="B525">
        <v>29.719139999999999</v>
      </c>
    </row>
    <row r="526" spans="1:2" x14ac:dyDescent="0.3">
      <c r="A526" s="2">
        <v>41502</v>
      </c>
      <c r="B526">
        <v>28.782360000000001</v>
      </c>
    </row>
    <row r="527" spans="1:2" x14ac:dyDescent="0.3">
      <c r="A527" s="2">
        <v>41495</v>
      </c>
      <c r="B527">
        <v>29.02103</v>
      </c>
    </row>
    <row r="528" spans="1:2" x14ac:dyDescent="0.3">
      <c r="A528" s="2">
        <v>41488</v>
      </c>
      <c r="B528">
        <v>28.412780000000001</v>
      </c>
    </row>
    <row r="529" spans="1:2" x14ac:dyDescent="0.3">
      <c r="A529" s="2">
        <v>41481</v>
      </c>
      <c r="B529">
        <v>28.100480000000001</v>
      </c>
    </row>
    <row r="530" spans="1:2" x14ac:dyDescent="0.3">
      <c r="A530" s="2">
        <v>41474</v>
      </c>
      <c r="B530">
        <v>27.381679999999999</v>
      </c>
    </row>
    <row r="531" spans="1:2" x14ac:dyDescent="0.3">
      <c r="A531" s="2">
        <v>41467</v>
      </c>
      <c r="B531">
        <v>26.129770000000001</v>
      </c>
    </row>
    <row r="532" spans="1:2" x14ac:dyDescent="0.3">
      <c r="A532" s="2">
        <v>41460</v>
      </c>
      <c r="B532">
        <v>24.665030000000002</v>
      </c>
    </row>
    <row r="533" spans="1:2" x14ac:dyDescent="0.3">
      <c r="A533" s="2">
        <v>41453</v>
      </c>
      <c r="B533">
        <v>24.865559999999999</v>
      </c>
    </row>
    <row r="534" spans="1:2" x14ac:dyDescent="0.3">
      <c r="A534" s="2">
        <v>41446</v>
      </c>
      <c r="B534">
        <v>24.956659999999999</v>
      </c>
    </row>
    <row r="535" spans="1:2" x14ac:dyDescent="0.3">
      <c r="A535" s="2">
        <v>41439</v>
      </c>
      <c r="B535">
        <v>25.640999999999998</v>
      </c>
    </row>
    <row r="536" spans="1:2" x14ac:dyDescent="0.3">
      <c r="A536" s="2">
        <v>41432</v>
      </c>
      <c r="B536">
        <v>25.80273</v>
      </c>
    </row>
    <row r="537" spans="1:2" x14ac:dyDescent="0.3">
      <c r="A537" s="2">
        <v>41425</v>
      </c>
      <c r="B537">
        <v>25.41019</v>
      </c>
    </row>
    <row r="538" spans="1:2" x14ac:dyDescent="0.3">
      <c r="A538" s="2">
        <v>41418</v>
      </c>
      <c r="B538">
        <v>26.064080000000001</v>
      </c>
    </row>
    <row r="539" spans="1:2" x14ac:dyDescent="0.3">
      <c r="A539" s="2">
        <v>41411</v>
      </c>
      <c r="B539">
        <v>25.48282</v>
      </c>
    </row>
    <row r="540" spans="1:2" x14ac:dyDescent="0.3">
      <c r="A540" s="2">
        <v>41404</v>
      </c>
      <c r="B540">
        <v>24.949000000000002</v>
      </c>
    </row>
    <row r="541" spans="1:2" x14ac:dyDescent="0.3">
      <c r="A541" s="2">
        <v>41397</v>
      </c>
      <c r="B541">
        <v>23.97926</v>
      </c>
    </row>
    <row r="542" spans="1:2" x14ac:dyDescent="0.3">
      <c r="A542" s="2">
        <v>41390</v>
      </c>
      <c r="B542">
        <v>23.434200000000001</v>
      </c>
    </row>
    <row r="543" spans="1:2" x14ac:dyDescent="0.3">
      <c r="A543" s="2">
        <v>41383</v>
      </c>
      <c r="B543">
        <v>22.777519999999999</v>
      </c>
    </row>
    <row r="544" spans="1:2" x14ac:dyDescent="0.3">
      <c r="A544" s="2">
        <v>41376</v>
      </c>
      <c r="B544">
        <v>23.034109999999998</v>
      </c>
    </row>
    <row r="545" spans="1:2" x14ac:dyDescent="0.3">
      <c r="A545" s="2">
        <v>41369</v>
      </c>
      <c r="B545">
        <v>22.578859999999999</v>
      </c>
    </row>
    <row r="546" spans="1:2" x14ac:dyDescent="0.3">
      <c r="A546" s="2">
        <v>41362</v>
      </c>
      <c r="B546">
        <v>23.1373</v>
      </c>
    </row>
    <row r="547" spans="1:2" x14ac:dyDescent="0.3">
      <c r="A547" s="2">
        <v>41355</v>
      </c>
      <c r="B547">
        <v>23.554300000000001</v>
      </c>
    </row>
    <row r="548" spans="1:2" x14ac:dyDescent="0.3">
      <c r="A548" s="2">
        <v>41348</v>
      </c>
      <c r="B548">
        <v>24.398869999999999</v>
      </c>
    </row>
    <row r="549" spans="1:2" x14ac:dyDescent="0.3">
      <c r="A549" s="2">
        <v>41341</v>
      </c>
      <c r="B549">
        <v>23.76521</v>
      </c>
    </row>
    <row r="550" spans="1:2" x14ac:dyDescent="0.3">
      <c r="A550" s="2">
        <v>41334</v>
      </c>
      <c r="B550">
        <v>22.588740000000001</v>
      </c>
    </row>
    <row r="551" spans="1:2" x14ac:dyDescent="0.3">
      <c r="A551" s="2">
        <v>41327</v>
      </c>
      <c r="B551">
        <v>22.64723</v>
      </c>
    </row>
    <row r="552" spans="1:2" x14ac:dyDescent="0.3">
      <c r="A552" s="2">
        <v>41320</v>
      </c>
      <c r="B552">
        <v>22.628350000000001</v>
      </c>
    </row>
    <row r="553" spans="1:2" x14ac:dyDescent="0.3">
      <c r="A553" s="2">
        <v>41313</v>
      </c>
      <c r="B553">
        <v>22.62471</v>
      </c>
    </row>
    <row r="554" spans="1:2" x14ac:dyDescent="0.3">
      <c r="A554" s="2">
        <v>41306</v>
      </c>
      <c r="B554">
        <v>23.931090000000001</v>
      </c>
    </row>
    <row r="555" spans="1:2" x14ac:dyDescent="0.3">
      <c r="A555" s="2">
        <v>41299</v>
      </c>
      <c r="B555">
        <v>23.554449999999999</v>
      </c>
    </row>
    <row r="556" spans="1:2" x14ac:dyDescent="0.3">
      <c r="A556" s="2">
        <v>41292</v>
      </c>
      <c r="B556">
        <v>23.05199</v>
      </c>
    </row>
    <row r="557" spans="1:2" x14ac:dyDescent="0.3">
      <c r="A557" s="2">
        <v>41285</v>
      </c>
      <c r="B557">
        <v>22.645199999999999</v>
      </c>
    </row>
    <row r="558" spans="1:2" x14ac:dyDescent="0.3">
      <c r="A558" s="2">
        <v>41278</v>
      </c>
      <c r="B558">
        <v>21.922319999999999</v>
      </c>
    </row>
    <row r="559" spans="1:2" x14ac:dyDescent="0.3">
      <c r="A559" s="2">
        <v>41271</v>
      </c>
      <c r="B559">
        <v>21.948519999999998</v>
      </c>
    </row>
    <row r="560" spans="1:2" x14ac:dyDescent="0.3">
      <c r="A560" s="2">
        <v>41264</v>
      </c>
      <c r="B560">
        <v>21.886880000000001</v>
      </c>
    </row>
    <row r="561" spans="1:2" x14ac:dyDescent="0.3">
      <c r="A561" s="2">
        <v>41257</v>
      </c>
      <c r="B561">
        <v>21.542850000000001</v>
      </c>
    </row>
    <row r="562" spans="1:2" x14ac:dyDescent="0.3">
      <c r="A562" s="2">
        <v>41250</v>
      </c>
      <c r="B562">
        <v>21.415700000000001</v>
      </c>
    </row>
    <row r="563" spans="1:2" x14ac:dyDescent="0.3">
      <c r="A563" s="2">
        <v>41243</v>
      </c>
      <c r="B563">
        <v>20.764189999999999</v>
      </c>
    </row>
    <row r="564" spans="1:2" x14ac:dyDescent="0.3">
      <c r="A564" s="2">
        <v>41236</v>
      </c>
      <c r="B564">
        <v>20.517880000000002</v>
      </c>
    </row>
    <row r="565" spans="1:2" x14ac:dyDescent="0.3">
      <c r="A565" s="2">
        <v>41229</v>
      </c>
      <c r="B565">
        <v>19.07178</v>
      </c>
    </row>
    <row r="566" spans="1:2" x14ac:dyDescent="0.3">
      <c r="A566" s="2">
        <v>41222</v>
      </c>
      <c r="B566">
        <v>18.968499999999999</v>
      </c>
    </row>
    <row r="567" spans="1:2" x14ac:dyDescent="0.3">
      <c r="A567" s="2">
        <v>41215</v>
      </c>
      <c r="B567">
        <v>20.042190000000002</v>
      </c>
    </row>
    <row r="568" spans="1:2" x14ac:dyDescent="0.3">
      <c r="A568" s="2">
        <v>41208</v>
      </c>
      <c r="B568">
        <v>20.558700000000002</v>
      </c>
    </row>
    <row r="569" spans="1:2" x14ac:dyDescent="0.3">
      <c r="A569" s="2">
        <v>41201</v>
      </c>
      <c r="B569">
        <v>20.983280000000001</v>
      </c>
    </row>
    <row r="570" spans="1:2" x14ac:dyDescent="0.3">
      <c r="A570" s="2">
        <v>41194</v>
      </c>
      <c r="B570">
        <v>20.059550000000002</v>
      </c>
    </row>
    <row r="571" spans="1:2" x14ac:dyDescent="0.3">
      <c r="A571" s="2">
        <v>41187</v>
      </c>
      <c r="B571">
        <v>20.03482</v>
      </c>
    </row>
    <row r="572" spans="1:2" x14ac:dyDescent="0.3">
      <c r="A572" s="2">
        <v>41180</v>
      </c>
      <c r="B572">
        <v>19.661650000000002</v>
      </c>
    </row>
    <row r="573" spans="1:2" x14ac:dyDescent="0.3">
      <c r="A573" s="2">
        <v>41173</v>
      </c>
      <c r="B573">
        <v>20.244109999999999</v>
      </c>
    </row>
    <row r="574" spans="1:2" x14ac:dyDescent="0.3">
      <c r="A574" s="2">
        <v>41166</v>
      </c>
      <c r="B574">
        <v>20.18666</v>
      </c>
    </row>
    <row r="575" spans="1:2" x14ac:dyDescent="0.3">
      <c r="A575" s="2">
        <v>41159</v>
      </c>
      <c r="B575">
        <v>19.71424</v>
      </c>
    </row>
    <row r="576" spans="1:2" x14ac:dyDescent="0.3">
      <c r="A576" s="2">
        <v>41152</v>
      </c>
      <c r="B576">
        <v>19.38448</v>
      </c>
    </row>
    <row r="577" spans="1:2" x14ac:dyDescent="0.3">
      <c r="A577" s="2">
        <v>41145</v>
      </c>
      <c r="B577">
        <v>19.217690000000001</v>
      </c>
    </row>
    <row r="578" spans="1:2" x14ac:dyDescent="0.3">
      <c r="A578" s="2">
        <v>41138</v>
      </c>
      <c r="B578">
        <v>19.5733</v>
      </c>
    </row>
    <row r="579" spans="1:2" x14ac:dyDescent="0.3">
      <c r="A579" s="2">
        <v>41131</v>
      </c>
      <c r="B579">
        <v>18.93891</v>
      </c>
    </row>
    <row r="580" spans="1:2" x14ac:dyDescent="0.3">
      <c r="A580" s="2">
        <v>41124</v>
      </c>
      <c r="B580">
        <v>19.05134</v>
      </c>
    </row>
    <row r="581" spans="1:2" x14ac:dyDescent="0.3">
      <c r="A581" s="2">
        <v>41117</v>
      </c>
      <c r="B581">
        <v>18.311589999999999</v>
      </c>
    </row>
    <row r="582" spans="1:2" x14ac:dyDescent="0.3">
      <c r="A582" s="2">
        <v>41110</v>
      </c>
      <c r="B582">
        <v>17.772580000000001</v>
      </c>
    </row>
    <row r="583" spans="1:2" x14ac:dyDescent="0.3">
      <c r="A583" s="2">
        <v>41103</v>
      </c>
      <c r="B583">
        <v>17.546800000000001</v>
      </c>
    </row>
    <row r="584" spans="1:2" x14ac:dyDescent="0.3">
      <c r="A584" s="2">
        <v>41096</v>
      </c>
      <c r="B584">
        <v>17.336040000000001</v>
      </c>
    </row>
    <row r="585" spans="1:2" x14ac:dyDescent="0.3">
      <c r="A585" s="2">
        <v>41089</v>
      </c>
      <c r="B585">
        <v>17.572240000000001</v>
      </c>
    </row>
    <row r="586" spans="1:2" x14ac:dyDescent="0.3">
      <c r="A586" s="2">
        <v>41082</v>
      </c>
      <c r="B586">
        <v>16.877050000000001</v>
      </c>
    </row>
    <row r="587" spans="1:2" x14ac:dyDescent="0.3">
      <c r="A587" s="2">
        <v>41075</v>
      </c>
      <c r="B587">
        <v>16.807009999999998</v>
      </c>
    </row>
    <row r="588" spans="1:2" x14ac:dyDescent="0.3">
      <c r="A588" s="2">
        <v>41068</v>
      </c>
      <c r="B588">
        <v>16.488189999999999</v>
      </c>
    </row>
    <row r="589" spans="1:2" x14ac:dyDescent="0.3">
      <c r="A589" s="2">
        <v>41061</v>
      </c>
      <c r="B589">
        <v>16.032330000000002</v>
      </c>
    </row>
    <row r="590" spans="1:2" x14ac:dyDescent="0.3">
      <c r="A590" s="2">
        <v>41054</v>
      </c>
      <c r="B590">
        <v>16.707529999999998</v>
      </c>
    </row>
    <row r="591" spans="1:2" x14ac:dyDescent="0.3">
      <c r="A591" s="2">
        <v>41047</v>
      </c>
      <c r="B591">
        <v>16.461179999999999</v>
      </c>
    </row>
    <row r="592" spans="1:2" x14ac:dyDescent="0.3">
      <c r="A592" s="2">
        <v>41040</v>
      </c>
      <c r="B592">
        <v>17.83408</v>
      </c>
    </row>
    <row r="593" spans="1:2" x14ac:dyDescent="0.3">
      <c r="A593" s="2">
        <v>41033</v>
      </c>
      <c r="B593">
        <v>18.426600000000001</v>
      </c>
    </row>
    <row r="594" spans="1:2" x14ac:dyDescent="0.3">
      <c r="A594" s="2">
        <v>41026</v>
      </c>
      <c r="B594">
        <v>18.981269999999999</v>
      </c>
    </row>
    <row r="595" spans="1:2" x14ac:dyDescent="0.3">
      <c r="A595" s="2">
        <v>41019</v>
      </c>
      <c r="B595">
        <v>18.556249999999999</v>
      </c>
    </row>
    <row r="596" spans="1:2" x14ac:dyDescent="0.3">
      <c r="A596" s="2">
        <v>41012</v>
      </c>
      <c r="B596">
        <v>18.373860000000001</v>
      </c>
    </row>
    <row r="597" spans="1:2" x14ac:dyDescent="0.3">
      <c r="A597" s="2">
        <v>41005</v>
      </c>
      <c r="B597">
        <v>18.41883</v>
      </c>
    </row>
    <row r="598" spans="1:2" x14ac:dyDescent="0.3">
      <c r="A598" s="2">
        <v>40998</v>
      </c>
      <c r="B598">
        <v>19.25141</v>
      </c>
    </row>
    <row r="599" spans="1:2" x14ac:dyDescent="0.3">
      <c r="A599" s="2">
        <v>40991</v>
      </c>
      <c r="B599">
        <v>19.01914</v>
      </c>
    </row>
    <row r="600" spans="1:2" x14ac:dyDescent="0.3">
      <c r="A600" s="2">
        <v>40984</v>
      </c>
      <c r="B600">
        <v>18.673639999999999</v>
      </c>
    </row>
    <row r="601" spans="1:2" x14ac:dyDescent="0.3">
      <c r="A601" s="2">
        <v>40977</v>
      </c>
      <c r="B601">
        <v>17.97166</v>
      </c>
    </row>
    <row r="602" spans="1:2" x14ac:dyDescent="0.3">
      <c r="A602" s="2">
        <v>40970</v>
      </c>
      <c r="B602">
        <v>17.81503</v>
      </c>
    </row>
    <row r="603" spans="1:2" x14ac:dyDescent="0.3">
      <c r="A603" s="2">
        <v>40963</v>
      </c>
      <c r="B603">
        <v>17.71058</v>
      </c>
    </row>
    <row r="604" spans="1:2" x14ac:dyDescent="0.3">
      <c r="A604" s="2">
        <v>40956</v>
      </c>
      <c r="B604">
        <v>17.993300000000001</v>
      </c>
    </row>
    <row r="605" spans="1:2" x14ac:dyDescent="0.3">
      <c r="A605" s="2">
        <v>40949</v>
      </c>
      <c r="B605">
        <v>17.26435</v>
      </c>
    </row>
    <row r="606" spans="1:2" x14ac:dyDescent="0.3">
      <c r="A606" s="2">
        <v>40942</v>
      </c>
      <c r="B606">
        <v>17.436769999999999</v>
      </c>
    </row>
    <row r="607" spans="1:2" x14ac:dyDescent="0.3">
      <c r="A607" s="2">
        <v>40935</v>
      </c>
      <c r="B607">
        <v>16.678280000000001</v>
      </c>
    </row>
    <row r="608" spans="1:2" x14ac:dyDescent="0.3">
      <c r="A608" s="2">
        <v>40928</v>
      </c>
      <c r="B608">
        <v>16.415900000000001</v>
      </c>
    </row>
    <row r="609" spans="1:2" x14ac:dyDescent="0.3">
      <c r="A609" s="2">
        <v>40921</v>
      </c>
      <c r="B609">
        <v>15.71438</v>
      </c>
    </row>
    <row r="610" spans="1:2" x14ac:dyDescent="0.3">
      <c r="A610" s="2">
        <v>40914</v>
      </c>
      <c r="B610">
        <v>15.56414</v>
      </c>
    </row>
    <row r="611" spans="1:2" x14ac:dyDescent="0.3">
      <c r="A611" s="2">
        <v>40907</v>
      </c>
      <c r="B611">
        <v>15.39648</v>
      </c>
    </row>
    <row r="612" spans="1:2" x14ac:dyDescent="0.3">
      <c r="A612" s="2">
        <v>40900</v>
      </c>
      <c r="B612">
        <v>15.2011</v>
      </c>
    </row>
    <row r="613" spans="1:2" x14ac:dyDescent="0.3">
      <c r="A613" s="2">
        <v>40893</v>
      </c>
      <c r="B613">
        <v>14.339219999999999</v>
      </c>
    </row>
    <row r="614" spans="1:2" x14ac:dyDescent="0.3">
      <c r="A614" s="2">
        <v>40886</v>
      </c>
      <c r="B614">
        <v>14.593360000000001</v>
      </c>
    </row>
    <row r="615" spans="1:2" x14ac:dyDescent="0.3">
      <c r="A615" s="2">
        <v>40879</v>
      </c>
      <c r="B615">
        <v>14.95998</v>
      </c>
    </row>
    <row r="616" spans="1:2" x14ac:dyDescent="0.3">
      <c r="A616" s="2">
        <v>40872</v>
      </c>
      <c r="B616">
        <v>13.671329999999999</v>
      </c>
    </row>
    <row r="617" spans="1:2" x14ac:dyDescent="0.3">
      <c r="A617" s="2">
        <v>40865</v>
      </c>
      <c r="B617">
        <v>15.101900000000001</v>
      </c>
    </row>
    <row r="618" spans="1:2" x14ac:dyDescent="0.3">
      <c r="A618" s="2">
        <v>40858</v>
      </c>
      <c r="B618">
        <v>15.748329999999999</v>
      </c>
    </row>
    <row r="619" spans="1:2" x14ac:dyDescent="0.3">
      <c r="A619" s="2">
        <v>40851</v>
      </c>
      <c r="B619">
        <v>14.86304</v>
      </c>
    </row>
    <row r="620" spans="1:2" x14ac:dyDescent="0.3">
      <c r="A620" s="2">
        <v>40844</v>
      </c>
      <c r="B620">
        <v>16.045549999999999</v>
      </c>
    </row>
    <row r="621" spans="1:2" x14ac:dyDescent="0.3">
      <c r="A621" s="2">
        <v>40837</v>
      </c>
      <c r="B621">
        <v>14.978339999999999</v>
      </c>
    </row>
    <row r="622" spans="1:2" x14ac:dyDescent="0.3">
      <c r="A622" s="2">
        <v>40830</v>
      </c>
      <c r="B622">
        <v>14.84506</v>
      </c>
    </row>
    <row r="623" spans="1:2" x14ac:dyDescent="0.3">
      <c r="A623" s="2">
        <v>40823</v>
      </c>
      <c r="B623">
        <v>13.13353</v>
      </c>
    </row>
    <row r="624" spans="1:2" x14ac:dyDescent="0.3">
      <c r="A624" s="2">
        <v>40816</v>
      </c>
      <c r="B624">
        <v>12.917759999999999</v>
      </c>
    </row>
    <row r="625" spans="1:2" x14ac:dyDescent="0.3">
      <c r="A625" s="2">
        <v>40809</v>
      </c>
      <c r="B625">
        <v>12.35468</v>
      </c>
    </row>
    <row r="626" spans="1:2" x14ac:dyDescent="0.3">
      <c r="A626" s="2">
        <v>40802</v>
      </c>
      <c r="B626">
        <v>14.2385</v>
      </c>
    </row>
    <row r="627" spans="1:2" x14ac:dyDescent="0.3">
      <c r="A627" s="2">
        <v>40795</v>
      </c>
      <c r="B627">
        <v>13.492419999999999</v>
      </c>
    </row>
    <row r="628" spans="1:2" x14ac:dyDescent="0.3">
      <c r="A628" s="2">
        <v>40788</v>
      </c>
      <c r="B628">
        <v>14.57938</v>
      </c>
    </row>
    <row r="629" spans="1:2" x14ac:dyDescent="0.3">
      <c r="A629" s="2">
        <v>40781</v>
      </c>
      <c r="B629">
        <v>14.69936</v>
      </c>
    </row>
    <row r="630" spans="1:2" x14ac:dyDescent="0.3">
      <c r="A630" s="2">
        <v>40774</v>
      </c>
      <c r="B630">
        <v>14.544</v>
      </c>
    </row>
    <row r="631" spans="1:2" x14ac:dyDescent="0.3">
      <c r="A631" s="2">
        <v>40767</v>
      </c>
      <c r="B631">
        <v>15.715439999999999</v>
      </c>
    </row>
    <row r="632" spans="1:2" x14ac:dyDescent="0.3">
      <c r="A632" s="2">
        <v>40760</v>
      </c>
      <c r="B632">
        <v>16.666650000000001</v>
      </c>
    </row>
    <row r="633" spans="1:2" x14ac:dyDescent="0.3">
      <c r="A633" s="2">
        <v>40753</v>
      </c>
      <c r="B633">
        <v>17.79053</v>
      </c>
    </row>
    <row r="634" spans="1:2" x14ac:dyDescent="0.3">
      <c r="A634" s="2">
        <v>40746</v>
      </c>
      <c r="B634">
        <v>18.17173</v>
      </c>
    </row>
    <row r="635" spans="1:2" x14ac:dyDescent="0.3">
      <c r="A635" s="2">
        <v>40739</v>
      </c>
      <c r="B635">
        <v>17.656700000000001</v>
      </c>
    </row>
    <row r="636" spans="1:2" x14ac:dyDescent="0.3">
      <c r="A636" s="2">
        <v>40732</v>
      </c>
      <c r="B636">
        <v>18.741579999999999</v>
      </c>
    </row>
    <row r="637" spans="1:2" x14ac:dyDescent="0.3">
      <c r="A637" s="2">
        <v>40725</v>
      </c>
      <c r="B637">
        <v>19.183540000000001</v>
      </c>
    </row>
    <row r="638" spans="1:2" x14ac:dyDescent="0.3">
      <c r="A638" s="2">
        <v>40718</v>
      </c>
      <c r="B638">
        <v>17.944279999999999</v>
      </c>
    </row>
    <row r="639" spans="1:2" x14ac:dyDescent="0.3">
      <c r="A639" s="2">
        <v>40711</v>
      </c>
      <c r="B639">
        <v>17.846060000000001</v>
      </c>
    </row>
    <row r="640" spans="1:2" x14ac:dyDescent="0.3">
      <c r="A640" s="2">
        <v>40704</v>
      </c>
      <c r="B640">
        <v>17.839379999999998</v>
      </c>
    </row>
    <row r="641" spans="1:2" x14ac:dyDescent="0.3">
      <c r="A641" s="2">
        <v>40697</v>
      </c>
      <c r="B641">
        <v>18.682510000000001</v>
      </c>
    </row>
    <row r="642" spans="1:2" x14ac:dyDescent="0.3">
      <c r="A642" s="2">
        <v>40690</v>
      </c>
      <c r="B642">
        <v>18.492989999999999</v>
      </c>
    </row>
    <row r="643" spans="1:2" x14ac:dyDescent="0.3">
      <c r="A643" s="2">
        <v>40683</v>
      </c>
      <c r="B643">
        <v>19.361979999999999</v>
      </c>
    </row>
    <row r="644" spans="1:2" x14ac:dyDescent="0.3">
      <c r="A644" s="2">
        <v>40676</v>
      </c>
      <c r="B644">
        <v>19.424990000000001</v>
      </c>
    </row>
    <row r="645" spans="1:2" x14ac:dyDescent="0.3">
      <c r="A645" s="2">
        <v>40669</v>
      </c>
      <c r="B645">
        <v>19.37069</v>
      </c>
    </row>
    <row r="646" spans="1:2" x14ac:dyDescent="0.3">
      <c r="A646" s="2">
        <v>40662</v>
      </c>
      <c r="B646">
        <v>19.77788</v>
      </c>
    </row>
    <row r="647" spans="1:2" x14ac:dyDescent="0.3">
      <c r="A647" s="2">
        <v>40655</v>
      </c>
      <c r="B647">
        <v>18.74559</v>
      </c>
    </row>
    <row r="648" spans="1:2" x14ac:dyDescent="0.3">
      <c r="A648" s="2">
        <v>40648</v>
      </c>
      <c r="B648">
        <v>18.43394</v>
      </c>
    </row>
    <row r="649" spans="1:2" x14ac:dyDescent="0.3">
      <c r="A649" s="2">
        <v>40641</v>
      </c>
      <c r="B649">
        <v>18.57554</v>
      </c>
    </row>
    <row r="650" spans="1:2" x14ac:dyDescent="0.3">
      <c r="A650" s="2">
        <v>40634</v>
      </c>
      <c r="B650">
        <v>18.39292</v>
      </c>
    </row>
    <row r="651" spans="1:2" x14ac:dyDescent="0.3">
      <c r="A651" s="2">
        <v>40627</v>
      </c>
      <c r="B651">
        <v>17.62566</v>
      </c>
    </row>
    <row r="652" spans="1:2" x14ac:dyDescent="0.3">
      <c r="A652" s="2">
        <v>40620</v>
      </c>
      <c r="B652">
        <v>17.28838</v>
      </c>
    </row>
    <row r="653" spans="1:2" x14ac:dyDescent="0.3">
      <c r="A653" s="2">
        <v>40613</v>
      </c>
      <c r="B653">
        <v>18.020579999999999</v>
      </c>
    </row>
    <row r="654" spans="1:2" x14ac:dyDescent="0.3">
      <c r="A654" s="2">
        <v>40606</v>
      </c>
      <c r="B654">
        <v>17.83465</v>
      </c>
    </row>
    <row r="655" spans="1:2" x14ac:dyDescent="0.3">
      <c r="A655" s="2">
        <v>40599</v>
      </c>
      <c r="B655">
        <v>18.22512</v>
      </c>
    </row>
    <row r="656" spans="1:2" x14ac:dyDescent="0.3">
      <c r="A656" s="2">
        <v>40592</v>
      </c>
      <c r="B656">
        <v>18.864599999999999</v>
      </c>
    </row>
    <row r="657" spans="1:2" x14ac:dyDescent="0.3">
      <c r="A657" s="2">
        <v>40585</v>
      </c>
      <c r="B657">
        <v>18.429120000000001</v>
      </c>
    </row>
    <row r="658" spans="1:2" x14ac:dyDescent="0.3">
      <c r="A658" s="2">
        <v>40578</v>
      </c>
      <c r="B658">
        <v>18.203990000000001</v>
      </c>
    </row>
    <row r="659" spans="1:2" x14ac:dyDescent="0.3">
      <c r="A659" s="2">
        <v>40571</v>
      </c>
      <c r="B659">
        <v>18.23461</v>
      </c>
    </row>
    <row r="660" spans="1:2" x14ac:dyDescent="0.3">
      <c r="A660" s="2">
        <v>40564</v>
      </c>
      <c r="B660">
        <v>18.49325</v>
      </c>
    </row>
    <row r="661" spans="1:2" x14ac:dyDescent="0.3">
      <c r="A661" s="2">
        <v>40557</v>
      </c>
      <c r="B661">
        <v>17.832930000000001</v>
      </c>
    </row>
    <row r="662" spans="1:2" x14ac:dyDescent="0.3">
      <c r="A662" s="2">
        <v>40550</v>
      </c>
      <c r="B662">
        <v>16.82189</v>
      </c>
    </row>
    <row r="663" spans="1:2" x14ac:dyDescent="0.3">
      <c r="A663" s="2">
        <v>40543</v>
      </c>
      <c r="B663">
        <v>16.844010000000001</v>
      </c>
    </row>
    <row r="664" spans="1:2" x14ac:dyDescent="0.3">
      <c r="A664" s="2">
        <v>40536</v>
      </c>
      <c r="B664">
        <v>16.766249999999999</v>
      </c>
    </row>
    <row r="665" spans="1:2" x14ac:dyDescent="0.3">
      <c r="A665" s="2">
        <v>40529</v>
      </c>
      <c r="B665">
        <v>16.602869999999999</v>
      </c>
    </row>
    <row r="666" spans="1:2" x14ac:dyDescent="0.3">
      <c r="A666" s="2">
        <v>40522</v>
      </c>
      <c r="B666">
        <v>16.93845</v>
      </c>
    </row>
    <row r="667" spans="1:2" x14ac:dyDescent="0.3">
      <c r="A667" s="2">
        <v>40515</v>
      </c>
      <c r="B667">
        <v>16.838259999999998</v>
      </c>
    </row>
    <row r="668" spans="1:2" x14ac:dyDescent="0.3">
      <c r="A668" s="2">
        <v>40508</v>
      </c>
      <c r="B668">
        <v>17.125789999999999</v>
      </c>
    </row>
    <row r="669" spans="1:2" x14ac:dyDescent="0.3">
      <c r="A669" s="2">
        <v>40501</v>
      </c>
      <c r="B669">
        <v>18.828800000000001</v>
      </c>
    </row>
    <row r="670" spans="1:2" x14ac:dyDescent="0.3">
      <c r="A670" s="2">
        <v>40494</v>
      </c>
      <c r="B670">
        <v>18.97118</v>
      </c>
    </row>
    <row r="671" spans="1:2" x14ac:dyDescent="0.3">
      <c r="A671" s="2">
        <v>40487</v>
      </c>
      <c r="B671">
        <v>18.768049999999999</v>
      </c>
    </row>
    <row r="672" spans="1:2" x14ac:dyDescent="0.3">
      <c r="A672" s="2">
        <v>40480</v>
      </c>
      <c r="B672">
        <v>18.682230000000001</v>
      </c>
    </row>
    <row r="673" spans="1:2" x14ac:dyDescent="0.3">
      <c r="A673" s="2">
        <v>40473</v>
      </c>
      <c r="B673">
        <v>18.87959</v>
      </c>
    </row>
    <row r="674" spans="1:2" x14ac:dyDescent="0.3">
      <c r="A674" s="2">
        <v>40466</v>
      </c>
      <c r="B674">
        <v>18.292670000000001</v>
      </c>
    </row>
    <row r="675" spans="1:2" x14ac:dyDescent="0.3">
      <c r="A675" s="2">
        <v>40459</v>
      </c>
      <c r="B675">
        <v>18.5182</v>
      </c>
    </row>
    <row r="676" spans="1:2" x14ac:dyDescent="0.3">
      <c r="A676" s="2">
        <v>40452</v>
      </c>
      <c r="B676">
        <v>18.05012</v>
      </c>
    </row>
    <row r="677" spans="1:2" x14ac:dyDescent="0.3">
      <c r="A677" s="2">
        <v>40445</v>
      </c>
      <c r="B677">
        <v>17.690049999999999</v>
      </c>
    </row>
    <row r="678" spans="1:2" x14ac:dyDescent="0.3">
      <c r="A678" s="2">
        <v>40438</v>
      </c>
      <c r="B678">
        <v>17.051130000000001</v>
      </c>
    </row>
    <row r="679" spans="1:2" x14ac:dyDescent="0.3">
      <c r="A679" s="2">
        <v>40431</v>
      </c>
      <c r="B679">
        <v>17.107060000000001</v>
      </c>
    </row>
    <row r="680" spans="1:2" x14ac:dyDescent="0.3">
      <c r="A680" s="2">
        <v>40424</v>
      </c>
      <c r="B680">
        <v>17.430700000000002</v>
      </c>
    </row>
    <row r="681" spans="1:2" x14ac:dyDescent="0.3">
      <c r="A681" s="2">
        <v>40417</v>
      </c>
      <c r="B681">
        <v>16.595289999999999</v>
      </c>
    </row>
    <row r="682" spans="1:2" x14ac:dyDescent="0.3">
      <c r="A682" s="2">
        <v>40410</v>
      </c>
      <c r="B682">
        <v>16.519100000000002</v>
      </c>
    </row>
    <row r="683" spans="1:2" x14ac:dyDescent="0.3">
      <c r="A683" s="2">
        <v>40403</v>
      </c>
      <c r="B683">
        <v>17.141279999999998</v>
      </c>
    </row>
    <row r="684" spans="1:2" x14ac:dyDescent="0.3">
      <c r="A684" s="2">
        <v>40396</v>
      </c>
      <c r="B684">
        <v>18.433109999999999</v>
      </c>
    </row>
    <row r="685" spans="1:2" x14ac:dyDescent="0.3">
      <c r="A685" s="2">
        <v>40389</v>
      </c>
      <c r="B685">
        <v>17.37341</v>
      </c>
    </row>
    <row r="686" spans="1:2" x14ac:dyDescent="0.3">
      <c r="A686" s="2">
        <v>40382</v>
      </c>
      <c r="B686">
        <v>16.85277</v>
      </c>
    </row>
    <row r="687" spans="1:2" x14ac:dyDescent="0.3">
      <c r="A687" s="2">
        <v>40375</v>
      </c>
      <c r="B687">
        <v>16.411049999999999</v>
      </c>
    </row>
    <row r="688" spans="1:2" x14ac:dyDescent="0.3">
      <c r="A688" s="2">
        <v>40368</v>
      </c>
      <c r="B688">
        <v>16.207129999999999</v>
      </c>
    </row>
    <row r="689" spans="1:2" x14ac:dyDescent="0.3">
      <c r="A689" s="2">
        <v>40361</v>
      </c>
      <c r="B689">
        <v>15.22214</v>
      </c>
    </row>
    <row r="690" spans="1:2" x14ac:dyDescent="0.3">
      <c r="A690" s="2">
        <v>40354</v>
      </c>
      <c r="B690">
        <v>15.35225</v>
      </c>
    </row>
    <row r="691" spans="1:2" x14ac:dyDescent="0.3">
      <c r="A691" s="2">
        <v>40347</v>
      </c>
      <c r="B691">
        <v>15.482150000000001</v>
      </c>
    </row>
    <row r="692" spans="1:2" x14ac:dyDescent="0.3">
      <c r="A692" s="2">
        <v>40340</v>
      </c>
      <c r="B692">
        <v>14.63602</v>
      </c>
    </row>
    <row r="693" spans="1:2" x14ac:dyDescent="0.3">
      <c r="A693" s="2">
        <v>40333</v>
      </c>
      <c r="B693">
        <v>14.33986</v>
      </c>
    </row>
    <row r="694" spans="1:2" x14ac:dyDescent="0.3">
      <c r="A694" s="2">
        <v>40326</v>
      </c>
      <c r="B694">
        <v>14.889810000000001</v>
      </c>
    </row>
    <row r="695" spans="1:2" x14ac:dyDescent="0.3">
      <c r="A695" s="2">
        <v>40319</v>
      </c>
      <c r="B695">
        <v>14.91567</v>
      </c>
    </row>
    <row r="696" spans="1:2" x14ac:dyDescent="0.3">
      <c r="A696" s="2">
        <v>40312</v>
      </c>
      <c r="B696">
        <v>15.34858</v>
      </c>
    </row>
    <row r="697" spans="1:2" x14ac:dyDescent="0.3">
      <c r="A697" s="2">
        <v>40305</v>
      </c>
      <c r="B697">
        <v>14.166079999999999</v>
      </c>
    </row>
    <row r="698" spans="1:2" x14ac:dyDescent="0.3">
      <c r="A698" s="2">
        <v>40298</v>
      </c>
      <c r="B698">
        <v>16.26484</v>
      </c>
    </row>
    <row r="699" spans="1:2" x14ac:dyDescent="0.3">
      <c r="A699" s="2">
        <v>40291</v>
      </c>
      <c r="B699">
        <v>17.859649999999998</v>
      </c>
    </row>
    <row r="700" spans="1:2" x14ac:dyDescent="0.3">
      <c r="A700" s="2">
        <v>40284</v>
      </c>
      <c r="B700">
        <v>17.666060000000002</v>
      </c>
    </row>
    <row r="701" spans="1:2" x14ac:dyDescent="0.3">
      <c r="A701" s="2">
        <v>40277</v>
      </c>
      <c r="B701">
        <v>17.377870000000001</v>
      </c>
    </row>
    <row r="702" spans="1:2" x14ac:dyDescent="0.3">
      <c r="A702" s="2">
        <v>40270</v>
      </c>
      <c r="B702">
        <v>17.585730000000002</v>
      </c>
    </row>
    <row r="703" spans="1:2" x14ac:dyDescent="0.3">
      <c r="A703" s="2">
        <v>40263</v>
      </c>
      <c r="B703">
        <v>17.4057</v>
      </c>
    </row>
    <row r="704" spans="1:2" x14ac:dyDescent="0.3">
      <c r="A704" s="2">
        <v>40256</v>
      </c>
      <c r="B704">
        <v>17.653300000000002</v>
      </c>
    </row>
    <row r="705" spans="1:2" x14ac:dyDescent="0.3">
      <c r="A705" s="2">
        <v>40249</v>
      </c>
      <c r="B705">
        <v>18.06851</v>
      </c>
    </row>
    <row r="706" spans="1:2" x14ac:dyDescent="0.3">
      <c r="A706" s="2">
        <v>40242</v>
      </c>
      <c r="B706">
        <v>17.727029999999999</v>
      </c>
    </row>
    <row r="707" spans="1:2" x14ac:dyDescent="0.3">
      <c r="A707" s="2">
        <v>40235</v>
      </c>
      <c r="B707">
        <v>16.179580000000001</v>
      </c>
    </row>
    <row r="708" spans="1:2" x14ac:dyDescent="0.3">
      <c r="A708" s="2">
        <v>40228</v>
      </c>
      <c r="B708">
        <v>16.710830000000001</v>
      </c>
    </row>
    <row r="709" spans="1:2" x14ac:dyDescent="0.3">
      <c r="A709" s="2">
        <v>40221</v>
      </c>
      <c r="B709">
        <v>16.034520000000001</v>
      </c>
    </row>
    <row r="710" spans="1:2" x14ac:dyDescent="0.3">
      <c r="A710" s="2">
        <v>40214</v>
      </c>
      <c r="B710">
        <v>16.54682</v>
      </c>
    </row>
    <row r="711" spans="1:2" x14ac:dyDescent="0.3">
      <c r="A711" s="2">
        <v>40207</v>
      </c>
      <c r="B711">
        <v>17.541810000000002</v>
      </c>
    </row>
    <row r="712" spans="1:2" x14ac:dyDescent="0.3">
      <c r="A712" s="2">
        <v>40200</v>
      </c>
      <c r="B712">
        <v>18.401499999999999</v>
      </c>
    </row>
    <row r="713" spans="1:2" x14ac:dyDescent="0.3">
      <c r="A713" s="2">
        <v>40193</v>
      </c>
      <c r="B713">
        <v>19.758120000000002</v>
      </c>
    </row>
    <row r="714" spans="1:2" x14ac:dyDescent="0.3">
      <c r="A714" s="2">
        <v>40186</v>
      </c>
      <c r="B714">
        <v>20.89864</v>
      </c>
    </row>
    <row r="715" spans="1:2" x14ac:dyDescent="0.3">
      <c r="A715" s="2">
        <v>40179</v>
      </c>
      <c r="B715">
        <v>19.33614</v>
      </c>
    </row>
    <row r="716" spans="1:2" x14ac:dyDescent="0.3">
      <c r="A716" s="2">
        <v>40172</v>
      </c>
      <c r="B716">
        <v>19.543340000000001</v>
      </c>
    </row>
    <row r="717" spans="1:2" x14ac:dyDescent="0.3">
      <c r="A717" s="2">
        <v>40165</v>
      </c>
      <c r="B717">
        <v>19.222359999999998</v>
      </c>
    </row>
    <row r="718" spans="1:2" x14ac:dyDescent="0.3">
      <c r="A718" s="2">
        <v>40158</v>
      </c>
      <c r="B718">
        <v>19.305</v>
      </c>
    </row>
    <row r="719" spans="1:2" x14ac:dyDescent="0.3">
      <c r="A719" s="2">
        <v>40151</v>
      </c>
      <c r="B719">
        <v>20.085260000000002</v>
      </c>
    </row>
    <row r="720" spans="1:2" x14ac:dyDescent="0.3">
      <c r="A720" s="2">
        <v>40144</v>
      </c>
      <c r="B720">
        <v>18.850860000000001</v>
      </c>
    </row>
    <row r="721" spans="1:2" x14ac:dyDescent="0.3">
      <c r="A721" s="2">
        <v>40137</v>
      </c>
      <c r="B721">
        <v>18.770399999999999</v>
      </c>
    </row>
    <row r="722" spans="1:2" x14ac:dyDescent="0.3">
      <c r="A722" s="2">
        <v>40130</v>
      </c>
      <c r="B722">
        <v>18.749569999999999</v>
      </c>
    </row>
    <row r="723" spans="1:2" x14ac:dyDescent="0.3">
      <c r="A723" s="2">
        <v>40123</v>
      </c>
      <c r="B723">
        <v>17.697890000000001</v>
      </c>
    </row>
    <row r="724" spans="1:2" x14ac:dyDescent="0.3">
      <c r="A724" s="2">
        <v>40116</v>
      </c>
      <c r="B724">
        <v>16.784300000000002</v>
      </c>
    </row>
    <row r="725" spans="1:2" x14ac:dyDescent="0.3">
      <c r="A725" s="2">
        <v>40109</v>
      </c>
      <c r="B725">
        <v>18.627130000000001</v>
      </c>
    </row>
    <row r="726" spans="1:2" x14ac:dyDescent="0.3">
      <c r="A726" s="2">
        <v>40102</v>
      </c>
      <c r="B726">
        <v>19.04815</v>
      </c>
    </row>
    <row r="727" spans="1:2" x14ac:dyDescent="0.3">
      <c r="A727" s="2">
        <v>40095</v>
      </c>
      <c r="B727">
        <v>18.763580000000001</v>
      </c>
    </row>
    <row r="728" spans="1:2" x14ac:dyDescent="0.3">
      <c r="A728" s="2">
        <v>40088</v>
      </c>
      <c r="B728">
        <v>17.689139999999998</v>
      </c>
    </row>
    <row r="729" spans="1:2" x14ac:dyDescent="0.3">
      <c r="A729" s="2">
        <v>40081</v>
      </c>
      <c r="B729">
        <v>18.44773</v>
      </c>
    </row>
    <row r="730" spans="1:2" x14ac:dyDescent="0.3">
      <c r="A730" s="2">
        <v>40074</v>
      </c>
      <c r="B730">
        <v>19.435680000000001</v>
      </c>
    </row>
    <row r="731" spans="1:2" x14ac:dyDescent="0.3">
      <c r="A731" s="2">
        <v>40067</v>
      </c>
      <c r="B731">
        <v>18.511520000000001</v>
      </c>
    </row>
    <row r="732" spans="1:2" x14ac:dyDescent="0.3">
      <c r="A732" s="2">
        <v>40060</v>
      </c>
      <c r="B732">
        <v>16.953800000000001</v>
      </c>
    </row>
    <row r="733" spans="1:2" x14ac:dyDescent="0.3">
      <c r="A733" s="2">
        <v>40053</v>
      </c>
      <c r="B733">
        <v>17.59478</v>
      </c>
    </row>
    <row r="734" spans="1:2" x14ac:dyDescent="0.3">
      <c r="A734" s="2">
        <v>40046</v>
      </c>
      <c r="B734">
        <v>16.25433</v>
      </c>
    </row>
    <row r="735" spans="1:2" x14ac:dyDescent="0.3">
      <c r="A735" s="2">
        <v>40039</v>
      </c>
      <c r="B735">
        <v>15.95782</v>
      </c>
    </row>
    <row r="736" spans="1:2" x14ac:dyDescent="0.3">
      <c r="A736" s="2">
        <v>40032</v>
      </c>
      <c r="B736">
        <v>16.308150000000001</v>
      </c>
    </row>
    <row r="737" spans="1:2" x14ac:dyDescent="0.3">
      <c r="A737" s="2">
        <v>40025</v>
      </c>
      <c r="B737">
        <v>15.80973</v>
      </c>
    </row>
    <row r="738" spans="1:2" x14ac:dyDescent="0.3">
      <c r="A738" s="2">
        <v>40018</v>
      </c>
      <c r="B738">
        <v>14.57652</v>
      </c>
    </row>
    <row r="739" spans="1:2" x14ac:dyDescent="0.3">
      <c r="A739" s="2">
        <v>40011</v>
      </c>
      <c r="B739">
        <v>13.554510000000001</v>
      </c>
    </row>
    <row r="740" spans="1:2" x14ac:dyDescent="0.3">
      <c r="A740" s="2">
        <v>40004</v>
      </c>
      <c r="B740">
        <v>12.44786</v>
      </c>
    </row>
    <row r="741" spans="1:2" x14ac:dyDescent="0.3">
      <c r="A741" s="2">
        <v>39997</v>
      </c>
      <c r="B741">
        <v>13.126799999999999</v>
      </c>
    </row>
    <row r="742" spans="1:2" x14ac:dyDescent="0.3">
      <c r="A742" s="2">
        <v>39990</v>
      </c>
      <c r="B742">
        <v>12.681900000000001</v>
      </c>
    </row>
    <row r="743" spans="1:2" x14ac:dyDescent="0.3">
      <c r="A743" s="2">
        <v>39983</v>
      </c>
      <c r="B743">
        <v>12.62255</v>
      </c>
    </row>
    <row r="744" spans="1:2" x14ac:dyDescent="0.3">
      <c r="A744" s="2">
        <v>39976</v>
      </c>
      <c r="B744">
        <v>14.023999999999999</v>
      </c>
    </row>
    <row r="745" spans="1:2" x14ac:dyDescent="0.3">
      <c r="A745" s="2">
        <v>39969</v>
      </c>
      <c r="B745">
        <v>14.56574</v>
      </c>
    </row>
    <row r="746" spans="1:2" x14ac:dyDescent="0.3">
      <c r="A746" s="2">
        <v>39962</v>
      </c>
      <c r="B746">
        <v>13.780139999999999</v>
      </c>
    </row>
    <row r="747" spans="1:2" x14ac:dyDescent="0.3">
      <c r="A747" s="2">
        <v>39955</v>
      </c>
      <c r="B747">
        <v>13.542350000000001</v>
      </c>
    </row>
    <row r="748" spans="1:2" x14ac:dyDescent="0.3">
      <c r="A748" s="2">
        <v>39948</v>
      </c>
      <c r="B748">
        <v>12.63095</v>
      </c>
    </row>
    <row r="749" spans="1:2" x14ac:dyDescent="0.3">
      <c r="A749" s="2">
        <v>39941</v>
      </c>
      <c r="B749">
        <v>13.985659999999999</v>
      </c>
    </row>
    <row r="750" spans="1:2" x14ac:dyDescent="0.3">
      <c r="A750" s="2">
        <v>39934</v>
      </c>
      <c r="B750">
        <v>11.425789999999999</v>
      </c>
    </row>
    <row r="751" spans="1:2" x14ac:dyDescent="0.3">
      <c r="A751" s="2">
        <v>39927</v>
      </c>
      <c r="B751">
        <v>11.362539999999999</v>
      </c>
    </row>
    <row r="752" spans="1:2" x14ac:dyDescent="0.3">
      <c r="A752" s="2">
        <v>39920</v>
      </c>
      <c r="B752">
        <v>12.884510000000001</v>
      </c>
    </row>
    <row r="753" spans="1:2" x14ac:dyDescent="0.3">
      <c r="A753" s="2">
        <v>39913</v>
      </c>
      <c r="B753">
        <v>11.67276</v>
      </c>
    </row>
    <row r="754" spans="1:2" x14ac:dyDescent="0.3">
      <c r="A754" s="2">
        <v>39906</v>
      </c>
      <c r="B754">
        <v>11.94994</v>
      </c>
    </row>
    <row r="755" spans="1:2" x14ac:dyDescent="0.3">
      <c r="A755" s="2">
        <v>39899</v>
      </c>
      <c r="B755">
        <v>11.105499999999999</v>
      </c>
    </row>
    <row r="756" spans="1:2" x14ac:dyDescent="0.3">
      <c r="A756" s="2">
        <v>39892</v>
      </c>
      <c r="B756">
        <v>10.19858</v>
      </c>
    </row>
    <row r="757" spans="1:2" x14ac:dyDescent="0.3">
      <c r="A757" s="2">
        <v>39885</v>
      </c>
      <c r="B757">
        <v>9.7531599999999994</v>
      </c>
    </row>
    <row r="758" spans="1:2" x14ac:dyDescent="0.3">
      <c r="A758" s="2">
        <v>39878</v>
      </c>
      <c r="B758">
        <v>8.5182699999999993</v>
      </c>
    </row>
    <row r="759" spans="1:2" x14ac:dyDescent="0.3">
      <c r="A759" s="2">
        <v>39871</v>
      </c>
      <c r="B759">
        <v>9.7658900000000006</v>
      </c>
    </row>
    <row r="760" spans="1:2" x14ac:dyDescent="0.3">
      <c r="A760" s="2">
        <v>39864</v>
      </c>
      <c r="B760">
        <v>11.154859999999999</v>
      </c>
    </row>
    <row r="761" spans="1:2" x14ac:dyDescent="0.3">
      <c r="A761" s="2">
        <v>39857</v>
      </c>
      <c r="B761">
        <v>13.163360000000001</v>
      </c>
    </row>
    <row r="762" spans="1:2" x14ac:dyDescent="0.3">
      <c r="A762" s="2">
        <v>39850</v>
      </c>
      <c r="B762">
        <v>13.38916</v>
      </c>
    </row>
    <row r="763" spans="1:2" x14ac:dyDescent="0.3">
      <c r="A763" s="2">
        <v>39843</v>
      </c>
      <c r="B763">
        <v>12.56948</v>
      </c>
    </row>
    <row r="764" spans="1:2" x14ac:dyDescent="0.3">
      <c r="A764" s="2">
        <v>39836</v>
      </c>
      <c r="B764">
        <v>11.31704</v>
      </c>
    </row>
    <row r="765" spans="1:2" x14ac:dyDescent="0.3">
      <c r="A765" s="2">
        <v>39829</v>
      </c>
      <c r="B765">
        <v>12.428599999999999</v>
      </c>
    </row>
    <row r="766" spans="1:2" x14ac:dyDescent="0.3">
      <c r="A766" s="2">
        <v>39822</v>
      </c>
      <c r="B766">
        <v>14.094849999999999</v>
      </c>
    </row>
    <row r="767" spans="1:2" x14ac:dyDescent="0.3">
      <c r="A767" s="2">
        <v>39815</v>
      </c>
      <c r="B767">
        <v>16.22118</v>
      </c>
    </row>
    <row r="768" spans="1:2" x14ac:dyDescent="0.3">
      <c r="A768" s="2">
        <v>39808</v>
      </c>
      <c r="B768">
        <v>15.632960000000001</v>
      </c>
    </row>
    <row r="769" spans="1:2" x14ac:dyDescent="0.3">
      <c r="A769" s="2">
        <v>39801</v>
      </c>
      <c r="B769">
        <v>15.59662</v>
      </c>
    </row>
    <row r="770" spans="1:2" x14ac:dyDescent="0.3">
      <c r="A770" s="2">
        <v>39794</v>
      </c>
      <c r="B770">
        <v>14.360300000000001</v>
      </c>
    </row>
    <row r="771" spans="1:2" x14ac:dyDescent="0.3">
      <c r="A771" s="2">
        <v>39787</v>
      </c>
      <c r="B771">
        <v>12.84811</v>
      </c>
    </row>
    <row r="772" spans="1:2" x14ac:dyDescent="0.3">
      <c r="A772" s="2">
        <v>39780</v>
      </c>
      <c r="B772">
        <v>14.27407</v>
      </c>
    </row>
    <row r="773" spans="1:2" x14ac:dyDescent="0.3">
      <c r="A773" s="2">
        <v>39773</v>
      </c>
      <c r="B773">
        <v>11.380050000000001</v>
      </c>
    </row>
    <row r="774" spans="1:2" x14ac:dyDescent="0.3">
      <c r="A774" s="2">
        <v>39766</v>
      </c>
      <c r="B774">
        <v>12.872350000000001</v>
      </c>
    </row>
    <row r="775" spans="1:2" x14ac:dyDescent="0.3">
      <c r="A775" s="2">
        <v>39759</v>
      </c>
      <c r="B775">
        <v>11.95706</v>
      </c>
    </row>
    <row r="776" spans="1:2" x14ac:dyDescent="0.3">
      <c r="A776" s="2">
        <v>39752</v>
      </c>
      <c r="B776">
        <v>10.994400000000001</v>
      </c>
    </row>
    <row r="777" spans="1:2" x14ac:dyDescent="0.3">
      <c r="A777" s="2">
        <v>39745</v>
      </c>
      <c r="B777">
        <v>12.25619</v>
      </c>
    </row>
    <row r="778" spans="1:2" x14ac:dyDescent="0.3">
      <c r="A778" s="2">
        <v>39738</v>
      </c>
      <c r="B778">
        <v>14.281779999999999</v>
      </c>
    </row>
    <row r="779" spans="1:2" x14ac:dyDescent="0.3">
      <c r="A779" s="2">
        <v>39731</v>
      </c>
      <c r="B779">
        <v>15.836869999999999</v>
      </c>
    </row>
    <row r="780" spans="1:2" x14ac:dyDescent="0.3">
      <c r="A780" s="2">
        <v>39724</v>
      </c>
      <c r="B780">
        <v>20.494489999999999</v>
      </c>
    </row>
    <row r="781" spans="1:2" x14ac:dyDescent="0.3">
      <c r="A781" s="2">
        <v>39717</v>
      </c>
      <c r="B781">
        <v>22.604330000000001</v>
      </c>
    </row>
    <row r="782" spans="1:2" x14ac:dyDescent="0.3">
      <c r="A782" s="2">
        <v>39710</v>
      </c>
      <c r="B782">
        <v>23.078410000000002</v>
      </c>
    </row>
    <row r="783" spans="1:2" x14ac:dyDescent="0.3">
      <c r="A783" s="2">
        <v>39703</v>
      </c>
      <c r="B783">
        <v>23.454419999999999</v>
      </c>
    </row>
    <row r="784" spans="1:2" x14ac:dyDescent="0.3">
      <c r="A784" s="2">
        <v>39696</v>
      </c>
      <c r="B784">
        <v>21.93901</v>
      </c>
    </row>
    <row r="785" spans="1:2" x14ac:dyDescent="0.3">
      <c r="A785" s="2">
        <v>39689</v>
      </c>
      <c r="B785">
        <v>23.396319999999999</v>
      </c>
    </row>
    <row r="786" spans="1:2" x14ac:dyDescent="0.3">
      <c r="A786" s="2">
        <v>39682</v>
      </c>
      <c r="B786">
        <v>23.005780000000001</v>
      </c>
    </row>
    <row r="787" spans="1:2" x14ac:dyDescent="0.3">
      <c r="A787" s="2">
        <v>39675</v>
      </c>
      <c r="B787">
        <v>22.95796</v>
      </c>
    </row>
    <row r="788" spans="1:2" x14ac:dyDescent="0.3">
      <c r="A788" s="2">
        <v>39668</v>
      </c>
      <c r="B788">
        <v>23.786149999999999</v>
      </c>
    </row>
    <row r="789" spans="1:2" x14ac:dyDescent="0.3">
      <c r="A789" s="2">
        <v>39661</v>
      </c>
      <c r="B789">
        <v>23.22</v>
      </c>
    </row>
    <row r="790" spans="1:2" x14ac:dyDescent="0.3">
      <c r="A790" s="2">
        <v>39654</v>
      </c>
      <c r="B790">
        <v>25.014880000000002</v>
      </c>
    </row>
    <row r="791" spans="1:2" x14ac:dyDescent="0.3">
      <c r="A791" s="2">
        <v>39647</v>
      </c>
      <c r="B791">
        <v>24.867080000000001</v>
      </c>
    </row>
    <row r="792" spans="1:2" x14ac:dyDescent="0.3">
      <c r="A792" s="2">
        <v>39640</v>
      </c>
      <c r="B792">
        <v>24.381399999999999</v>
      </c>
    </row>
    <row r="793" spans="1:2" x14ac:dyDescent="0.3">
      <c r="A793" s="2">
        <v>39633</v>
      </c>
      <c r="B793">
        <v>25.741440000000001</v>
      </c>
    </row>
    <row r="794" spans="1:2" x14ac:dyDescent="0.3">
      <c r="A794" s="2">
        <v>39626</v>
      </c>
      <c r="B794">
        <v>25.839839999999999</v>
      </c>
    </row>
    <row r="795" spans="1:2" x14ac:dyDescent="0.3">
      <c r="A795" s="2">
        <v>39619</v>
      </c>
      <c r="B795">
        <v>27.46875</v>
      </c>
    </row>
    <row r="796" spans="1:2" x14ac:dyDescent="0.3">
      <c r="A796" s="2">
        <v>39612</v>
      </c>
      <c r="B796">
        <v>28.68975</v>
      </c>
    </row>
    <row r="797" spans="1:2" x14ac:dyDescent="0.3">
      <c r="A797" s="2">
        <v>39605</v>
      </c>
      <c r="B797">
        <v>30.781569999999999</v>
      </c>
    </row>
    <row r="798" spans="1:2" x14ac:dyDescent="0.3">
      <c r="A798" s="2">
        <v>39598</v>
      </c>
      <c r="B798">
        <v>31.734719999999999</v>
      </c>
    </row>
    <row r="799" spans="1:2" x14ac:dyDescent="0.3">
      <c r="A799" s="2">
        <v>39591</v>
      </c>
      <c r="B799">
        <v>34.58229</v>
      </c>
    </row>
    <row r="800" spans="1:2" x14ac:dyDescent="0.3">
      <c r="A800" s="2">
        <v>39584</v>
      </c>
      <c r="B800">
        <v>33.853169999999999</v>
      </c>
    </row>
    <row r="801" spans="1:2" x14ac:dyDescent="0.3">
      <c r="A801" s="2">
        <v>39577</v>
      </c>
      <c r="B801">
        <v>31.270230000000002</v>
      </c>
    </row>
    <row r="802" spans="1:2" x14ac:dyDescent="0.3">
      <c r="A802" s="2">
        <v>39570</v>
      </c>
      <c r="B802">
        <v>31.181260000000002</v>
      </c>
    </row>
    <row r="803" spans="1:2" x14ac:dyDescent="0.3">
      <c r="A803" s="2">
        <v>39563</v>
      </c>
      <c r="B803">
        <v>31.386150000000001</v>
      </c>
    </row>
    <row r="804" spans="1:2" x14ac:dyDescent="0.3">
      <c r="A804" s="2">
        <v>39556</v>
      </c>
      <c r="B804">
        <v>32.191549999999999</v>
      </c>
    </row>
    <row r="805" spans="1:2" x14ac:dyDescent="0.3">
      <c r="A805" s="2">
        <v>39549</v>
      </c>
      <c r="B805">
        <v>31.667210000000001</v>
      </c>
    </row>
    <row r="806" spans="1:2" x14ac:dyDescent="0.3">
      <c r="A806" s="2">
        <v>39542</v>
      </c>
      <c r="B806">
        <v>31.969850000000001</v>
      </c>
    </row>
    <row r="807" spans="1:2" x14ac:dyDescent="0.3">
      <c r="A807" s="2">
        <v>39535</v>
      </c>
      <c r="B807">
        <v>30.625340000000001</v>
      </c>
    </row>
    <row r="808" spans="1:2" x14ac:dyDescent="0.3">
      <c r="A808" s="2">
        <v>39528</v>
      </c>
      <c r="B808">
        <v>29.59028</v>
      </c>
    </row>
    <row r="809" spans="1:2" x14ac:dyDescent="0.3">
      <c r="A809" s="2">
        <v>39521</v>
      </c>
      <c r="B809">
        <v>31.21377</v>
      </c>
    </row>
    <row r="810" spans="1:2" x14ac:dyDescent="0.3">
      <c r="A810" s="2">
        <v>39514</v>
      </c>
      <c r="B810">
        <v>32.974260000000001</v>
      </c>
    </row>
    <row r="811" spans="1:2" x14ac:dyDescent="0.3">
      <c r="A811" s="2">
        <v>39507</v>
      </c>
      <c r="B811">
        <v>33.21808</v>
      </c>
    </row>
    <row r="812" spans="1:2" x14ac:dyDescent="0.3">
      <c r="A812" s="2">
        <v>39500</v>
      </c>
      <c r="B812">
        <v>33.12941</v>
      </c>
    </row>
    <row r="813" spans="1:2" x14ac:dyDescent="0.3">
      <c r="A813" s="2">
        <v>39493</v>
      </c>
      <c r="B813">
        <v>33.005249999999997</v>
      </c>
    </row>
    <row r="814" spans="1:2" x14ac:dyDescent="0.3">
      <c r="A814" s="2">
        <v>39486</v>
      </c>
      <c r="B814">
        <v>31.666599999999999</v>
      </c>
    </row>
    <row r="815" spans="1:2" x14ac:dyDescent="0.3">
      <c r="A815" s="2">
        <v>39479</v>
      </c>
      <c r="B815">
        <v>32.470100000000002</v>
      </c>
    </row>
    <row r="816" spans="1:2" x14ac:dyDescent="0.3">
      <c r="A816" s="2">
        <v>39472</v>
      </c>
      <c r="B816">
        <v>31.687200000000001</v>
      </c>
    </row>
    <row r="817" spans="1:2" x14ac:dyDescent="0.3">
      <c r="A817" s="2">
        <v>39465</v>
      </c>
      <c r="B817">
        <v>32.245919999999998</v>
      </c>
    </row>
    <row r="818" spans="1:2" x14ac:dyDescent="0.3">
      <c r="A818" s="2">
        <v>39458</v>
      </c>
      <c r="B818">
        <v>35.135849999999998</v>
      </c>
    </row>
    <row r="819" spans="1:2" x14ac:dyDescent="0.3">
      <c r="A819" s="2">
        <v>39451</v>
      </c>
      <c r="B819">
        <v>33.462020000000003</v>
      </c>
    </row>
    <row r="820" spans="1:2" x14ac:dyDescent="0.3">
      <c r="A820" s="2">
        <v>39444</v>
      </c>
      <c r="B820">
        <v>34.30838</v>
      </c>
    </row>
    <row r="821" spans="1:2" x14ac:dyDescent="0.3">
      <c r="A821" s="2">
        <v>39437</v>
      </c>
      <c r="B821">
        <v>33.619410000000002</v>
      </c>
    </row>
    <row r="822" spans="1:2" x14ac:dyDescent="0.3">
      <c r="A822" s="2">
        <v>39430</v>
      </c>
      <c r="B822">
        <v>34.135620000000003</v>
      </c>
    </row>
    <row r="823" spans="1:2" x14ac:dyDescent="0.3">
      <c r="A823" s="2">
        <v>39423</v>
      </c>
      <c r="B823">
        <v>33.850740000000002</v>
      </c>
    </row>
    <row r="824" spans="1:2" x14ac:dyDescent="0.3">
      <c r="A824" s="2">
        <v>39416</v>
      </c>
      <c r="B824">
        <v>34.022739999999999</v>
      </c>
    </row>
    <row r="825" spans="1:2" x14ac:dyDescent="0.3">
      <c r="A825" s="2">
        <v>39409</v>
      </c>
      <c r="B825">
        <v>33.149520000000003</v>
      </c>
    </row>
    <row r="826" spans="1:2" x14ac:dyDescent="0.3">
      <c r="A826" s="2">
        <v>39402</v>
      </c>
      <c r="B826">
        <v>32.551859999999998</v>
      </c>
    </row>
    <row r="827" spans="1:2" x14ac:dyDescent="0.3">
      <c r="A827" s="2">
        <v>39395</v>
      </c>
      <c r="B827">
        <v>31.565539999999999</v>
      </c>
    </row>
    <row r="828" spans="1:2" x14ac:dyDescent="0.3">
      <c r="A828" s="2">
        <v>39388</v>
      </c>
      <c r="B828">
        <v>29.500579999999999</v>
      </c>
    </row>
    <row r="829" spans="1:2" x14ac:dyDescent="0.3">
      <c r="A829" s="2">
        <v>39381</v>
      </c>
      <c r="B829">
        <v>30.23339</v>
      </c>
    </row>
    <row r="830" spans="1:2" x14ac:dyDescent="0.3">
      <c r="A830" s="2">
        <v>39374</v>
      </c>
      <c r="B830">
        <v>29.927969999999998</v>
      </c>
    </row>
    <row r="831" spans="1:2" x14ac:dyDescent="0.3">
      <c r="A831" s="2">
        <v>39367</v>
      </c>
      <c r="B831">
        <v>31.17962</v>
      </c>
    </row>
    <row r="832" spans="1:2" x14ac:dyDescent="0.3">
      <c r="A832" s="2">
        <v>39360</v>
      </c>
      <c r="B832">
        <v>29.362549999999999</v>
      </c>
    </row>
    <row r="833" spans="1:2" x14ac:dyDescent="0.3">
      <c r="A833" s="2">
        <v>39353</v>
      </c>
      <c r="B833">
        <v>28.996700000000001</v>
      </c>
    </row>
    <row r="834" spans="1:2" x14ac:dyDescent="0.3">
      <c r="A834" s="2">
        <v>39346</v>
      </c>
      <c r="B834">
        <v>29.077259999999999</v>
      </c>
    </row>
    <row r="835" spans="1:2" x14ac:dyDescent="0.3">
      <c r="A835" s="2">
        <v>39339</v>
      </c>
      <c r="B835">
        <v>29.293700000000001</v>
      </c>
    </row>
    <row r="836" spans="1:2" x14ac:dyDescent="0.3">
      <c r="A836" s="2">
        <v>39332</v>
      </c>
      <c r="B836">
        <v>28.860720000000001</v>
      </c>
    </row>
    <row r="837" spans="1:2" x14ac:dyDescent="0.3">
      <c r="A837" s="2">
        <v>39325</v>
      </c>
      <c r="B837">
        <v>29.099219999999999</v>
      </c>
    </row>
    <row r="838" spans="1:2" x14ac:dyDescent="0.3">
      <c r="A838" s="2">
        <v>39318</v>
      </c>
      <c r="B838">
        <v>29.566050000000001</v>
      </c>
    </row>
    <row r="839" spans="1:2" x14ac:dyDescent="0.3">
      <c r="A839" s="2">
        <v>39311</v>
      </c>
      <c r="B839">
        <v>27.71668</v>
      </c>
    </row>
    <row r="840" spans="1:2" x14ac:dyDescent="0.3">
      <c r="A840" s="2">
        <v>39304</v>
      </c>
      <c r="B840">
        <v>28.576370000000001</v>
      </c>
    </row>
    <row r="841" spans="1:2" x14ac:dyDescent="0.3">
      <c r="A841" s="2">
        <v>39297</v>
      </c>
      <c r="B841">
        <v>29.377970000000001</v>
      </c>
    </row>
    <row r="842" spans="1:2" x14ac:dyDescent="0.3">
      <c r="A842" s="2">
        <v>39290</v>
      </c>
      <c r="B842">
        <v>29.196819999999999</v>
      </c>
    </row>
    <row r="843" spans="1:2" x14ac:dyDescent="0.3">
      <c r="A843" s="2">
        <v>39283</v>
      </c>
      <c r="B843">
        <v>31.19201</v>
      </c>
    </row>
    <row r="844" spans="1:2" x14ac:dyDescent="0.3">
      <c r="A844" s="2">
        <v>39276</v>
      </c>
      <c r="B844">
        <v>32.133029999999998</v>
      </c>
    </row>
    <row r="845" spans="1:2" x14ac:dyDescent="0.3">
      <c r="A845" s="2">
        <v>39269</v>
      </c>
      <c r="B845">
        <v>32.118839999999999</v>
      </c>
    </row>
    <row r="846" spans="1:2" x14ac:dyDescent="0.3">
      <c r="A846" s="2">
        <v>39262</v>
      </c>
      <c r="B846">
        <v>32.409970000000001</v>
      </c>
    </row>
    <row r="847" spans="1:2" x14ac:dyDescent="0.3">
      <c r="A847" s="2">
        <v>39255</v>
      </c>
      <c r="B847">
        <v>32.204090000000001</v>
      </c>
    </row>
    <row r="848" spans="1:2" x14ac:dyDescent="0.3">
      <c r="A848" s="2">
        <v>39248</v>
      </c>
      <c r="B848">
        <v>33.043660000000003</v>
      </c>
    </row>
    <row r="849" spans="1:2" x14ac:dyDescent="0.3">
      <c r="A849" s="2">
        <v>39241</v>
      </c>
      <c r="B849">
        <v>31.882190000000001</v>
      </c>
    </row>
    <row r="850" spans="1:2" x14ac:dyDescent="0.3">
      <c r="A850" s="2">
        <v>39234</v>
      </c>
      <c r="B850">
        <v>32.192120000000003</v>
      </c>
    </row>
    <row r="851" spans="1:2" x14ac:dyDescent="0.3">
      <c r="A851" s="2">
        <v>39227</v>
      </c>
      <c r="B851">
        <v>31.515689999999999</v>
      </c>
    </row>
    <row r="852" spans="1:2" x14ac:dyDescent="0.3">
      <c r="A852" s="2">
        <v>39220</v>
      </c>
      <c r="B852">
        <v>33.106850000000001</v>
      </c>
    </row>
    <row r="853" spans="1:2" x14ac:dyDescent="0.3">
      <c r="A853" s="2">
        <v>39213</v>
      </c>
      <c r="B853">
        <v>31.79374</v>
      </c>
    </row>
    <row r="854" spans="1:2" x14ac:dyDescent="0.3">
      <c r="A854" s="2">
        <v>39206</v>
      </c>
      <c r="B854">
        <v>34.28407</v>
      </c>
    </row>
    <row r="855" spans="1:2" x14ac:dyDescent="0.3">
      <c r="A855" s="2">
        <v>39199</v>
      </c>
      <c r="B855">
        <v>34.902929999999998</v>
      </c>
    </row>
    <row r="856" spans="1:2" x14ac:dyDescent="0.3">
      <c r="A856" s="2">
        <v>39192</v>
      </c>
      <c r="B856">
        <v>31.47503</v>
      </c>
    </row>
    <row r="857" spans="1:2" x14ac:dyDescent="0.3">
      <c r="A857" s="2">
        <v>39185</v>
      </c>
      <c r="B857">
        <v>31.733219999999999</v>
      </c>
    </row>
    <row r="858" spans="1:2" x14ac:dyDescent="0.3">
      <c r="A858" s="2">
        <v>39178</v>
      </c>
      <c r="B858">
        <v>30.998329999999999</v>
      </c>
    </row>
    <row r="859" spans="1:2" x14ac:dyDescent="0.3">
      <c r="A859" s="2">
        <v>39171</v>
      </c>
      <c r="B859">
        <v>30.271940000000001</v>
      </c>
    </row>
    <row r="860" spans="1:2" x14ac:dyDescent="0.3">
      <c r="A860" s="2">
        <v>39164</v>
      </c>
      <c r="B860">
        <v>29.331029999999998</v>
      </c>
    </row>
    <row r="861" spans="1:2" x14ac:dyDescent="0.3">
      <c r="A861" s="2">
        <v>39157</v>
      </c>
      <c r="B861">
        <v>30.50881</v>
      </c>
    </row>
    <row r="862" spans="1:2" x14ac:dyDescent="0.3">
      <c r="A862" s="2">
        <v>39150</v>
      </c>
      <c r="B862">
        <v>31.536770000000001</v>
      </c>
    </row>
    <row r="863" spans="1:2" x14ac:dyDescent="0.3">
      <c r="A863" s="2">
        <v>39143</v>
      </c>
      <c r="B863">
        <v>31.687180000000001</v>
      </c>
    </row>
    <row r="864" spans="1:2" x14ac:dyDescent="0.3">
      <c r="A864" s="2">
        <v>39136</v>
      </c>
      <c r="B864">
        <v>33.599220000000003</v>
      </c>
    </row>
    <row r="865" spans="1:2" x14ac:dyDescent="0.3">
      <c r="A865" s="2">
        <v>39129</v>
      </c>
      <c r="B865">
        <v>32.180750000000003</v>
      </c>
    </row>
    <row r="866" spans="1:2" x14ac:dyDescent="0.3">
      <c r="A866" s="2">
        <v>39122</v>
      </c>
      <c r="B866">
        <v>31.92728</v>
      </c>
    </row>
    <row r="867" spans="1:2" x14ac:dyDescent="0.3">
      <c r="A867" s="2">
        <v>39115</v>
      </c>
      <c r="B867">
        <v>31.9421</v>
      </c>
    </row>
    <row r="868" spans="1:2" x14ac:dyDescent="0.3">
      <c r="A868" s="2">
        <v>39108</v>
      </c>
      <c r="B868">
        <v>30.526330000000002</v>
      </c>
    </row>
    <row r="869" spans="1:2" x14ac:dyDescent="0.3">
      <c r="A869" s="2">
        <v>39101</v>
      </c>
      <c r="B869">
        <v>30.923909999999999</v>
      </c>
    </row>
    <row r="870" spans="1:2" x14ac:dyDescent="0.3">
      <c r="A870" s="2">
        <v>39094</v>
      </c>
      <c r="B870">
        <v>28.867750000000001</v>
      </c>
    </row>
    <row r="871" spans="1:2" x14ac:dyDescent="0.3">
      <c r="A871" s="2">
        <v>39087</v>
      </c>
      <c r="B871">
        <v>29.42353</v>
      </c>
    </row>
    <row r="872" spans="1:2" x14ac:dyDescent="0.3">
      <c r="A872" s="2">
        <v>39080</v>
      </c>
      <c r="B872">
        <v>30.189620000000001</v>
      </c>
    </row>
    <row r="873" spans="1:2" x14ac:dyDescent="0.3">
      <c r="A873" s="2">
        <v>39073</v>
      </c>
      <c r="B873">
        <v>29.423670000000001</v>
      </c>
    </row>
    <row r="874" spans="1:2" x14ac:dyDescent="0.3">
      <c r="A874" s="2">
        <v>39066</v>
      </c>
      <c r="B874">
        <v>30.061720000000001</v>
      </c>
    </row>
    <row r="875" spans="1:2" x14ac:dyDescent="0.3">
      <c r="A875" s="2">
        <v>39059</v>
      </c>
      <c r="B875">
        <v>31.067869999999999</v>
      </c>
    </row>
    <row r="876" spans="1:2" x14ac:dyDescent="0.3">
      <c r="A876" s="2">
        <v>39052</v>
      </c>
      <c r="B876">
        <v>29.927949999999999</v>
      </c>
    </row>
    <row r="877" spans="1:2" x14ac:dyDescent="0.3">
      <c r="A877" s="2">
        <v>39045</v>
      </c>
      <c r="B877">
        <v>28.6889</v>
      </c>
    </row>
    <row r="878" spans="1:2" x14ac:dyDescent="0.3">
      <c r="A878" s="2">
        <v>39038</v>
      </c>
      <c r="B878">
        <v>28.212800000000001</v>
      </c>
    </row>
    <row r="879" spans="1:2" x14ac:dyDescent="0.3">
      <c r="A879" s="2">
        <v>39031</v>
      </c>
      <c r="B879">
        <v>27.90821</v>
      </c>
    </row>
    <row r="880" spans="1:2" x14ac:dyDescent="0.3">
      <c r="A880" s="2">
        <v>39024</v>
      </c>
      <c r="B880">
        <v>28.082470000000001</v>
      </c>
    </row>
    <row r="881" spans="1:2" x14ac:dyDescent="0.3">
      <c r="A881" s="2">
        <v>39017</v>
      </c>
      <c r="B881">
        <v>27.80669</v>
      </c>
    </row>
    <row r="882" spans="1:2" x14ac:dyDescent="0.3">
      <c r="A882" s="2">
        <v>39010</v>
      </c>
      <c r="B882">
        <v>27.14132</v>
      </c>
    </row>
    <row r="883" spans="1:2" x14ac:dyDescent="0.3">
      <c r="A883" s="2">
        <v>39003</v>
      </c>
      <c r="B883">
        <v>27.285910000000001</v>
      </c>
    </row>
    <row r="884" spans="1:2" x14ac:dyDescent="0.3">
      <c r="A884" s="2">
        <v>38996</v>
      </c>
      <c r="B884">
        <v>26.188890000000001</v>
      </c>
    </row>
    <row r="885" spans="1:2" x14ac:dyDescent="0.3">
      <c r="A885" s="2">
        <v>38989</v>
      </c>
      <c r="B885">
        <v>26.234649999999998</v>
      </c>
    </row>
    <row r="886" spans="1:2" x14ac:dyDescent="0.3">
      <c r="A886" s="2">
        <v>38982</v>
      </c>
      <c r="B886">
        <v>26.329599999999999</v>
      </c>
    </row>
    <row r="887" spans="1:2" x14ac:dyDescent="0.3">
      <c r="A887" s="2">
        <v>38975</v>
      </c>
      <c r="B887">
        <v>25.99812</v>
      </c>
    </row>
    <row r="888" spans="1:2" x14ac:dyDescent="0.3">
      <c r="A888" s="2">
        <v>38968</v>
      </c>
      <c r="B888">
        <v>25.462070000000001</v>
      </c>
    </row>
    <row r="889" spans="1:2" x14ac:dyDescent="0.3">
      <c r="A889" s="2">
        <v>38961</v>
      </c>
      <c r="B889">
        <v>25.598970000000001</v>
      </c>
    </row>
    <row r="890" spans="1:2" x14ac:dyDescent="0.3">
      <c r="A890" s="2">
        <v>38954</v>
      </c>
      <c r="B890">
        <v>24.404140000000002</v>
      </c>
    </row>
    <row r="891" spans="1:2" x14ac:dyDescent="0.3">
      <c r="A891" s="2">
        <v>38947</v>
      </c>
      <c r="B891">
        <v>24.836649999999999</v>
      </c>
    </row>
    <row r="892" spans="1:2" x14ac:dyDescent="0.3">
      <c r="A892" s="2">
        <v>38940</v>
      </c>
      <c r="B892">
        <v>23.757909999999999</v>
      </c>
    </row>
    <row r="893" spans="1:2" x14ac:dyDescent="0.3">
      <c r="A893" s="2">
        <v>38933</v>
      </c>
      <c r="B893">
        <v>24.472809999999999</v>
      </c>
    </row>
    <row r="894" spans="1:2" x14ac:dyDescent="0.3">
      <c r="A894" s="2">
        <v>38926</v>
      </c>
      <c r="B894">
        <v>24.578140000000001</v>
      </c>
    </row>
    <row r="895" spans="1:2" x14ac:dyDescent="0.3">
      <c r="A895" s="2">
        <v>38919</v>
      </c>
      <c r="B895">
        <v>24.603079999999999</v>
      </c>
    </row>
    <row r="896" spans="1:2" x14ac:dyDescent="0.3">
      <c r="A896" s="2">
        <v>38912</v>
      </c>
      <c r="B896">
        <v>25.65062</v>
      </c>
    </row>
    <row r="897" spans="1:2" x14ac:dyDescent="0.3">
      <c r="A897" s="2">
        <v>38905</v>
      </c>
      <c r="B897">
        <v>27.27665</v>
      </c>
    </row>
    <row r="898" spans="1:2" x14ac:dyDescent="0.3">
      <c r="A898" s="2">
        <v>38898</v>
      </c>
      <c r="B898">
        <v>26.86129</v>
      </c>
    </row>
    <row r="899" spans="1:2" x14ac:dyDescent="0.3">
      <c r="A899" s="2">
        <v>38891</v>
      </c>
      <c r="B899">
        <v>25.793089999999999</v>
      </c>
    </row>
    <row r="900" spans="1:2" x14ac:dyDescent="0.3">
      <c r="A900" s="2">
        <v>38884</v>
      </c>
      <c r="B900">
        <v>25.729749999999999</v>
      </c>
    </row>
    <row r="901" spans="1:2" x14ac:dyDescent="0.3">
      <c r="A901" s="2">
        <v>38877</v>
      </c>
      <c r="B901">
        <v>26.567150000000002</v>
      </c>
    </row>
    <row r="902" spans="1:2" x14ac:dyDescent="0.3">
      <c r="A902" s="2">
        <v>38870</v>
      </c>
      <c r="B902">
        <v>27.484749999999998</v>
      </c>
    </row>
    <row r="903" spans="1:2" x14ac:dyDescent="0.3">
      <c r="A903" s="2">
        <v>38863</v>
      </c>
      <c r="B903">
        <v>26.682359999999999</v>
      </c>
    </row>
    <row r="904" spans="1:2" x14ac:dyDescent="0.3">
      <c r="A904" s="2">
        <v>38856</v>
      </c>
      <c r="B904">
        <v>26.42182</v>
      </c>
    </row>
    <row r="905" spans="1:2" x14ac:dyDescent="0.3">
      <c r="A905" s="2">
        <v>38849</v>
      </c>
      <c r="B905">
        <v>27.657630000000001</v>
      </c>
    </row>
    <row r="906" spans="1:2" x14ac:dyDescent="0.3">
      <c r="A906" s="2">
        <v>38842</v>
      </c>
      <c r="B906">
        <v>28.01351</v>
      </c>
    </row>
    <row r="907" spans="1:2" x14ac:dyDescent="0.3">
      <c r="A907" s="2">
        <v>38835</v>
      </c>
      <c r="B907">
        <v>26.697710000000001</v>
      </c>
    </row>
    <row r="908" spans="1:2" x14ac:dyDescent="0.3">
      <c r="A908" s="2">
        <v>38828</v>
      </c>
      <c r="B908">
        <v>25.843920000000001</v>
      </c>
    </row>
    <row r="909" spans="1:2" x14ac:dyDescent="0.3">
      <c r="A909" s="2">
        <v>38821</v>
      </c>
      <c r="B909">
        <v>25.17632</v>
      </c>
    </row>
    <row r="910" spans="1:2" x14ac:dyDescent="0.3">
      <c r="A910" s="2">
        <v>38814</v>
      </c>
      <c r="B910">
        <v>25.096060000000001</v>
      </c>
    </row>
    <row r="911" spans="1:2" x14ac:dyDescent="0.3">
      <c r="A911" s="2">
        <v>38807</v>
      </c>
      <c r="B911">
        <v>25.01848</v>
      </c>
    </row>
    <row r="912" spans="1:2" x14ac:dyDescent="0.3">
      <c r="A912" s="2">
        <v>38800</v>
      </c>
      <c r="B912">
        <v>25.41433</v>
      </c>
    </row>
    <row r="913" spans="1:2" x14ac:dyDescent="0.3">
      <c r="A913" s="2">
        <v>38793</v>
      </c>
      <c r="B913">
        <v>25.448540000000001</v>
      </c>
    </row>
    <row r="914" spans="1:2" x14ac:dyDescent="0.3">
      <c r="A914" s="2">
        <v>38786</v>
      </c>
      <c r="B914">
        <v>26.749610000000001</v>
      </c>
    </row>
    <row r="915" spans="1:2" x14ac:dyDescent="0.3">
      <c r="A915" s="2">
        <v>38779</v>
      </c>
      <c r="B915">
        <v>26.262599999999999</v>
      </c>
    </row>
    <row r="916" spans="1:2" x14ac:dyDescent="0.3">
      <c r="A916" s="2">
        <v>38772</v>
      </c>
      <c r="B916">
        <v>26.33353</v>
      </c>
    </row>
    <row r="917" spans="1:2" x14ac:dyDescent="0.3">
      <c r="A917" s="2">
        <v>38765</v>
      </c>
      <c r="B917">
        <v>26.271249999999998</v>
      </c>
    </row>
    <row r="918" spans="1:2" x14ac:dyDescent="0.3">
      <c r="A918" s="2">
        <v>38758</v>
      </c>
      <c r="B918">
        <v>27.592479999999998</v>
      </c>
    </row>
    <row r="919" spans="1:2" x14ac:dyDescent="0.3">
      <c r="A919" s="2">
        <v>38751</v>
      </c>
      <c r="B919">
        <v>28.211490000000001</v>
      </c>
    </row>
    <row r="920" spans="1:2" x14ac:dyDescent="0.3">
      <c r="A920" s="2">
        <v>38744</v>
      </c>
      <c r="B920">
        <v>27.964860000000002</v>
      </c>
    </row>
    <row r="921" spans="1:2" x14ac:dyDescent="0.3">
      <c r="A921" s="2">
        <v>38737</v>
      </c>
      <c r="B921">
        <v>26.138159999999999</v>
      </c>
    </row>
    <row r="922" spans="1:2" x14ac:dyDescent="0.3">
      <c r="A922" s="2">
        <v>38730</v>
      </c>
      <c r="B922">
        <v>26.95628</v>
      </c>
    </row>
    <row r="923" spans="1:2" x14ac:dyDescent="0.3">
      <c r="A923" s="2">
        <v>38723</v>
      </c>
      <c r="B923">
        <v>26.17972</v>
      </c>
    </row>
    <row r="924" spans="1:2" x14ac:dyDescent="0.3">
      <c r="A924" s="2">
        <v>38716</v>
      </c>
      <c r="B924">
        <v>24.233979999999999</v>
      </c>
    </row>
    <row r="925" spans="1:2" x14ac:dyDescent="0.3">
      <c r="A925" s="2">
        <v>38709</v>
      </c>
      <c r="B925">
        <v>24.33672</v>
      </c>
    </row>
    <row r="926" spans="1:2" x14ac:dyDescent="0.3">
      <c r="A926" s="2">
        <v>38702</v>
      </c>
      <c r="B926">
        <v>23.413650000000001</v>
      </c>
    </row>
    <row r="927" spans="1:2" x14ac:dyDescent="0.3">
      <c r="A927" s="2">
        <v>38695</v>
      </c>
      <c r="B927">
        <v>22.8934</v>
      </c>
    </row>
    <row r="928" spans="1:2" x14ac:dyDescent="0.3">
      <c r="A928" s="2">
        <v>38688</v>
      </c>
      <c r="B928">
        <v>21.784320000000001</v>
      </c>
    </row>
    <row r="929" spans="1:2" x14ac:dyDescent="0.3">
      <c r="A929" s="2">
        <v>38681</v>
      </c>
      <c r="B929">
        <v>22.000769999999999</v>
      </c>
    </row>
    <row r="930" spans="1:2" x14ac:dyDescent="0.3">
      <c r="A930" s="2">
        <v>38674</v>
      </c>
      <c r="B930">
        <v>22.023250000000001</v>
      </c>
    </row>
    <row r="931" spans="1:2" x14ac:dyDescent="0.3">
      <c r="A931" s="2">
        <v>38667</v>
      </c>
      <c r="B931">
        <v>22.235700000000001</v>
      </c>
    </row>
    <row r="932" spans="1:2" x14ac:dyDescent="0.3">
      <c r="A932" s="2">
        <v>38660</v>
      </c>
      <c r="B932">
        <v>22.06981</v>
      </c>
    </row>
    <row r="933" spans="1:2" x14ac:dyDescent="0.3">
      <c r="A933" s="2">
        <v>38653</v>
      </c>
      <c r="B933">
        <v>22.235800000000001</v>
      </c>
    </row>
    <row r="934" spans="1:2" x14ac:dyDescent="0.3">
      <c r="A934" s="2">
        <v>38646</v>
      </c>
      <c r="B934">
        <v>21.333069999999999</v>
      </c>
    </row>
    <row r="935" spans="1:2" x14ac:dyDescent="0.3">
      <c r="A935" s="2">
        <v>38639</v>
      </c>
      <c r="B935">
        <v>22.965299999999999</v>
      </c>
    </row>
    <row r="936" spans="1:2" x14ac:dyDescent="0.3">
      <c r="A936" s="2">
        <v>38632</v>
      </c>
      <c r="B936">
        <v>23.846260000000001</v>
      </c>
    </row>
    <row r="937" spans="1:2" x14ac:dyDescent="0.3">
      <c r="A937" s="2">
        <v>38625</v>
      </c>
      <c r="B937">
        <v>23.434439999999999</v>
      </c>
    </row>
    <row r="938" spans="1:2" x14ac:dyDescent="0.3">
      <c r="A938" s="2">
        <v>38618</v>
      </c>
      <c r="B938">
        <v>23.4925</v>
      </c>
    </row>
    <row r="939" spans="1:2" x14ac:dyDescent="0.3">
      <c r="A939" s="2">
        <v>38611</v>
      </c>
      <c r="B939">
        <v>24.42578</v>
      </c>
    </row>
    <row r="940" spans="1:2" x14ac:dyDescent="0.3">
      <c r="A940" s="2">
        <v>38604</v>
      </c>
      <c r="B940">
        <v>24.873249999999999</v>
      </c>
    </row>
    <row r="941" spans="1:2" x14ac:dyDescent="0.3">
      <c r="A941" s="2">
        <v>38597</v>
      </c>
      <c r="B941">
        <v>24.5929</v>
      </c>
    </row>
    <row r="942" spans="1:2" x14ac:dyDescent="0.3">
      <c r="A942" s="2">
        <v>38590</v>
      </c>
      <c r="B942">
        <v>24.685269999999999</v>
      </c>
    </row>
    <row r="943" spans="1:2" x14ac:dyDescent="0.3">
      <c r="A943" s="2">
        <v>38583</v>
      </c>
      <c r="B943">
        <v>25.26313</v>
      </c>
    </row>
    <row r="944" spans="1:2" x14ac:dyDescent="0.3">
      <c r="A944" s="2">
        <v>38576</v>
      </c>
      <c r="B944">
        <v>25.576740000000001</v>
      </c>
    </row>
    <row r="945" spans="1:2" x14ac:dyDescent="0.3">
      <c r="A945" s="2">
        <v>38569</v>
      </c>
      <c r="B945">
        <v>25.38129</v>
      </c>
    </row>
    <row r="946" spans="1:2" x14ac:dyDescent="0.3">
      <c r="A946" s="2">
        <v>38562</v>
      </c>
      <c r="B946">
        <v>24.801760000000002</v>
      </c>
    </row>
    <row r="947" spans="1:2" x14ac:dyDescent="0.3">
      <c r="A947" s="2">
        <v>38555</v>
      </c>
      <c r="B947">
        <v>24.411539999999999</v>
      </c>
    </row>
    <row r="948" spans="1:2" x14ac:dyDescent="0.3">
      <c r="A948" s="2">
        <v>38548</v>
      </c>
      <c r="B948">
        <v>23.318239999999999</v>
      </c>
    </row>
    <row r="949" spans="1:2" x14ac:dyDescent="0.3">
      <c r="A949" s="2">
        <v>38541</v>
      </c>
      <c r="B949">
        <v>22.781030000000001</v>
      </c>
    </row>
    <row r="950" spans="1:2" x14ac:dyDescent="0.3">
      <c r="A950" s="2">
        <v>38534</v>
      </c>
      <c r="B950">
        <v>23.08897</v>
      </c>
    </row>
    <row r="951" spans="1:2" x14ac:dyDescent="0.3">
      <c r="A951" s="2">
        <v>38527</v>
      </c>
      <c r="B951">
        <v>23.287800000000001</v>
      </c>
    </row>
    <row r="952" spans="1:2" x14ac:dyDescent="0.3">
      <c r="A952" s="2">
        <v>38520</v>
      </c>
      <c r="B952">
        <v>23.581939999999999</v>
      </c>
    </row>
    <row r="953" spans="1:2" x14ac:dyDescent="0.3">
      <c r="A953" s="2">
        <v>38513</v>
      </c>
      <c r="B953">
        <v>23.550630000000002</v>
      </c>
    </row>
    <row r="954" spans="1:2" x14ac:dyDescent="0.3">
      <c r="A954" s="2">
        <v>38506</v>
      </c>
      <c r="B954">
        <v>23.544090000000001</v>
      </c>
    </row>
    <row r="955" spans="1:2" x14ac:dyDescent="0.3">
      <c r="A955" s="2">
        <v>38499</v>
      </c>
      <c r="B955">
        <v>24.31615</v>
      </c>
    </row>
    <row r="956" spans="1:2" x14ac:dyDescent="0.3">
      <c r="A956" s="2">
        <v>38492</v>
      </c>
      <c r="B956">
        <v>23.68374</v>
      </c>
    </row>
    <row r="957" spans="1:2" x14ac:dyDescent="0.3">
      <c r="A957" s="2">
        <v>38485</v>
      </c>
      <c r="B957">
        <v>23.195799999999998</v>
      </c>
    </row>
    <row r="958" spans="1:2" x14ac:dyDescent="0.3">
      <c r="A958" s="2">
        <v>38478</v>
      </c>
      <c r="B958">
        <v>23.596240000000002</v>
      </c>
    </row>
    <row r="959" spans="1:2" x14ac:dyDescent="0.3">
      <c r="A959" s="2">
        <v>38471</v>
      </c>
      <c r="B959">
        <v>23.43366</v>
      </c>
    </row>
    <row r="960" spans="1:2" x14ac:dyDescent="0.3">
      <c r="A960" s="2">
        <v>38464</v>
      </c>
      <c r="B960">
        <v>24.780290000000001</v>
      </c>
    </row>
    <row r="961" spans="1:2" x14ac:dyDescent="0.3">
      <c r="A961" s="2">
        <v>38457</v>
      </c>
      <c r="B961">
        <v>24.53698</v>
      </c>
    </row>
    <row r="962" spans="1:2" x14ac:dyDescent="0.3">
      <c r="A962" s="2">
        <v>38450</v>
      </c>
      <c r="B962">
        <v>24.96724</v>
      </c>
    </row>
    <row r="963" spans="1:2" x14ac:dyDescent="0.3">
      <c r="A963" s="2">
        <v>38443</v>
      </c>
      <c r="B963">
        <v>24.036280000000001</v>
      </c>
    </row>
    <row r="964" spans="1:2" x14ac:dyDescent="0.3">
      <c r="A964" s="2">
        <v>38436</v>
      </c>
      <c r="B964">
        <v>24.32761</v>
      </c>
    </row>
    <row r="965" spans="1:2" x14ac:dyDescent="0.3">
      <c r="A965" s="2">
        <v>38429</v>
      </c>
      <c r="B965">
        <v>23.968800000000002</v>
      </c>
    </row>
    <row r="966" spans="1:2" x14ac:dyDescent="0.3">
      <c r="A966" s="2">
        <v>38422</v>
      </c>
      <c r="B966">
        <v>24.2316</v>
      </c>
    </row>
    <row r="967" spans="1:2" x14ac:dyDescent="0.3">
      <c r="A967" s="2">
        <v>38415</v>
      </c>
      <c r="B967">
        <v>24.52974</v>
      </c>
    </row>
    <row r="968" spans="1:2" x14ac:dyDescent="0.3">
      <c r="A968" s="2">
        <v>38408</v>
      </c>
      <c r="B968">
        <v>23.744260000000001</v>
      </c>
    </row>
    <row r="969" spans="1:2" x14ac:dyDescent="0.3">
      <c r="A969" s="2">
        <v>38401</v>
      </c>
      <c r="B969">
        <v>23.400670000000002</v>
      </c>
    </row>
    <row r="970" spans="1:2" x14ac:dyDescent="0.3">
      <c r="A970" s="2">
        <v>38394</v>
      </c>
      <c r="B970">
        <v>23.302140000000001</v>
      </c>
    </row>
    <row r="971" spans="1:2" x14ac:dyDescent="0.3">
      <c r="A971" s="2">
        <v>38387</v>
      </c>
      <c r="B971">
        <v>23.106390000000001</v>
      </c>
    </row>
    <row r="972" spans="1:2" x14ac:dyDescent="0.3">
      <c r="A972" s="2">
        <v>38380</v>
      </c>
      <c r="B972">
        <v>22.649619999999999</v>
      </c>
    </row>
    <row r="973" spans="1:2" x14ac:dyDescent="0.3">
      <c r="A973" s="2">
        <v>38373</v>
      </c>
      <c r="B973">
        <v>22.53293</v>
      </c>
    </row>
    <row r="974" spans="1:2" x14ac:dyDescent="0.3">
      <c r="A974" s="2">
        <v>38366</v>
      </c>
      <c r="B974">
        <v>22.10774</v>
      </c>
    </row>
    <row r="975" spans="1:2" x14ac:dyDescent="0.3">
      <c r="A975" s="2">
        <v>38359</v>
      </c>
      <c r="B975">
        <v>22.336849999999998</v>
      </c>
    </row>
    <row r="976" spans="1:2" x14ac:dyDescent="0.3">
      <c r="A976" s="2">
        <v>38352</v>
      </c>
      <c r="B976">
        <v>23.046530000000001</v>
      </c>
    </row>
    <row r="977" spans="1:2" x14ac:dyDescent="0.3">
      <c r="A977" s="2">
        <v>38345</v>
      </c>
      <c r="B977">
        <v>22.600860000000001</v>
      </c>
    </row>
    <row r="978" spans="1:2" x14ac:dyDescent="0.3">
      <c r="A978" s="2">
        <v>38338</v>
      </c>
      <c r="B978">
        <v>22.0913</v>
      </c>
    </row>
    <row r="979" spans="1:2" x14ac:dyDescent="0.3">
      <c r="A979" s="2">
        <v>38331</v>
      </c>
      <c r="B979">
        <v>21.548410000000001</v>
      </c>
    </row>
    <row r="980" spans="1:2" x14ac:dyDescent="0.3">
      <c r="A980" s="2">
        <v>38324</v>
      </c>
      <c r="B980">
        <v>21.781089999999999</v>
      </c>
    </row>
    <row r="981" spans="1:2" x14ac:dyDescent="0.3">
      <c r="A981" s="2">
        <v>38317</v>
      </c>
      <c r="B981">
        <v>20.895019999999999</v>
      </c>
    </row>
    <row r="982" spans="1:2" x14ac:dyDescent="0.3">
      <c r="A982" s="2">
        <v>38310</v>
      </c>
      <c r="B982">
        <v>20.528110000000002</v>
      </c>
    </row>
    <row r="983" spans="1:2" x14ac:dyDescent="0.3">
      <c r="A983" s="2">
        <v>38303</v>
      </c>
      <c r="B983">
        <v>20.96114</v>
      </c>
    </row>
    <row r="984" spans="1:2" x14ac:dyDescent="0.3">
      <c r="A984" s="2">
        <v>38296</v>
      </c>
      <c r="B984">
        <v>20.224499999999999</v>
      </c>
    </row>
    <row r="985" spans="1:2" x14ac:dyDescent="0.3">
      <c r="A985" s="2">
        <v>38289</v>
      </c>
      <c r="B985">
        <v>19.546790000000001</v>
      </c>
    </row>
    <row r="986" spans="1:2" x14ac:dyDescent="0.3">
      <c r="A986" s="2">
        <v>38282</v>
      </c>
      <c r="B986">
        <v>19.412310000000002</v>
      </c>
    </row>
    <row r="987" spans="1:2" x14ac:dyDescent="0.3">
      <c r="A987" s="2">
        <v>38275</v>
      </c>
      <c r="B987">
        <v>19.803709999999999</v>
      </c>
    </row>
    <row r="988" spans="1:2" x14ac:dyDescent="0.3">
      <c r="A988" s="2">
        <v>38268</v>
      </c>
      <c r="B988">
        <v>20.078289999999999</v>
      </c>
    </row>
    <row r="989" spans="1:2" x14ac:dyDescent="0.3">
      <c r="A989" s="2">
        <v>38261</v>
      </c>
      <c r="B989">
        <v>19.886389999999999</v>
      </c>
    </row>
    <row r="990" spans="1:2" x14ac:dyDescent="0.3">
      <c r="A990" s="2">
        <v>38254</v>
      </c>
      <c r="B990">
        <v>20.228999999999999</v>
      </c>
    </row>
    <row r="991" spans="1:2" x14ac:dyDescent="0.3">
      <c r="A991" s="2">
        <v>38247</v>
      </c>
      <c r="B991">
        <v>20.746200000000002</v>
      </c>
    </row>
    <row r="992" spans="1:2" x14ac:dyDescent="0.3">
      <c r="A992" s="2">
        <v>38240</v>
      </c>
      <c r="B992">
        <v>20.514279999999999</v>
      </c>
    </row>
    <row r="993" spans="1:2" x14ac:dyDescent="0.3">
      <c r="A993" s="2">
        <v>38233</v>
      </c>
      <c r="B993">
        <v>20.201830000000001</v>
      </c>
    </row>
    <row r="994" spans="1:2" x14ac:dyDescent="0.3">
      <c r="A994" s="2">
        <v>38226</v>
      </c>
      <c r="B994">
        <v>19.910509999999999</v>
      </c>
    </row>
    <row r="995" spans="1:2" x14ac:dyDescent="0.3">
      <c r="A995" s="2">
        <v>38219</v>
      </c>
      <c r="B995">
        <v>19.434329999999999</v>
      </c>
    </row>
    <row r="996" spans="1:2" x14ac:dyDescent="0.3">
      <c r="A996" s="2">
        <v>38212</v>
      </c>
      <c r="B996">
        <v>19.02666</v>
      </c>
    </row>
    <row r="997" spans="1:2" x14ac:dyDescent="0.3">
      <c r="A997" s="2">
        <v>38205</v>
      </c>
      <c r="B997">
        <v>19.351700000000001</v>
      </c>
    </row>
    <row r="998" spans="1:2" x14ac:dyDescent="0.3">
      <c r="A998" s="2">
        <v>38198</v>
      </c>
      <c r="B998">
        <v>20.022670000000002</v>
      </c>
    </row>
    <row r="999" spans="1:2" x14ac:dyDescent="0.3">
      <c r="A999" s="2">
        <v>38191</v>
      </c>
      <c r="B999">
        <v>20.024979999999999</v>
      </c>
    </row>
    <row r="1000" spans="1:2" x14ac:dyDescent="0.3">
      <c r="A1000" s="2">
        <v>38184</v>
      </c>
      <c r="B1000">
        <v>20.467089999999999</v>
      </c>
    </row>
    <row r="1001" spans="1:2" x14ac:dyDescent="0.3">
      <c r="A1001" s="2">
        <v>38177</v>
      </c>
      <c r="B1001">
        <v>20.818560000000002</v>
      </c>
    </row>
    <row r="1002" spans="1:2" x14ac:dyDescent="0.3">
      <c r="A1002" s="2">
        <v>38170</v>
      </c>
      <c r="B1002">
        <v>21.934940000000001</v>
      </c>
    </row>
    <row r="1003" spans="1:2" x14ac:dyDescent="0.3">
      <c r="A1003" s="2">
        <v>38163</v>
      </c>
      <c r="B1003">
        <v>21.088920000000002</v>
      </c>
    </row>
    <row r="1004" spans="1:2" x14ac:dyDescent="0.3">
      <c r="A1004" s="2">
        <v>38156</v>
      </c>
      <c r="B1004">
        <v>20.206910000000001</v>
      </c>
    </row>
    <row r="1005" spans="1:2" x14ac:dyDescent="0.3">
      <c r="A1005" s="2">
        <v>38149</v>
      </c>
      <c r="B1005">
        <v>20.463249999999999</v>
      </c>
    </row>
    <row r="1006" spans="1:2" x14ac:dyDescent="0.3">
      <c r="A1006" s="2">
        <v>38142</v>
      </c>
      <c r="B1006">
        <v>20.59356</v>
      </c>
    </row>
    <row r="1007" spans="1:2" x14ac:dyDescent="0.3">
      <c r="A1007" s="2">
        <v>38135</v>
      </c>
      <c r="B1007">
        <v>20.058669999999999</v>
      </c>
    </row>
    <row r="1008" spans="1:2" x14ac:dyDescent="0.3">
      <c r="A1008" s="2">
        <v>38128</v>
      </c>
      <c r="B1008">
        <v>20.55941</v>
      </c>
    </row>
    <row r="1009" spans="1:2" x14ac:dyDescent="0.3">
      <c r="A1009" s="2">
        <v>38121</v>
      </c>
      <c r="B1009">
        <v>20.282499999999999</v>
      </c>
    </row>
    <row r="1010" spans="1:2" x14ac:dyDescent="0.3">
      <c r="A1010" s="2">
        <v>38114</v>
      </c>
      <c r="B1010">
        <v>20.732990000000001</v>
      </c>
    </row>
    <row r="1011" spans="1:2" x14ac:dyDescent="0.3">
      <c r="A1011" s="2">
        <v>38107</v>
      </c>
      <c r="B1011">
        <v>22.037680000000002</v>
      </c>
    </row>
    <row r="1012" spans="1:2" x14ac:dyDescent="0.3">
      <c r="A1012" s="2">
        <v>38100</v>
      </c>
      <c r="B1012">
        <v>22.234760000000001</v>
      </c>
    </row>
    <row r="1013" spans="1:2" x14ac:dyDescent="0.3">
      <c r="A1013" s="2">
        <v>38093</v>
      </c>
      <c r="B1013">
        <v>22.384540000000001</v>
      </c>
    </row>
    <row r="1014" spans="1:2" x14ac:dyDescent="0.3">
      <c r="A1014" s="2">
        <v>38086</v>
      </c>
      <c r="B1014">
        <v>22.431629999999998</v>
      </c>
    </row>
    <row r="1015" spans="1:2" x14ac:dyDescent="0.3">
      <c r="A1015" s="2">
        <v>38079</v>
      </c>
      <c r="B1015">
        <v>23.047229999999999</v>
      </c>
    </row>
    <row r="1016" spans="1:2" x14ac:dyDescent="0.3">
      <c r="A1016" s="2">
        <v>38072</v>
      </c>
      <c r="B1016">
        <v>21.536079999999998</v>
      </c>
    </row>
    <row r="1017" spans="1:2" x14ac:dyDescent="0.3">
      <c r="A1017" s="2">
        <v>38065</v>
      </c>
      <c r="B1017">
        <v>21.805879999999998</v>
      </c>
    </row>
    <row r="1018" spans="1:2" x14ac:dyDescent="0.3">
      <c r="A1018" s="2">
        <v>38058</v>
      </c>
      <c r="B1018">
        <v>22.379100000000001</v>
      </c>
    </row>
    <row r="1019" spans="1:2" x14ac:dyDescent="0.3">
      <c r="A1019" s="2">
        <v>38051</v>
      </c>
      <c r="B1019">
        <v>24.003299999999999</v>
      </c>
    </row>
    <row r="1020" spans="1:2" x14ac:dyDescent="0.3">
      <c r="A1020" s="2">
        <v>38044</v>
      </c>
      <c r="B1020">
        <v>23.963519999999999</v>
      </c>
    </row>
    <row r="1021" spans="1:2" x14ac:dyDescent="0.3">
      <c r="A1021" s="2">
        <v>38037</v>
      </c>
      <c r="B1021">
        <v>23.871179999999999</v>
      </c>
    </row>
    <row r="1022" spans="1:2" x14ac:dyDescent="0.3">
      <c r="A1022" s="2">
        <v>38030</v>
      </c>
      <c r="B1022">
        <v>24.05123</v>
      </c>
    </row>
    <row r="1023" spans="1:2" x14ac:dyDescent="0.3">
      <c r="A1023" s="2">
        <v>38023</v>
      </c>
      <c r="B1023">
        <v>23.646180000000001</v>
      </c>
    </row>
    <row r="1024" spans="1:2" x14ac:dyDescent="0.3">
      <c r="A1024" s="2">
        <v>38016</v>
      </c>
      <c r="B1024">
        <v>22.4316</v>
      </c>
    </row>
    <row r="1025" spans="1:2" x14ac:dyDescent="0.3">
      <c r="A1025" s="2">
        <v>38009</v>
      </c>
      <c r="B1025">
        <v>22.930430000000001</v>
      </c>
    </row>
    <row r="1026" spans="1:2" x14ac:dyDescent="0.3">
      <c r="A1026" s="2">
        <v>38002</v>
      </c>
      <c r="B1026">
        <v>21.286719999999999</v>
      </c>
    </row>
    <row r="1027" spans="1:2" x14ac:dyDescent="0.3">
      <c r="A1027" s="2">
        <v>37995</v>
      </c>
      <c r="B1027">
        <v>21.96837</v>
      </c>
    </row>
    <row r="1028" spans="1:2" x14ac:dyDescent="0.3">
      <c r="A1028" s="2">
        <v>37988</v>
      </c>
      <c r="B1028">
        <v>20.605910000000002</v>
      </c>
    </row>
    <row r="1029" spans="1:2" x14ac:dyDescent="0.3">
      <c r="A1029" s="2">
        <v>37981</v>
      </c>
      <c r="B1029">
        <v>19.830400000000001</v>
      </c>
    </row>
    <row r="1030" spans="1:2" x14ac:dyDescent="0.3">
      <c r="A1030" s="2">
        <v>37974</v>
      </c>
      <c r="B1030">
        <v>20.124610000000001</v>
      </c>
    </row>
    <row r="1031" spans="1:2" x14ac:dyDescent="0.3">
      <c r="A1031" s="2">
        <v>37967</v>
      </c>
      <c r="B1031">
        <v>19.596640000000001</v>
      </c>
    </row>
    <row r="1032" spans="1:2" x14ac:dyDescent="0.3">
      <c r="A1032" s="2">
        <v>37960</v>
      </c>
      <c r="B1032">
        <v>19.977889999999999</v>
      </c>
    </row>
    <row r="1033" spans="1:2" x14ac:dyDescent="0.3">
      <c r="A1033" s="2">
        <v>37953</v>
      </c>
      <c r="B1033">
        <v>18.86027</v>
      </c>
    </row>
    <row r="1034" spans="1:2" x14ac:dyDescent="0.3">
      <c r="A1034" s="2">
        <v>37946</v>
      </c>
      <c r="B1034">
        <v>18.708120000000001</v>
      </c>
    </row>
    <row r="1035" spans="1:2" x14ac:dyDescent="0.3">
      <c r="A1035" s="2">
        <v>37939</v>
      </c>
      <c r="B1035">
        <v>18.923940000000002</v>
      </c>
    </row>
    <row r="1036" spans="1:2" x14ac:dyDescent="0.3">
      <c r="A1036" s="2">
        <v>37932</v>
      </c>
      <c r="B1036">
        <v>19.12818</v>
      </c>
    </row>
    <row r="1037" spans="1:2" x14ac:dyDescent="0.3">
      <c r="A1037" s="2">
        <v>37925</v>
      </c>
      <c r="B1037">
        <v>19.189730000000001</v>
      </c>
    </row>
    <row r="1038" spans="1:2" x14ac:dyDescent="0.3">
      <c r="A1038" s="2">
        <v>37918</v>
      </c>
      <c r="B1038">
        <v>18.821709999999999</v>
      </c>
    </row>
    <row r="1039" spans="1:2" x14ac:dyDescent="0.3">
      <c r="A1039" s="2">
        <v>37911</v>
      </c>
      <c r="B1039">
        <v>19.191220000000001</v>
      </c>
    </row>
    <row r="1040" spans="1:2" x14ac:dyDescent="0.3">
      <c r="A1040" s="2">
        <v>37904</v>
      </c>
      <c r="B1040">
        <v>19.76324</v>
      </c>
    </row>
    <row r="1041" spans="1:2" x14ac:dyDescent="0.3">
      <c r="A1041" s="2">
        <v>37897</v>
      </c>
      <c r="B1041">
        <v>18.07546</v>
      </c>
    </row>
    <row r="1042" spans="1:2" x14ac:dyDescent="0.3">
      <c r="A1042" s="2">
        <v>37890</v>
      </c>
      <c r="B1042">
        <v>16.957439999999998</v>
      </c>
    </row>
    <row r="1043" spans="1:2" x14ac:dyDescent="0.3">
      <c r="A1043" s="2">
        <v>37883</v>
      </c>
      <c r="B1043">
        <v>17.160350000000001</v>
      </c>
    </row>
    <row r="1044" spans="1:2" x14ac:dyDescent="0.3">
      <c r="A1044" s="2">
        <v>37876</v>
      </c>
      <c r="B1044">
        <v>17.195080000000001</v>
      </c>
    </row>
    <row r="1045" spans="1:2" x14ac:dyDescent="0.3">
      <c r="A1045" s="2">
        <v>37869</v>
      </c>
      <c r="B1045">
        <v>17.308199999999999</v>
      </c>
    </row>
    <row r="1046" spans="1:2" x14ac:dyDescent="0.3">
      <c r="A1046" s="2">
        <v>37862</v>
      </c>
      <c r="B1046">
        <v>16.013280000000002</v>
      </c>
    </row>
    <row r="1047" spans="1:2" x14ac:dyDescent="0.3">
      <c r="A1047" s="2">
        <v>37855</v>
      </c>
      <c r="B1047">
        <v>16.162739999999999</v>
      </c>
    </row>
    <row r="1048" spans="1:2" x14ac:dyDescent="0.3">
      <c r="A1048" s="2">
        <v>37848</v>
      </c>
      <c r="B1048">
        <v>15.85689</v>
      </c>
    </row>
    <row r="1049" spans="1:2" x14ac:dyDescent="0.3">
      <c r="A1049" s="2">
        <v>37841</v>
      </c>
      <c r="B1049">
        <v>15.169969999999999</v>
      </c>
    </row>
    <row r="1050" spans="1:2" x14ac:dyDescent="0.3">
      <c r="A1050" s="2">
        <v>37834</v>
      </c>
      <c r="B1050">
        <v>14.98766</v>
      </c>
    </row>
    <row r="1051" spans="1:2" x14ac:dyDescent="0.3">
      <c r="A1051" s="2">
        <v>37827</v>
      </c>
      <c r="B1051">
        <v>14.30817</v>
      </c>
    </row>
    <row r="1052" spans="1:2" x14ac:dyDescent="0.3">
      <c r="A1052" s="2">
        <v>37820</v>
      </c>
      <c r="B1052">
        <v>13.9495</v>
      </c>
    </row>
    <row r="1053" spans="1:2" x14ac:dyDescent="0.3">
      <c r="A1053" s="2">
        <v>37813</v>
      </c>
      <c r="B1053">
        <v>13.83977</v>
      </c>
    </row>
    <row r="1054" spans="1:2" x14ac:dyDescent="0.3">
      <c r="A1054" s="2">
        <v>37806</v>
      </c>
      <c r="B1054">
        <v>14.28829</v>
      </c>
    </row>
    <row r="1055" spans="1:2" x14ac:dyDescent="0.3">
      <c r="A1055" s="2">
        <v>37799</v>
      </c>
      <c r="B1055">
        <v>14.58709</v>
      </c>
    </row>
    <row r="1056" spans="1:2" x14ac:dyDescent="0.3">
      <c r="A1056" s="2">
        <v>37792</v>
      </c>
      <c r="B1056">
        <v>14.88926</v>
      </c>
    </row>
    <row r="1057" spans="1:2" x14ac:dyDescent="0.3">
      <c r="A1057" s="2">
        <v>37785</v>
      </c>
      <c r="B1057">
        <v>15.34075</v>
      </c>
    </row>
    <row r="1058" spans="1:2" x14ac:dyDescent="0.3">
      <c r="A1058" s="2">
        <v>37778</v>
      </c>
      <c r="B1058">
        <v>15.07206</v>
      </c>
    </row>
    <row r="1059" spans="1:2" x14ac:dyDescent="0.3">
      <c r="A1059" s="2">
        <v>37771</v>
      </c>
      <c r="B1059">
        <v>15.23827</v>
      </c>
    </row>
    <row r="1060" spans="1:2" x14ac:dyDescent="0.3">
      <c r="A1060" s="2">
        <v>37764</v>
      </c>
      <c r="B1060">
        <v>14.36547</v>
      </c>
    </row>
    <row r="1061" spans="1:2" x14ac:dyDescent="0.3">
      <c r="A1061" s="2">
        <v>37757</v>
      </c>
      <c r="B1061">
        <v>13.72784</v>
      </c>
    </row>
    <row r="1062" spans="1:2" x14ac:dyDescent="0.3">
      <c r="A1062" s="2">
        <v>37750</v>
      </c>
      <c r="B1062">
        <v>13.082549999999999</v>
      </c>
    </row>
    <row r="1063" spans="1:2" x14ac:dyDescent="0.3">
      <c r="A1063" s="2">
        <v>37743</v>
      </c>
      <c r="B1063">
        <v>11.852539999999999</v>
      </c>
    </row>
    <row r="1064" spans="1:2" x14ac:dyDescent="0.3">
      <c r="A1064" s="2">
        <v>37736</v>
      </c>
      <c r="B1064">
        <v>11.71026</v>
      </c>
    </row>
    <row r="1065" spans="1:2" x14ac:dyDescent="0.3">
      <c r="A1065" s="2">
        <v>37729</v>
      </c>
      <c r="B1065">
        <v>11.61877</v>
      </c>
    </row>
    <row r="1066" spans="1:2" x14ac:dyDescent="0.3">
      <c r="A1066" s="2">
        <v>37722</v>
      </c>
      <c r="B1066">
        <v>10.963419999999999</v>
      </c>
    </row>
    <row r="1067" spans="1:2" x14ac:dyDescent="0.3">
      <c r="A1067" s="2">
        <v>37715</v>
      </c>
      <c r="B1067">
        <v>10.43446</v>
      </c>
    </row>
    <row r="1068" spans="1:2" x14ac:dyDescent="0.3">
      <c r="A1068" s="2">
        <v>37708</v>
      </c>
      <c r="B1068">
        <v>9.7828999999999997</v>
      </c>
    </row>
    <row r="1069" spans="1:2" x14ac:dyDescent="0.3">
      <c r="A1069" s="2">
        <v>37701</v>
      </c>
      <c r="B1069">
        <v>10.50948</v>
      </c>
    </row>
    <row r="1070" spans="1:2" x14ac:dyDescent="0.3">
      <c r="A1070" s="2">
        <v>37694</v>
      </c>
      <c r="B1070">
        <v>9.7590199999999996</v>
      </c>
    </row>
    <row r="1071" spans="1:2" x14ac:dyDescent="0.3">
      <c r="A1071" s="2">
        <v>37687</v>
      </c>
      <c r="B1071">
        <v>10.011889999999999</v>
      </c>
    </row>
    <row r="1072" spans="1:2" x14ac:dyDescent="0.3">
      <c r="A1072" s="2">
        <v>37680</v>
      </c>
      <c r="B1072">
        <v>10.182930000000001</v>
      </c>
    </row>
    <row r="1073" spans="1:2" x14ac:dyDescent="0.3">
      <c r="A1073" s="2">
        <v>37673</v>
      </c>
      <c r="B1073">
        <v>10.65368</v>
      </c>
    </row>
    <row r="1074" spans="1:2" x14ac:dyDescent="0.3">
      <c r="A1074" s="2">
        <v>37666</v>
      </c>
      <c r="B1074">
        <v>10.687810000000001</v>
      </c>
    </row>
    <row r="1075" spans="1:2" x14ac:dyDescent="0.3">
      <c r="A1075" s="2">
        <v>37659</v>
      </c>
      <c r="B1075">
        <v>10.189109999999999</v>
      </c>
    </row>
    <row r="1076" spans="1:2" x14ac:dyDescent="0.3">
      <c r="A1076" s="2">
        <v>37652</v>
      </c>
      <c r="B1076">
        <v>10.81786</v>
      </c>
    </row>
    <row r="1077" spans="1:2" x14ac:dyDescent="0.3">
      <c r="A1077" s="2">
        <v>37645</v>
      </c>
      <c r="B1077">
        <v>11.17089</v>
      </c>
    </row>
    <row r="1078" spans="1:2" x14ac:dyDescent="0.3">
      <c r="A1078" s="2">
        <v>37638</v>
      </c>
      <c r="B1078">
        <v>11.95603</v>
      </c>
    </row>
    <row r="1079" spans="1:2" x14ac:dyDescent="0.3">
      <c r="A1079" s="2">
        <v>37631</v>
      </c>
      <c r="B1079">
        <v>11.10702</v>
      </c>
    </row>
    <row r="1080" spans="1:2" x14ac:dyDescent="0.3">
      <c r="A1080" s="2">
        <v>37624</v>
      </c>
      <c r="B1080">
        <v>11.359489999999999</v>
      </c>
    </row>
    <row r="1081" spans="1:2" x14ac:dyDescent="0.3">
      <c r="A1081" s="2">
        <v>37617</v>
      </c>
      <c r="B1081">
        <v>10.295489999999999</v>
      </c>
    </row>
    <row r="1082" spans="1:2" x14ac:dyDescent="0.3">
      <c r="A1082" s="2">
        <v>37610</v>
      </c>
      <c r="B1082">
        <v>10.64584</v>
      </c>
    </row>
    <row r="1083" spans="1:2" x14ac:dyDescent="0.3">
      <c r="A1083" s="2">
        <v>37603</v>
      </c>
      <c r="B1083">
        <v>10.276669999999999</v>
      </c>
    </row>
    <row r="1084" spans="1:2" x14ac:dyDescent="0.3">
      <c r="A1084" s="2">
        <v>37596</v>
      </c>
      <c r="B1084">
        <v>10.38034</v>
      </c>
    </row>
    <row r="1085" spans="1:2" x14ac:dyDescent="0.3">
      <c r="A1085" s="2">
        <v>37589</v>
      </c>
      <c r="B1085">
        <v>10.71748</v>
      </c>
    </row>
    <row r="1086" spans="1:2" x14ac:dyDescent="0.3">
      <c r="A1086" s="2">
        <v>37582</v>
      </c>
      <c r="B1086">
        <v>11.130979999999999</v>
      </c>
    </row>
    <row r="1087" spans="1:2" x14ac:dyDescent="0.3">
      <c r="A1087" s="2">
        <v>37575</v>
      </c>
      <c r="B1087">
        <v>11.065440000000001</v>
      </c>
    </row>
    <row r="1088" spans="1:2" x14ac:dyDescent="0.3">
      <c r="A1088" s="2">
        <v>37568</v>
      </c>
      <c r="B1088">
        <v>10.23231</v>
      </c>
    </row>
    <row r="1089" spans="1:2" x14ac:dyDescent="0.3">
      <c r="A1089" s="2">
        <v>37561</v>
      </c>
      <c r="B1089">
        <v>10.192410000000001</v>
      </c>
    </row>
    <row r="1090" spans="1:2" x14ac:dyDescent="0.3">
      <c r="A1090" s="2">
        <v>37554</v>
      </c>
      <c r="B1090">
        <v>9.1498000000000008</v>
      </c>
    </row>
    <row r="1091" spans="1:2" x14ac:dyDescent="0.3">
      <c r="A1091" s="2">
        <v>37547</v>
      </c>
      <c r="B1091">
        <v>10.22334</v>
      </c>
    </row>
    <row r="1092" spans="1:2" x14ac:dyDescent="0.3">
      <c r="A1092" s="2">
        <v>37540</v>
      </c>
      <c r="B1092">
        <v>8.6454699999999995</v>
      </c>
    </row>
    <row r="1093" spans="1:2" x14ac:dyDescent="0.3">
      <c r="A1093" s="2">
        <v>37533</v>
      </c>
      <c r="B1093">
        <v>8.5342599999999997</v>
      </c>
    </row>
    <row r="1094" spans="1:2" x14ac:dyDescent="0.3">
      <c r="A1094" s="2">
        <v>37526</v>
      </c>
      <c r="B1094">
        <v>8.8393099999999993</v>
      </c>
    </row>
    <row r="1095" spans="1:2" x14ac:dyDescent="0.3">
      <c r="A1095" s="2">
        <v>37519</v>
      </c>
      <c r="B1095">
        <v>9.5540199999999995</v>
      </c>
    </row>
    <row r="1096" spans="1:2" x14ac:dyDescent="0.3">
      <c r="A1096" s="2">
        <v>37512</v>
      </c>
      <c r="B1096">
        <v>10.01263</v>
      </c>
    </row>
    <row r="1097" spans="1:2" x14ac:dyDescent="0.3">
      <c r="A1097" s="2">
        <v>37505</v>
      </c>
      <c r="B1097">
        <v>10.779159999999999</v>
      </c>
    </row>
    <row r="1098" spans="1:2" x14ac:dyDescent="0.3">
      <c r="A1098" s="2">
        <v>37498</v>
      </c>
      <c r="B1098">
        <v>10.893359999999999</v>
      </c>
    </row>
    <row r="1099" spans="1:2" x14ac:dyDescent="0.3">
      <c r="A1099" s="2">
        <v>37491</v>
      </c>
      <c r="B1099">
        <v>10.6953</v>
      </c>
    </row>
    <row r="1100" spans="1:2" x14ac:dyDescent="0.3">
      <c r="A1100" s="2">
        <v>37484</v>
      </c>
      <c r="B1100">
        <v>10.32845</v>
      </c>
    </row>
    <row r="1101" spans="1:2" x14ac:dyDescent="0.3">
      <c r="A1101" s="2">
        <v>37477</v>
      </c>
      <c r="B1101">
        <v>10.192349999999999</v>
      </c>
    </row>
    <row r="1102" spans="1:2" x14ac:dyDescent="0.3">
      <c r="A1102" s="2">
        <v>37470</v>
      </c>
      <c r="B1102">
        <v>10.319369999999999</v>
      </c>
    </row>
    <row r="1103" spans="1:2" x14ac:dyDescent="0.3">
      <c r="A1103" s="2">
        <v>37463</v>
      </c>
      <c r="B1103">
        <v>9.4063400000000001</v>
      </c>
    </row>
    <row r="1104" spans="1:2" x14ac:dyDescent="0.3">
      <c r="A1104" s="2">
        <v>37456</v>
      </c>
      <c r="B1104">
        <v>10.246449999999999</v>
      </c>
    </row>
    <row r="1105" spans="1:2" x14ac:dyDescent="0.3">
      <c r="A1105" s="2">
        <v>37449</v>
      </c>
      <c r="B1105">
        <v>11.555020000000001</v>
      </c>
    </row>
    <row r="1106" spans="1:2" x14ac:dyDescent="0.3">
      <c r="A1106" s="2">
        <v>37442</v>
      </c>
      <c r="B1106">
        <v>13.185510000000001</v>
      </c>
    </row>
    <row r="1107" spans="1:2" x14ac:dyDescent="0.3">
      <c r="A1107" s="2">
        <v>37435</v>
      </c>
      <c r="B1107">
        <v>12.95256</v>
      </c>
    </row>
    <row r="1108" spans="1:2" x14ac:dyDescent="0.3">
      <c r="A1108" s="2">
        <v>37428</v>
      </c>
      <c r="B1108">
        <v>12.6295</v>
      </c>
    </row>
    <row r="1109" spans="1:2" x14ac:dyDescent="0.3">
      <c r="A1109" s="2">
        <v>37421</v>
      </c>
      <c r="B1109">
        <v>13.664569999999999</v>
      </c>
    </row>
    <row r="1110" spans="1:2" x14ac:dyDescent="0.3">
      <c r="A1110" s="2">
        <v>37414</v>
      </c>
      <c r="B1110">
        <v>14.08944</v>
      </c>
    </row>
    <row r="1111" spans="1:2" x14ac:dyDescent="0.3">
      <c r="A1111" s="2">
        <v>37407</v>
      </c>
      <c r="B1111">
        <v>14.44136</v>
      </c>
    </row>
    <row r="1112" spans="1:2" x14ac:dyDescent="0.3">
      <c r="A1112" s="2">
        <v>37400</v>
      </c>
      <c r="B1112">
        <v>14.037559999999999</v>
      </c>
    </row>
    <row r="1113" spans="1:2" x14ac:dyDescent="0.3">
      <c r="A1113" s="2">
        <v>37393</v>
      </c>
      <c r="B1113">
        <v>14.04678</v>
      </c>
    </row>
    <row r="1114" spans="1:2" x14ac:dyDescent="0.3">
      <c r="A1114" s="2">
        <v>37386</v>
      </c>
      <c r="B1114">
        <v>13.6845</v>
      </c>
    </row>
    <row r="1115" spans="1:2" x14ac:dyDescent="0.3">
      <c r="A1115" s="2">
        <v>37379</v>
      </c>
      <c r="B1115">
        <v>13.447990000000001</v>
      </c>
    </row>
    <row r="1116" spans="1:2" x14ac:dyDescent="0.3">
      <c r="A1116" s="2">
        <v>37372</v>
      </c>
      <c r="B1116">
        <v>13.414529999999999</v>
      </c>
    </row>
    <row r="1117" spans="1:2" x14ac:dyDescent="0.3">
      <c r="A1117" s="2">
        <v>37365</v>
      </c>
      <c r="B1117">
        <v>13.605309999999999</v>
      </c>
    </row>
    <row r="1118" spans="1:2" x14ac:dyDescent="0.3">
      <c r="A1118" s="2">
        <v>37358</v>
      </c>
      <c r="B1118">
        <v>13.54584</v>
      </c>
    </row>
    <row r="1119" spans="1:2" x14ac:dyDescent="0.3">
      <c r="A1119" s="2">
        <v>37351</v>
      </c>
      <c r="B1119">
        <v>14.82762</v>
      </c>
    </row>
    <row r="1120" spans="1:2" x14ac:dyDescent="0.3">
      <c r="A1120" s="2">
        <v>37344</v>
      </c>
      <c r="B1120">
        <v>14.93408</v>
      </c>
    </row>
    <row r="1121" spans="1:2" x14ac:dyDescent="0.3">
      <c r="A1121" s="2">
        <v>37337</v>
      </c>
      <c r="B1121">
        <v>15.216189999999999</v>
      </c>
    </row>
    <row r="1122" spans="1:2" x14ac:dyDescent="0.3">
      <c r="A1122" s="2">
        <v>37330</v>
      </c>
      <c r="B1122">
        <v>14.35177</v>
      </c>
    </row>
    <row r="1123" spans="1:2" x14ac:dyDescent="0.3">
      <c r="A1123" s="2">
        <v>37323</v>
      </c>
      <c r="B1123">
        <v>13.81697</v>
      </c>
    </row>
    <row r="1124" spans="1:2" x14ac:dyDescent="0.3">
      <c r="A1124" s="2">
        <v>37316</v>
      </c>
      <c r="B1124">
        <v>13.236549999999999</v>
      </c>
    </row>
    <row r="1125" spans="1:2" x14ac:dyDescent="0.3">
      <c r="A1125" s="2">
        <v>37309</v>
      </c>
      <c r="B1125">
        <v>12.64189</v>
      </c>
    </row>
    <row r="1126" spans="1:2" x14ac:dyDescent="0.3">
      <c r="A1126" s="2">
        <v>37302</v>
      </c>
      <c r="B1126">
        <v>13.15912</v>
      </c>
    </row>
    <row r="1127" spans="1:2" x14ac:dyDescent="0.3">
      <c r="A1127" s="2">
        <v>37295</v>
      </c>
      <c r="B1127">
        <v>13.0718</v>
      </c>
    </row>
    <row r="1128" spans="1:2" x14ac:dyDescent="0.3">
      <c r="A1128" s="2">
        <v>37288</v>
      </c>
      <c r="B1128">
        <v>12.853579999999999</v>
      </c>
    </row>
    <row r="1129" spans="1:2" x14ac:dyDescent="0.3">
      <c r="A1129" s="2">
        <v>37281</v>
      </c>
      <c r="B1129">
        <v>13.171430000000001</v>
      </c>
    </row>
    <row r="1130" spans="1:2" x14ac:dyDescent="0.3">
      <c r="A1130" s="2">
        <v>37274</v>
      </c>
      <c r="B1130">
        <v>13.80288</v>
      </c>
    </row>
    <row r="1131" spans="1:2" x14ac:dyDescent="0.3">
      <c r="A1131" s="2">
        <v>37267</v>
      </c>
      <c r="B1131">
        <v>14.8324</v>
      </c>
    </row>
    <row r="1132" spans="1:2" x14ac:dyDescent="0.3">
      <c r="A1132" s="2">
        <v>37260</v>
      </c>
      <c r="B1132">
        <v>14.10304</v>
      </c>
    </row>
    <row r="1133" spans="1:2" x14ac:dyDescent="0.3">
      <c r="A1133" s="2">
        <v>37253</v>
      </c>
      <c r="B1133">
        <v>13.24666</v>
      </c>
    </row>
    <row r="1134" spans="1:2" x14ac:dyDescent="0.3">
      <c r="A1134" s="2">
        <v>37246</v>
      </c>
      <c r="B1134">
        <v>13.14828</v>
      </c>
    </row>
    <row r="1135" spans="1:2" x14ac:dyDescent="0.3">
      <c r="A1135" s="2">
        <v>37239</v>
      </c>
      <c r="B1135">
        <v>13.73624</v>
      </c>
    </row>
    <row r="1136" spans="1:2" x14ac:dyDescent="0.3">
      <c r="A1136" s="2">
        <v>37232</v>
      </c>
      <c r="B1136">
        <v>14.040469999999999</v>
      </c>
    </row>
    <row r="1137" spans="1:2" x14ac:dyDescent="0.3">
      <c r="A1137" s="2">
        <v>37225</v>
      </c>
      <c r="B1137">
        <v>14.131500000000001</v>
      </c>
    </row>
    <row r="1138" spans="1:2" x14ac:dyDescent="0.3">
      <c r="A1138" s="2">
        <v>37218</v>
      </c>
      <c r="B1138">
        <v>14.22292</v>
      </c>
    </row>
    <row r="1139" spans="1:2" x14ac:dyDescent="0.3">
      <c r="A1139" s="2">
        <v>37211</v>
      </c>
      <c r="B1139">
        <v>14.17212</v>
      </c>
    </row>
    <row r="1140" spans="1:2" x14ac:dyDescent="0.3">
      <c r="A1140" s="2">
        <v>37204</v>
      </c>
      <c r="B1140">
        <v>14.16197</v>
      </c>
    </row>
    <row r="1141" spans="1:2" x14ac:dyDescent="0.3">
      <c r="A1141" s="2">
        <v>37197</v>
      </c>
      <c r="B1141">
        <v>13.74926</v>
      </c>
    </row>
    <row r="1142" spans="1:2" x14ac:dyDescent="0.3">
      <c r="A1142" s="2">
        <v>37190</v>
      </c>
      <c r="B1142">
        <v>14.09676</v>
      </c>
    </row>
    <row r="1143" spans="1:2" x14ac:dyDescent="0.3">
      <c r="A1143" s="2">
        <v>37183</v>
      </c>
      <c r="B1143">
        <v>14.408390000000001</v>
      </c>
    </row>
    <row r="1144" spans="1:2" x14ac:dyDescent="0.3">
      <c r="A1144" s="2">
        <v>37176</v>
      </c>
      <c r="B1144">
        <v>15.53654</v>
      </c>
    </row>
    <row r="1145" spans="1:2" x14ac:dyDescent="0.3">
      <c r="A1145" s="2">
        <v>37169</v>
      </c>
      <c r="B1145">
        <v>15.5907</v>
      </c>
    </row>
    <row r="1146" spans="1:2" x14ac:dyDescent="0.3">
      <c r="A1146" s="2">
        <v>37162</v>
      </c>
      <c r="B1146">
        <v>15.023250000000001</v>
      </c>
    </row>
    <row r="1147" spans="1:2" x14ac:dyDescent="0.3">
      <c r="A1147" s="2">
        <v>37155</v>
      </c>
      <c r="B1147">
        <v>14.20068</v>
      </c>
    </row>
    <row r="1148" spans="1:2" x14ac:dyDescent="0.3">
      <c r="A1148" s="2">
        <v>37148</v>
      </c>
      <c r="B1148">
        <v>11.87058</v>
      </c>
    </row>
    <row r="1149" spans="1:2" x14ac:dyDescent="0.3">
      <c r="A1149" s="2">
        <v>37141</v>
      </c>
      <c r="B1149">
        <v>13.246</v>
      </c>
    </row>
    <row r="1150" spans="1:2" x14ac:dyDescent="0.3">
      <c r="A1150" s="2">
        <v>37134</v>
      </c>
      <c r="B1150">
        <v>14.8421</v>
      </c>
    </row>
    <row r="1151" spans="1:2" x14ac:dyDescent="0.3">
      <c r="A1151" s="2">
        <v>37127</v>
      </c>
      <c r="B1151">
        <v>15.97123</v>
      </c>
    </row>
    <row r="1152" spans="1:2" x14ac:dyDescent="0.3">
      <c r="A1152" s="2">
        <v>37120</v>
      </c>
      <c r="B1152">
        <v>16.238299999999999</v>
      </c>
    </row>
    <row r="1153" spans="1:2" x14ac:dyDescent="0.3">
      <c r="A1153" s="2">
        <v>37113</v>
      </c>
      <c r="B1153">
        <v>16.099139999999998</v>
      </c>
    </row>
    <row r="1154" spans="1:2" x14ac:dyDescent="0.3">
      <c r="A1154" s="2">
        <v>37106</v>
      </c>
      <c r="B1154">
        <v>15.7263</v>
      </c>
    </row>
    <row r="1155" spans="1:2" x14ac:dyDescent="0.3">
      <c r="A1155" s="2">
        <v>37099</v>
      </c>
      <c r="B1155">
        <v>15.505000000000001</v>
      </c>
    </row>
    <row r="1156" spans="1:2" x14ac:dyDescent="0.3">
      <c r="A1156" s="2">
        <v>37092</v>
      </c>
      <c r="B1156">
        <v>16.312010000000001</v>
      </c>
    </row>
    <row r="1157" spans="1:2" x14ac:dyDescent="0.3">
      <c r="A1157" s="2">
        <v>37085</v>
      </c>
      <c r="B1157">
        <v>16.0364</v>
      </c>
    </row>
    <row r="1158" spans="1:2" x14ac:dyDescent="0.3">
      <c r="A1158" s="2">
        <v>37078</v>
      </c>
      <c r="B1158">
        <v>16.29974</v>
      </c>
    </row>
    <row r="1159" spans="1:2" x14ac:dyDescent="0.3">
      <c r="A1159" s="2">
        <v>37071</v>
      </c>
      <c r="B1159">
        <v>16.01397</v>
      </c>
    </row>
    <row r="1160" spans="1:2" x14ac:dyDescent="0.3">
      <c r="A1160" s="2">
        <v>37064</v>
      </c>
      <c r="B1160">
        <v>15.47057</v>
      </c>
    </row>
    <row r="1161" spans="1:2" x14ac:dyDescent="0.3">
      <c r="A1161" s="2">
        <v>37057</v>
      </c>
      <c r="B1161">
        <v>15.54443</v>
      </c>
    </row>
    <row r="1162" spans="1:2" x14ac:dyDescent="0.3">
      <c r="A1162" s="2">
        <v>37050</v>
      </c>
      <c r="B1162">
        <v>15.78079</v>
      </c>
    </row>
    <row r="1163" spans="1:2" x14ac:dyDescent="0.3">
      <c r="A1163" s="2">
        <v>37043</v>
      </c>
      <c r="B1163">
        <v>15.331329999999999</v>
      </c>
    </row>
    <row r="1164" spans="1:2" x14ac:dyDescent="0.3">
      <c r="A1164" s="2">
        <v>37036</v>
      </c>
      <c r="B1164">
        <v>15.83379</v>
      </c>
    </row>
    <row r="1165" spans="1:2" x14ac:dyDescent="0.3">
      <c r="A1165" s="2">
        <v>37029</v>
      </c>
      <c r="B1165">
        <v>16.142320000000002</v>
      </c>
    </row>
    <row r="1166" spans="1:2" x14ac:dyDescent="0.3">
      <c r="A1166" s="2">
        <v>37022</v>
      </c>
      <c r="B1166">
        <v>16.085609999999999</v>
      </c>
    </row>
    <row r="1167" spans="1:2" x14ac:dyDescent="0.3">
      <c r="A1167" s="2">
        <v>37015</v>
      </c>
      <c r="B1167">
        <v>16.28884</v>
      </c>
    </row>
    <row r="1168" spans="1:2" x14ac:dyDescent="0.3">
      <c r="A1168" s="2">
        <v>37008</v>
      </c>
      <c r="B1168">
        <v>16.666879999999999</v>
      </c>
    </row>
    <row r="1169" spans="1:2" x14ac:dyDescent="0.3">
      <c r="A1169" s="2">
        <v>37001</v>
      </c>
      <c r="B1169">
        <v>16.881409999999999</v>
      </c>
    </row>
    <row r="1170" spans="1:2" x14ac:dyDescent="0.3">
      <c r="A1170" s="2">
        <v>36994</v>
      </c>
      <c r="B1170">
        <v>16.480460000000001</v>
      </c>
    </row>
    <row r="1171" spans="1:2" x14ac:dyDescent="0.3">
      <c r="A1171" s="2">
        <v>36987</v>
      </c>
      <c r="B1171">
        <v>16.693560000000002</v>
      </c>
    </row>
    <row r="1172" spans="1:2" x14ac:dyDescent="0.3">
      <c r="A1172" s="2">
        <v>36980</v>
      </c>
      <c r="B1172">
        <v>17.164899999999999</v>
      </c>
    </row>
    <row r="1173" spans="1:2" x14ac:dyDescent="0.3">
      <c r="A1173" s="2">
        <v>36973</v>
      </c>
      <c r="B1173">
        <v>17.030190000000001</v>
      </c>
    </row>
    <row r="1174" spans="1:2" x14ac:dyDescent="0.3">
      <c r="A1174" s="2">
        <v>36966</v>
      </c>
      <c r="B1174">
        <v>19.670200000000001</v>
      </c>
    </row>
    <row r="1175" spans="1:2" x14ac:dyDescent="0.3">
      <c r="A1175" s="2">
        <v>36959</v>
      </c>
      <c r="B1175">
        <v>21.368749999999999</v>
      </c>
    </row>
    <row r="1176" spans="1:2" x14ac:dyDescent="0.3">
      <c r="A1176" s="2">
        <v>36952</v>
      </c>
      <c r="B1176">
        <v>21.045919999999999</v>
      </c>
    </row>
    <row r="1177" spans="1:2" x14ac:dyDescent="0.3">
      <c r="A1177" s="2">
        <v>36945</v>
      </c>
      <c r="B1177">
        <v>21.552409999999998</v>
      </c>
    </row>
    <row r="1178" spans="1:2" x14ac:dyDescent="0.3">
      <c r="A1178" s="2">
        <v>36938</v>
      </c>
      <c r="B1178">
        <v>21.400099999999998</v>
      </c>
    </row>
    <row r="1179" spans="1:2" x14ac:dyDescent="0.3">
      <c r="A1179" s="2">
        <v>36931</v>
      </c>
      <c r="B1179">
        <v>21.837610000000002</v>
      </c>
    </row>
    <row r="1180" spans="1:2" x14ac:dyDescent="0.3">
      <c r="A1180" s="2">
        <v>36924</v>
      </c>
      <c r="B1180">
        <v>22.552779999999998</v>
      </c>
    </row>
    <row r="1181" spans="1:2" x14ac:dyDescent="0.3">
      <c r="A1181" s="2">
        <v>36917</v>
      </c>
      <c r="B1181">
        <v>20.537389999999998</v>
      </c>
    </row>
    <row r="1182" spans="1:2" x14ac:dyDescent="0.3">
      <c r="A1182" s="2">
        <v>36910</v>
      </c>
      <c r="B1182">
        <v>20.91161</v>
      </c>
    </row>
    <row r="1183" spans="1:2" x14ac:dyDescent="0.3">
      <c r="A1183" s="2">
        <v>36903</v>
      </c>
      <c r="B1183">
        <v>20.906600000000001</v>
      </c>
    </row>
    <row r="1184" spans="1:2" x14ac:dyDescent="0.3">
      <c r="A1184" s="2">
        <v>36896</v>
      </c>
      <c r="B1184">
        <v>22.175850000000001</v>
      </c>
    </row>
    <row r="1185" spans="1:2" x14ac:dyDescent="0.3">
      <c r="A1185" s="2">
        <v>36889</v>
      </c>
      <c r="B1185">
        <v>21.608499999999999</v>
      </c>
    </row>
    <row r="1186" spans="1:2" x14ac:dyDescent="0.3">
      <c r="A1186" s="2">
        <v>36882</v>
      </c>
      <c r="B1186">
        <v>20.778749999999999</v>
      </c>
    </row>
    <row r="1187" spans="1:2" x14ac:dyDescent="0.3">
      <c r="A1187" s="2">
        <v>36875</v>
      </c>
      <c r="B1187">
        <v>20.299320000000002</v>
      </c>
    </row>
    <row r="1188" spans="1:2" x14ac:dyDescent="0.3">
      <c r="A1188" s="2">
        <v>36868</v>
      </c>
      <c r="B1188">
        <v>20.938479999999998</v>
      </c>
    </row>
    <row r="1189" spans="1:2" x14ac:dyDescent="0.3">
      <c r="A1189" s="2">
        <v>36861</v>
      </c>
      <c r="B1189">
        <v>19.687249999999999</v>
      </c>
    </row>
    <row r="1190" spans="1:2" x14ac:dyDescent="0.3">
      <c r="A1190" s="2">
        <v>36854</v>
      </c>
      <c r="B1190">
        <v>18.828880000000002</v>
      </c>
    </row>
    <row r="1191" spans="1:2" x14ac:dyDescent="0.3">
      <c r="A1191" s="2">
        <v>36847</v>
      </c>
      <c r="B1191">
        <v>17.8857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E264-EE3B-4E0A-B862-9C83EDE7349A}">
  <dimension ref="A1:S1211"/>
  <sheetViews>
    <sheetView topLeftCell="B1" workbookViewId="0">
      <selection activeCell="M1" sqref="M1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11.33203125" bestFit="1" customWidth="1"/>
    <col min="6" max="7" width="12.5546875" bestFit="1" customWidth="1"/>
    <col min="8" max="8" width="18.109375" bestFit="1" customWidth="1"/>
    <col min="11" max="11" width="18.109375" bestFit="1" customWidth="1"/>
    <col min="12" max="12" width="10.109375" bestFit="1" customWidth="1"/>
  </cols>
  <sheetData>
    <row r="1" spans="1:19" x14ac:dyDescent="0.3">
      <c r="A1" t="s">
        <v>0</v>
      </c>
      <c r="B1" t="s">
        <v>10</v>
      </c>
      <c r="G1" s="15" t="s">
        <v>56</v>
      </c>
      <c r="H1" s="15" t="s">
        <v>55</v>
      </c>
      <c r="I1" s="15" t="s">
        <v>1274</v>
      </c>
      <c r="J1" s="8">
        <v>277</v>
      </c>
      <c r="L1" s="17" t="s">
        <v>1275</v>
      </c>
      <c r="M1">
        <f>SUM(Q9:Q285)/J1</f>
        <v>1091.0392974580923</v>
      </c>
    </row>
    <row r="2" spans="1:19" x14ac:dyDescent="0.3">
      <c r="A2" t="s">
        <v>2</v>
      </c>
      <c r="B2" s="1">
        <v>36714</v>
      </c>
      <c r="G2" s="15" t="s">
        <v>57</v>
      </c>
      <c r="H2" s="16" t="s">
        <v>58</v>
      </c>
      <c r="I2" s="16">
        <f>SUM(K9:K285)/J1</f>
        <v>128.21819299037298</v>
      </c>
      <c r="L2" s="6" t="s">
        <v>1276</v>
      </c>
      <c r="M2">
        <f>SQRT(M1)</f>
        <v>33.030883994499639</v>
      </c>
    </row>
    <row r="3" spans="1:19" x14ac:dyDescent="0.3">
      <c r="A3" t="s">
        <v>3</v>
      </c>
      <c r="B3" s="1">
        <v>45135</v>
      </c>
      <c r="G3" s="15" t="s">
        <v>59</v>
      </c>
      <c r="H3" s="16" t="s">
        <v>60</v>
      </c>
      <c r="I3" s="16">
        <f>SUM(N9:N285)/SUM(M9:M285)</f>
        <v>0.71238123955896937</v>
      </c>
      <c r="L3" s="6" t="s">
        <v>1277</v>
      </c>
      <c r="M3">
        <f>SUM(S9:S285)/J1</f>
        <v>9.4331271513918917</v>
      </c>
    </row>
    <row r="4" spans="1:19" x14ac:dyDescent="0.3">
      <c r="A4" t="s">
        <v>4</v>
      </c>
      <c r="B4" t="s">
        <v>5</v>
      </c>
      <c r="L4" s="6" t="s">
        <v>1278</v>
      </c>
      <c r="M4">
        <f>100-M3</f>
        <v>90.566872848608114</v>
      </c>
    </row>
    <row r="5" spans="1:19" x14ac:dyDescent="0.3">
      <c r="A5" t="s">
        <v>6</v>
      </c>
      <c r="B5" t="s">
        <v>7</v>
      </c>
    </row>
    <row r="6" spans="1:19" x14ac:dyDescent="0.3">
      <c r="A6" s="6" t="s">
        <v>69</v>
      </c>
    </row>
    <row r="8" spans="1:19" x14ac:dyDescent="0.3">
      <c r="A8" s="5" t="s">
        <v>8</v>
      </c>
      <c r="B8" s="5" t="s">
        <v>9</v>
      </c>
      <c r="G8" s="3" t="s">
        <v>12</v>
      </c>
      <c r="H8" t="s">
        <v>17</v>
      </c>
      <c r="J8" s="11" t="s">
        <v>8</v>
      </c>
      <c r="K8" s="12" t="s">
        <v>17</v>
      </c>
      <c r="L8" s="11" t="s">
        <v>14</v>
      </c>
      <c r="M8" s="11" t="s">
        <v>15</v>
      </c>
      <c r="N8" s="11" t="s">
        <v>16</v>
      </c>
      <c r="O8" s="11" t="s">
        <v>37</v>
      </c>
      <c r="P8" s="11" t="s">
        <v>61</v>
      </c>
      <c r="Q8" s="11" t="s">
        <v>62</v>
      </c>
      <c r="R8" s="11" t="s">
        <v>1273</v>
      </c>
      <c r="S8" s="11" t="s">
        <v>67</v>
      </c>
    </row>
    <row r="9" spans="1:19" x14ac:dyDescent="0.3">
      <c r="A9" s="10" t="s">
        <v>70</v>
      </c>
      <c r="B9">
        <v>259.67</v>
      </c>
      <c r="G9" s="4" t="s">
        <v>38</v>
      </c>
      <c r="H9">
        <v>42.153557692307693</v>
      </c>
      <c r="J9" t="str">
        <f>_xlfn.CONCAT($G$9,"-",G10)</f>
        <v>2000-Jul</v>
      </c>
      <c r="K9">
        <v>40.234375</v>
      </c>
      <c r="L9">
        <v>-138.5</v>
      </c>
      <c r="M9">
        <f>L9*L9</f>
        <v>19182.25</v>
      </c>
      <c r="N9">
        <f>L9*K9</f>
        <v>-5572.4609375</v>
      </c>
      <c r="O9">
        <f>$I$2+$I$3*L9</f>
        <v>29.553391311455727</v>
      </c>
      <c r="P9">
        <f>K9-O9</f>
        <v>10.680983688544273</v>
      </c>
      <c r="Q9">
        <f>P9*P9</f>
        <v>114.08341255494884</v>
      </c>
      <c r="R9">
        <f>ABS(P9)/$J$1</f>
        <v>3.8559507900881855E-2</v>
      </c>
      <c r="S9">
        <f>R9*100</f>
        <v>3.8559507900881855</v>
      </c>
    </row>
    <row r="10" spans="1:19" x14ac:dyDescent="0.3">
      <c r="A10" s="10" t="s">
        <v>71</v>
      </c>
      <c r="B10">
        <v>257.45</v>
      </c>
      <c r="G10" s="7" t="s">
        <v>23</v>
      </c>
      <c r="H10">
        <v>40.234375</v>
      </c>
      <c r="J10" t="str">
        <f>_xlfn.CONCAT($G$9,"-",G11)</f>
        <v>2000-Aug</v>
      </c>
      <c r="K10">
        <v>40.53125</v>
      </c>
      <c r="L10">
        <v>-137.5</v>
      </c>
      <c r="M10">
        <f t="shared" ref="M10:M73" si="0">L10*L10</f>
        <v>18906.25</v>
      </c>
      <c r="N10">
        <f t="shared" ref="N10:N73" si="1">L10*K10</f>
        <v>-5573.046875</v>
      </c>
      <c r="O10">
        <f t="shared" ref="O10:O73" si="2">$I$2+$I$3*L10</f>
        <v>30.265772551014692</v>
      </c>
      <c r="P10">
        <f t="shared" ref="P10:P73" si="3">K10-O10</f>
        <v>10.265477448985308</v>
      </c>
      <c r="Q10">
        <f t="shared" ref="Q10:Q73" si="4">P10*P10</f>
        <v>105.3800272556259</v>
      </c>
      <c r="R10">
        <f t="shared" ref="R10:R73" si="5">ABS(P10)/$J$1</f>
        <v>3.7059485375398223E-2</v>
      </c>
      <c r="S10">
        <f t="shared" ref="S10:S73" si="6">R10*100</f>
        <v>3.7059485375398222</v>
      </c>
    </row>
    <row r="11" spans="1:19" x14ac:dyDescent="0.3">
      <c r="A11" s="10" t="s">
        <v>72</v>
      </c>
      <c r="B11">
        <v>251.25</v>
      </c>
      <c r="G11" s="7" t="s">
        <v>24</v>
      </c>
      <c r="H11">
        <v>40.53125</v>
      </c>
      <c r="J11" t="str">
        <f t="shared" ref="J11:J14" si="7">_xlfn.CONCAT($G$9,"-",G12)</f>
        <v>2000-Sep</v>
      </c>
      <c r="K11">
        <v>40.58</v>
      </c>
      <c r="L11">
        <v>-136.5</v>
      </c>
      <c r="M11">
        <f t="shared" si="0"/>
        <v>18632.25</v>
      </c>
      <c r="N11">
        <f t="shared" si="1"/>
        <v>-5539.17</v>
      </c>
      <c r="O11">
        <f t="shared" si="2"/>
        <v>30.978153790573671</v>
      </c>
      <c r="P11">
        <f t="shared" si="3"/>
        <v>9.6018462094263271</v>
      </c>
      <c r="Q11">
        <f t="shared" si="4"/>
        <v>92.19545062947472</v>
      </c>
      <c r="R11">
        <f t="shared" si="5"/>
        <v>3.4663704727170855E-2</v>
      </c>
      <c r="S11">
        <f t="shared" si="6"/>
        <v>3.4663704727170854</v>
      </c>
    </row>
    <row r="12" spans="1:19" x14ac:dyDescent="0.3">
      <c r="A12" s="10" t="s">
        <v>73</v>
      </c>
      <c r="B12">
        <v>247.9</v>
      </c>
      <c r="G12" s="7" t="s">
        <v>25</v>
      </c>
      <c r="H12">
        <v>40.58</v>
      </c>
      <c r="J12" t="str">
        <f t="shared" si="7"/>
        <v>2000-Oct</v>
      </c>
      <c r="K12">
        <v>42.28</v>
      </c>
      <c r="L12">
        <v>-135.5</v>
      </c>
      <c r="M12">
        <f t="shared" si="0"/>
        <v>18360.25</v>
      </c>
      <c r="N12">
        <f t="shared" si="1"/>
        <v>-5728.9400000000005</v>
      </c>
      <c r="O12">
        <f t="shared" si="2"/>
        <v>31.690535030132637</v>
      </c>
      <c r="P12">
        <f t="shared" si="3"/>
        <v>10.589464969867365</v>
      </c>
      <c r="Q12">
        <f t="shared" si="4"/>
        <v>112.13676834804802</v>
      </c>
      <c r="R12">
        <f t="shared" si="5"/>
        <v>3.8229115414683629E-2</v>
      </c>
      <c r="S12">
        <f t="shared" si="6"/>
        <v>3.822911541468363</v>
      </c>
    </row>
    <row r="13" spans="1:19" x14ac:dyDescent="0.3">
      <c r="A13" s="10" t="s">
        <v>74</v>
      </c>
      <c r="B13">
        <v>232.34</v>
      </c>
      <c r="G13" s="7" t="s">
        <v>26</v>
      </c>
      <c r="H13">
        <v>42.28</v>
      </c>
      <c r="J13" t="str">
        <f t="shared" si="7"/>
        <v>2000-Nov</v>
      </c>
      <c r="K13">
        <v>47.1875</v>
      </c>
      <c r="L13">
        <v>-134.5</v>
      </c>
      <c r="M13">
        <f t="shared" si="0"/>
        <v>18090.25</v>
      </c>
      <c r="N13">
        <f t="shared" si="1"/>
        <v>-6346.71875</v>
      </c>
      <c r="O13">
        <f t="shared" si="2"/>
        <v>32.402916269691602</v>
      </c>
      <c r="P13">
        <f t="shared" si="3"/>
        <v>14.784583730308398</v>
      </c>
      <c r="Q13">
        <f t="shared" si="4"/>
        <v>218.58391607849978</v>
      </c>
      <c r="R13">
        <f t="shared" si="5"/>
        <v>5.3373948484867866E-2</v>
      </c>
      <c r="S13">
        <f t="shared" si="6"/>
        <v>5.3373948484867864</v>
      </c>
    </row>
    <row r="14" spans="1:19" x14ac:dyDescent="0.3">
      <c r="A14" s="10" t="s">
        <v>75</v>
      </c>
      <c r="B14">
        <v>233.46</v>
      </c>
      <c r="G14" s="7" t="s">
        <v>27</v>
      </c>
      <c r="H14">
        <v>47.1875</v>
      </c>
      <c r="J14" t="str">
        <f t="shared" si="7"/>
        <v>2000-Dec</v>
      </c>
      <c r="K14">
        <v>42.432000000000002</v>
      </c>
      <c r="L14">
        <v>-133.5</v>
      </c>
      <c r="M14">
        <f t="shared" si="0"/>
        <v>17822.25</v>
      </c>
      <c r="N14">
        <f t="shared" si="1"/>
        <v>-5664.6720000000005</v>
      </c>
      <c r="O14">
        <f t="shared" si="2"/>
        <v>33.115297509250567</v>
      </c>
      <c r="P14">
        <f t="shared" si="3"/>
        <v>9.3167024907494351</v>
      </c>
      <c r="Q14">
        <f t="shared" si="4"/>
        <v>86.800945301136721</v>
      </c>
      <c r="R14">
        <f t="shared" si="5"/>
        <v>3.3634305020756081E-2</v>
      </c>
      <c r="S14">
        <f t="shared" si="6"/>
        <v>3.3634305020756079</v>
      </c>
    </row>
    <row r="15" spans="1:19" x14ac:dyDescent="0.3">
      <c r="A15" s="10" t="s">
        <v>76</v>
      </c>
      <c r="B15">
        <v>223.76</v>
      </c>
      <c r="G15" s="7" t="s">
        <v>28</v>
      </c>
      <c r="H15">
        <v>42.432000000000002</v>
      </c>
      <c r="J15" t="str">
        <f>_xlfn.CONCAT($G$16,"-",G17)</f>
        <v>2001-Jan</v>
      </c>
      <c r="K15">
        <v>42.232500000000002</v>
      </c>
      <c r="L15">
        <v>-132.5</v>
      </c>
      <c r="M15">
        <f t="shared" si="0"/>
        <v>17556.25</v>
      </c>
      <c r="N15">
        <f t="shared" si="1"/>
        <v>-5595.8062500000005</v>
      </c>
      <c r="O15">
        <f t="shared" si="2"/>
        <v>33.827678748809547</v>
      </c>
      <c r="P15">
        <f t="shared" si="3"/>
        <v>8.4048212511904552</v>
      </c>
      <c r="Q15">
        <f t="shared" si="4"/>
        <v>70.641020264462682</v>
      </c>
      <c r="R15">
        <f t="shared" si="5"/>
        <v>3.0342314986247131E-2</v>
      </c>
      <c r="S15">
        <f t="shared" si="6"/>
        <v>3.0342314986247132</v>
      </c>
    </row>
    <row r="16" spans="1:19" x14ac:dyDescent="0.3">
      <c r="A16" s="10" t="s">
        <v>77</v>
      </c>
      <c r="B16">
        <v>221.74</v>
      </c>
      <c r="G16" s="4" t="s">
        <v>39</v>
      </c>
      <c r="H16">
        <v>41.743269230769243</v>
      </c>
      <c r="J16" t="str">
        <f t="shared" ref="J16:J26" si="8">_xlfn.CONCAT($G$16,"-",G18)</f>
        <v>2001-Feb</v>
      </c>
      <c r="K16">
        <v>43.472500000000004</v>
      </c>
      <c r="L16">
        <v>-131.5</v>
      </c>
      <c r="M16">
        <f t="shared" si="0"/>
        <v>17292.25</v>
      </c>
      <c r="N16">
        <f t="shared" si="1"/>
        <v>-5716.6337500000009</v>
      </c>
      <c r="O16">
        <f t="shared" si="2"/>
        <v>34.540059988368512</v>
      </c>
      <c r="P16">
        <f t="shared" si="3"/>
        <v>8.9324400116314919</v>
      </c>
      <c r="Q16">
        <f t="shared" si="4"/>
        <v>79.788484561395208</v>
      </c>
      <c r="R16">
        <f t="shared" si="5"/>
        <v>3.2247075854265311E-2</v>
      </c>
      <c r="S16">
        <f t="shared" si="6"/>
        <v>3.2247075854265312</v>
      </c>
    </row>
    <row r="17" spans="1:19" x14ac:dyDescent="0.3">
      <c r="A17" s="10" t="s">
        <v>78</v>
      </c>
      <c r="B17">
        <v>224.15</v>
      </c>
      <c r="G17" s="7" t="s">
        <v>30</v>
      </c>
      <c r="H17">
        <v>42.232500000000002</v>
      </c>
      <c r="J17" t="str">
        <f t="shared" si="8"/>
        <v>2001-Mar</v>
      </c>
      <c r="K17">
        <v>41.703999999999994</v>
      </c>
      <c r="L17">
        <v>-130.5</v>
      </c>
      <c r="M17">
        <f t="shared" si="0"/>
        <v>17030.25</v>
      </c>
      <c r="N17">
        <f t="shared" si="1"/>
        <v>-5442.3719999999994</v>
      </c>
      <c r="O17">
        <f t="shared" si="2"/>
        <v>35.252441227927477</v>
      </c>
      <c r="P17">
        <f t="shared" si="3"/>
        <v>6.4515587720725165</v>
      </c>
      <c r="Q17">
        <f t="shared" si="4"/>
        <v>41.62261058950584</v>
      </c>
      <c r="R17">
        <f t="shared" si="5"/>
        <v>2.3290825891958543E-2</v>
      </c>
      <c r="S17">
        <f t="shared" si="6"/>
        <v>2.3290825891958544</v>
      </c>
    </row>
    <row r="18" spans="1:19" x14ac:dyDescent="0.3">
      <c r="A18" s="10" t="s">
        <v>79</v>
      </c>
      <c r="B18">
        <v>229.08</v>
      </c>
      <c r="G18" s="7" t="s">
        <v>31</v>
      </c>
      <c r="H18">
        <v>43.472500000000004</v>
      </c>
      <c r="J18" t="str">
        <f t="shared" si="8"/>
        <v>2001-Apr</v>
      </c>
      <c r="K18">
        <v>40.817499999999995</v>
      </c>
      <c r="L18">
        <v>-129.5</v>
      </c>
      <c r="M18">
        <f t="shared" si="0"/>
        <v>16770.25</v>
      </c>
      <c r="N18">
        <f t="shared" si="1"/>
        <v>-5285.8662499999991</v>
      </c>
      <c r="O18">
        <f t="shared" si="2"/>
        <v>35.964822467486457</v>
      </c>
      <c r="P18">
        <f t="shared" si="3"/>
        <v>4.8526775325135389</v>
      </c>
      <c r="Q18">
        <f t="shared" si="4"/>
        <v>23.54847923456169</v>
      </c>
      <c r="R18">
        <f t="shared" si="5"/>
        <v>1.751869145311747E-2</v>
      </c>
      <c r="S18">
        <f t="shared" si="6"/>
        <v>1.751869145311747</v>
      </c>
    </row>
    <row r="19" spans="1:19" x14ac:dyDescent="0.3">
      <c r="A19" s="10" t="s">
        <v>80</v>
      </c>
      <c r="B19">
        <v>222.93</v>
      </c>
      <c r="G19" s="7" t="s">
        <v>19</v>
      </c>
      <c r="H19">
        <v>41.703999999999994</v>
      </c>
      <c r="J19" t="str">
        <f t="shared" si="8"/>
        <v>2001-May</v>
      </c>
      <c r="K19">
        <v>39.979999999999997</v>
      </c>
      <c r="L19">
        <v>-128.5</v>
      </c>
      <c r="M19">
        <f t="shared" si="0"/>
        <v>16512.25</v>
      </c>
      <c r="N19">
        <f t="shared" si="1"/>
        <v>-5137.4299999999994</v>
      </c>
      <c r="O19">
        <f t="shared" si="2"/>
        <v>36.677203707045422</v>
      </c>
      <c r="P19">
        <f t="shared" si="3"/>
        <v>3.3027962929545751</v>
      </c>
      <c r="Q19">
        <f t="shared" si="4"/>
        <v>10.908463352754483</v>
      </c>
      <c r="R19">
        <f t="shared" si="5"/>
        <v>1.192345232113565E-2</v>
      </c>
      <c r="S19">
        <f t="shared" si="6"/>
        <v>1.192345232113565</v>
      </c>
    </row>
    <row r="20" spans="1:19" x14ac:dyDescent="0.3">
      <c r="A20" s="10" t="s">
        <v>81</v>
      </c>
      <c r="B20">
        <v>229.3</v>
      </c>
      <c r="G20" s="7" t="s">
        <v>20</v>
      </c>
      <c r="H20">
        <v>40.817499999999995</v>
      </c>
      <c r="J20" t="str">
        <f t="shared" si="8"/>
        <v>2001-Jun</v>
      </c>
      <c r="K20">
        <v>39.218000000000004</v>
      </c>
      <c r="L20">
        <v>-127.5</v>
      </c>
      <c r="M20">
        <f t="shared" si="0"/>
        <v>16256.25</v>
      </c>
      <c r="N20">
        <f t="shared" si="1"/>
        <v>-5000.2950000000001</v>
      </c>
      <c r="O20">
        <f t="shared" si="2"/>
        <v>37.389584946604387</v>
      </c>
      <c r="P20">
        <f t="shared" si="3"/>
        <v>1.8284150533956165</v>
      </c>
      <c r="Q20">
        <f t="shared" si="4"/>
        <v>3.3431016074836952</v>
      </c>
      <c r="R20">
        <f t="shared" si="5"/>
        <v>6.6007763660491572E-3</v>
      </c>
      <c r="S20">
        <f t="shared" si="6"/>
        <v>0.6600776366049157</v>
      </c>
    </row>
    <row r="21" spans="1:19" x14ac:dyDescent="0.3">
      <c r="A21" s="10" t="s">
        <v>82</v>
      </c>
      <c r="B21">
        <v>227.78</v>
      </c>
      <c r="G21" s="7" t="s">
        <v>21</v>
      </c>
      <c r="H21">
        <v>39.979999999999997</v>
      </c>
      <c r="J21" t="str">
        <f t="shared" si="8"/>
        <v>2001-Jul</v>
      </c>
      <c r="K21">
        <v>41.052500000000002</v>
      </c>
      <c r="L21">
        <v>-126.5</v>
      </c>
      <c r="M21">
        <f t="shared" si="0"/>
        <v>16002.25</v>
      </c>
      <c r="N21">
        <f t="shared" si="1"/>
        <v>-5193.1412500000006</v>
      </c>
      <c r="O21">
        <f t="shared" si="2"/>
        <v>38.101966186163352</v>
      </c>
      <c r="P21">
        <f t="shared" si="3"/>
        <v>2.9505338138366497</v>
      </c>
      <c r="Q21">
        <f t="shared" si="4"/>
        <v>8.7056497865934457</v>
      </c>
      <c r="R21">
        <f t="shared" si="5"/>
        <v>1.0651746620348916E-2</v>
      </c>
      <c r="S21">
        <f t="shared" si="6"/>
        <v>1.0651746620348916</v>
      </c>
    </row>
    <row r="22" spans="1:19" x14ac:dyDescent="0.3">
      <c r="A22" s="10" t="s">
        <v>83</v>
      </c>
      <c r="B22">
        <v>230.44</v>
      </c>
      <c r="G22" s="7" t="s">
        <v>22</v>
      </c>
      <c r="H22">
        <v>39.218000000000004</v>
      </c>
      <c r="J22" t="str">
        <f t="shared" si="8"/>
        <v>2001-Aug</v>
      </c>
      <c r="K22">
        <v>40.911999999999999</v>
      </c>
      <c r="L22">
        <v>-125.5</v>
      </c>
      <c r="M22">
        <f t="shared" si="0"/>
        <v>15750.25</v>
      </c>
      <c r="N22">
        <f t="shared" si="1"/>
        <v>-5134.4560000000001</v>
      </c>
      <c r="O22">
        <f t="shared" si="2"/>
        <v>38.814347425722332</v>
      </c>
      <c r="P22">
        <f t="shared" si="3"/>
        <v>2.0976525742776673</v>
      </c>
      <c r="Q22">
        <f t="shared" si="4"/>
        <v>4.4001463223737245</v>
      </c>
      <c r="R22">
        <f t="shared" si="5"/>
        <v>7.5727529757316512E-3</v>
      </c>
      <c r="S22">
        <f t="shared" si="6"/>
        <v>0.75727529757316514</v>
      </c>
    </row>
    <row r="23" spans="1:19" x14ac:dyDescent="0.3">
      <c r="A23" s="10" t="s">
        <v>84</v>
      </c>
      <c r="B23">
        <v>230.69</v>
      </c>
      <c r="G23" s="7" t="s">
        <v>23</v>
      </c>
      <c r="H23">
        <v>41.052500000000002</v>
      </c>
      <c r="J23" t="str">
        <f t="shared" si="8"/>
        <v>2001-Sep</v>
      </c>
      <c r="K23">
        <v>37.847500000000004</v>
      </c>
      <c r="L23">
        <v>-124.5</v>
      </c>
      <c r="M23">
        <f t="shared" si="0"/>
        <v>15500.25</v>
      </c>
      <c r="N23">
        <f t="shared" si="1"/>
        <v>-4712.0137500000001</v>
      </c>
      <c r="O23">
        <f t="shared" si="2"/>
        <v>39.526728665281297</v>
      </c>
      <c r="P23">
        <f t="shared" si="3"/>
        <v>-1.6792286652812933</v>
      </c>
      <c r="Q23">
        <f t="shared" si="4"/>
        <v>2.819808910302394</v>
      </c>
      <c r="R23">
        <f t="shared" si="5"/>
        <v>6.0621973475858968E-3</v>
      </c>
      <c r="S23">
        <f t="shared" si="6"/>
        <v>0.6062197347585897</v>
      </c>
    </row>
    <row r="24" spans="1:19" x14ac:dyDescent="0.3">
      <c r="A24" s="10" t="s">
        <v>85</v>
      </c>
      <c r="B24">
        <v>232.1</v>
      </c>
      <c r="G24" s="7" t="s">
        <v>24</v>
      </c>
      <c r="H24">
        <v>40.911999999999999</v>
      </c>
      <c r="J24" t="str">
        <f t="shared" si="8"/>
        <v>2001-Oct</v>
      </c>
      <c r="K24">
        <v>38.602500000000006</v>
      </c>
      <c r="L24">
        <v>-123.5</v>
      </c>
      <c r="M24">
        <f t="shared" si="0"/>
        <v>15252.25</v>
      </c>
      <c r="N24">
        <f t="shared" si="1"/>
        <v>-4767.4087500000005</v>
      </c>
      <c r="O24">
        <f t="shared" si="2"/>
        <v>40.239109904840262</v>
      </c>
      <c r="P24">
        <f t="shared" si="3"/>
        <v>-1.636609904840256</v>
      </c>
      <c r="Q24">
        <f t="shared" si="4"/>
        <v>2.6784919806212319</v>
      </c>
      <c r="R24">
        <f t="shared" si="5"/>
        <v>5.9083390066435237E-3</v>
      </c>
      <c r="S24">
        <f t="shared" si="6"/>
        <v>0.59083390066435237</v>
      </c>
    </row>
    <row r="25" spans="1:19" x14ac:dyDescent="0.3">
      <c r="A25" s="10" t="s">
        <v>86</v>
      </c>
      <c r="B25">
        <v>228.49</v>
      </c>
      <c r="G25" s="7" t="s">
        <v>25</v>
      </c>
      <c r="H25">
        <v>37.847500000000004</v>
      </c>
      <c r="J25" t="str">
        <f t="shared" si="8"/>
        <v>2001-Nov</v>
      </c>
      <c r="K25">
        <v>45.013999999999996</v>
      </c>
      <c r="L25">
        <v>-122.5</v>
      </c>
      <c r="M25">
        <f t="shared" si="0"/>
        <v>15006.25</v>
      </c>
      <c r="N25">
        <f t="shared" si="1"/>
        <v>-5514.2149999999992</v>
      </c>
      <c r="O25">
        <f t="shared" si="2"/>
        <v>40.951491144399242</v>
      </c>
      <c r="P25">
        <f t="shared" si="3"/>
        <v>4.062508855600754</v>
      </c>
      <c r="Q25">
        <f t="shared" si="4"/>
        <v>16.503978201834549</v>
      </c>
      <c r="R25">
        <f t="shared" si="5"/>
        <v>1.466609695162727E-2</v>
      </c>
      <c r="S25">
        <f t="shared" si="6"/>
        <v>1.466609695162727</v>
      </c>
    </row>
    <row r="26" spans="1:19" x14ac:dyDescent="0.3">
      <c r="A26" s="10" t="s">
        <v>87</v>
      </c>
      <c r="B26">
        <v>217.6</v>
      </c>
      <c r="G26" s="7" t="s">
        <v>26</v>
      </c>
      <c r="H26">
        <v>38.602500000000006</v>
      </c>
      <c r="J26" t="str">
        <f t="shared" si="8"/>
        <v>2001-Dec</v>
      </c>
      <c r="K26">
        <v>50.097499999999997</v>
      </c>
      <c r="L26">
        <v>-121.5</v>
      </c>
      <c r="M26">
        <f t="shared" si="0"/>
        <v>14762.25</v>
      </c>
      <c r="N26">
        <f t="shared" si="1"/>
        <v>-6086.8462499999996</v>
      </c>
      <c r="O26">
        <f t="shared" si="2"/>
        <v>41.663872383958207</v>
      </c>
      <c r="P26">
        <f t="shared" si="3"/>
        <v>8.4336276160417896</v>
      </c>
      <c r="Q26">
        <f t="shared" si="4"/>
        <v>71.126074766062715</v>
      </c>
      <c r="R26">
        <f t="shared" si="5"/>
        <v>3.0446309083183357E-2</v>
      </c>
      <c r="S26">
        <f t="shared" si="6"/>
        <v>3.0446309083183358</v>
      </c>
    </row>
    <row r="27" spans="1:19" x14ac:dyDescent="0.3">
      <c r="A27" s="10" t="s">
        <v>88</v>
      </c>
      <c r="B27">
        <v>220.31</v>
      </c>
      <c r="G27" s="7" t="s">
        <v>27</v>
      </c>
      <c r="H27">
        <v>45.013999999999996</v>
      </c>
      <c r="J27" t="str">
        <f>_xlfn.CONCAT($G$29,"-",G30)</f>
        <v>2002-Jan</v>
      </c>
      <c r="K27">
        <v>52.112499999999997</v>
      </c>
      <c r="L27">
        <v>-120.5</v>
      </c>
      <c r="M27">
        <f t="shared" si="0"/>
        <v>14520.25</v>
      </c>
      <c r="N27">
        <f t="shared" si="1"/>
        <v>-6279.5562499999996</v>
      </c>
      <c r="O27">
        <f t="shared" si="2"/>
        <v>42.376253623517172</v>
      </c>
      <c r="P27">
        <f t="shared" si="3"/>
        <v>9.7362463764828249</v>
      </c>
      <c r="Q27">
        <f t="shared" si="4"/>
        <v>94.794493503574941</v>
      </c>
      <c r="R27">
        <f t="shared" si="5"/>
        <v>3.5148903886219586E-2</v>
      </c>
      <c r="S27">
        <f t="shared" si="6"/>
        <v>3.5148903886219585</v>
      </c>
    </row>
    <row r="28" spans="1:19" x14ac:dyDescent="0.3">
      <c r="A28" s="10" t="s">
        <v>89</v>
      </c>
      <c r="B28">
        <v>201.19</v>
      </c>
      <c r="G28" s="7" t="s">
        <v>28</v>
      </c>
      <c r="H28">
        <v>50.097499999999997</v>
      </c>
      <c r="J28" t="str">
        <f t="shared" ref="J28:J38" si="9">_xlfn.CONCAT($G$29,"-",G31)</f>
        <v>2002-Feb</v>
      </c>
      <c r="K28">
        <v>54.262500000000003</v>
      </c>
      <c r="L28">
        <v>-119.5</v>
      </c>
      <c r="M28">
        <f t="shared" si="0"/>
        <v>14280.25</v>
      </c>
      <c r="N28">
        <f t="shared" si="1"/>
        <v>-6484.3687500000005</v>
      </c>
      <c r="O28">
        <f t="shared" si="2"/>
        <v>43.088634863076138</v>
      </c>
      <c r="P28">
        <f t="shared" si="3"/>
        <v>11.173865136923865</v>
      </c>
      <c r="Q28">
        <f t="shared" si="4"/>
        <v>124.8552620981626</v>
      </c>
      <c r="R28">
        <f t="shared" si="5"/>
        <v>4.0338863310194463E-2</v>
      </c>
      <c r="S28">
        <f t="shared" si="6"/>
        <v>4.0338863310194464</v>
      </c>
    </row>
    <row r="29" spans="1:19" x14ac:dyDescent="0.3">
      <c r="A29" s="10" t="s">
        <v>90</v>
      </c>
      <c r="B29">
        <v>209.08</v>
      </c>
      <c r="G29" s="4" t="s">
        <v>40</v>
      </c>
      <c r="H29">
        <v>52.689038461538459</v>
      </c>
      <c r="J29" t="str">
        <f t="shared" si="9"/>
        <v>2002-Mar</v>
      </c>
      <c r="K29">
        <v>58.372</v>
      </c>
      <c r="L29">
        <v>-118.5</v>
      </c>
      <c r="M29">
        <f t="shared" si="0"/>
        <v>14042.25</v>
      </c>
      <c r="N29">
        <f t="shared" si="1"/>
        <v>-6917.0820000000003</v>
      </c>
      <c r="O29">
        <f t="shared" si="2"/>
        <v>43.801016102635117</v>
      </c>
      <c r="P29">
        <f t="shared" si="3"/>
        <v>14.570983897364883</v>
      </c>
      <c r="Q29">
        <f t="shared" si="4"/>
        <v>212.3135717372667</v>
      </c>
      <c r="R29">
        <f t="shared" si="5"/>
        <v>5.2602829954385859E-2</v>
      </c>
      <c r="S29">
        <f t="shared" si="6"/>
        <v>5.2602829954385859</v>
      </c>
    </row>
    <row r="30" spans="1:19" x14ac:dyDescent="0.3">
      <c r="A30" s="10" t="s">
        <v>91</v>
      </c>
      <c r="B30">
        <v>203.28</v>
      </c>
      <c r="G30" s="7" t="s">
        <v>30</v>
      </c>
      <c r="H30">
        <v>52.112499999999997</v>
      </c>
      <c r="J30" t="str">
        <f t="shared" si="9"/>
        <v>2002-Apr</v>
      </c>
      <c r="K30">
        <v>54.46</v>
      </c>
      <c r="L30">
        <v>-117.5</v>
      </c>
      <c r="M30">
        <f t="shared" si="0"/>
        <v>13806.25</v>
      </c>
      <c r="N30">
        <f t="shared" si="1"/>
        <v>-6399.05</v>
      </c>
      <c r="O30">
        <f t="shared" si="2"/>
        <v>44.513397342194082</v>
      </c>
      <c r="P30">
        <f t="shared" si="3"/>
        <v>9.9466026578059186</v>
      </c>
      <c r="Q30">
        <f t="shared" si="4"/>
        <v>98.934904432271765</v>
      </c>
      <c r="R30">
        <f t="shared" si="5"/>
        <v>3.5908312844064691E-2</v>
      </c>
      <c r="S30">
        <f t="shared" si="6"/>
        <v>3.5908312844064691</v>
      </c>
    </row>
    <row r="31" spans="1:19" x14ac:dyDescent="0.3">
      <c r="A31" s="10" t="s">
        <v>92</v>
      </c>
      <c r="B31">
        <v>210.3</v>
      </c>
      <c r="G31" s="7" t="s">
        <v>31</v>
      </c>
      <c r="H31">
        <v>54.262500000000003</v>
      </c>
      <c r="J31" t="str">
        <f t="shared" si="9"/>
        <v>2002-May</v>
      </c>
      <c r="K31">
        <v>52.862000000000002</v>
      </c>
      <c r="L31">
        <v>-116.5</v>
      </c>
      <c r="M31">
        <f t="shared" si="0"/>
        <v>13572.25</v>
      </c>
      <c r="N31">
        <f t="shared" si="1"/>
        <v>-6158.4229999999998</v>
      </c>
      <c r="O31">
        <f t="shared" si="2"/>
        <v>45.225778581753048</v>
      </c>
      <c r="P31">
        <f t="shared" si="3"/>
        <v>7.6362214182469543</v>
      </c>
      <c r="Q31">
        <f t="shared" si="4"/>
        <v>58.311877548493527</v>
      </c>
      <c r="R31">
        <f t="shared" si="5"/>
        <v>2.7567586347461929E-2</v>
      </c>
      <c r="S31">
        <f t="shared" si="6"/>
        <v>2.756758634746193</v>
      </c>
    </row>
    <row r="32" spans="1:19" x14ac:dyDescent="0.3">
      <c r="A32" s="10" t="s">
        <v>93</v>
      </c>
      <c r="B32">
        <v>209.37</v>
      </c>
      <c r="G32" s="7" t="s">
        <v>19</v>
      </c>
      <c r="H32">
        <v>58.372</v>
      </c>
      <c r="J32" t="str">
        <f t="shared" si="9"/>
        <v>2002-Jun</v>
      </c>
      <c r="K32">
        <v>55.05</v>
      </c>
      <c r="L32">
        <v>-115.5</v>
      </c>
      <c r="M32">
        <f t="shared" si="0"/>
        <v>13340.25</v>
      </c>
      <c r="N32">
        <f t="shared" si="1"/>
        <v>-6358.2749999999996</v>
      </c>
      <c r="O32">
        <f t="shared" si="2"/>
        <v>45.938159821312027</v>
      </c>
      <c r="P32">
        <f t="shared" si="3"/>
        <v>9.1118401786879701</v>
      </c>
      <c r="Q32">
        <f t="shared" si="4"/>
        <v>83.025631441952413</v>
      </c>
      <c r="R32">
        <f t="shared" si="5"/>
        <v>3.2894729886960183E-2</v>
      </c>
      <c r="S32">
        <f t="shared" si="6"/>
        <v>3.2894729886960183</v>
      </c>
    </row>
    <row r="33" spans="1:19" x14ac:dyDescent="0.3">
      <c r="A33" s="10" t="s">
        <v>94</v>
      </c>
      <c r="B33">
        <v>214.67</v>
      </c>
      <c r="G33" s="7" t="s">
        <v>20</v>
      </c>
      <c r="H33">
        <v>54.46</v>
      </c>
      <c r="J33" t="str">
        <f t="shared" si="9"/>
        <v>2002-Jul</v>
      </c>
      <c r="K33">
        <v>49.822500000000005</v>
      </c>
      <c r="L33">
        <v>-114.5</v>
      </c>
      <c r="M33">
        <f t="shared" si="0"/>
        <v>13110.25</v>
      </c>
      <c r="N33">
        <f t="shared" si="1"/>
        <v>-5704.6762500000004</v>
      </c>
      <c r="O33">
        <f t="shared" si="2"/>
        <v>46.650541060870992</v>
      </c>
      <c r="P33">
        <f t="shared" si="3"/>
        <v>3.1719589391290128</v>
      </c>
      <c r="Q33">
        <f t="shared" si="4"/>
        <v>10.061323511520452</v>
      </c>
      <c r="R33">
        <f t="shared" si="5"/>
        <v>1.1451115303714848E-2</v>
      </c>
      <c r="S33">
        <f t="shared" si="6"/>
        <v>1.1451115303714847</v>
      </c>
    </row>
    <row r="34" spans="1:19" x14ac:dyDescent="0.3">
      <c r="A34" s="10" t="s">
        <v>95</v>
      </c>
      <c r="B34">
        <v>190.56</v>
      </c>
      <c r="G34" s="7" t="s">
        <v>21</v>
      </c>
      <c r="H34">
        <v>52.862000000000002</v>
      </c>
      <c r="J34" t="str">
        <f t="shared" si="9"/>
        <v>2002-Aug</v>
      </c>
      <c r="K34">
        <v>48.097999999999999</v>
      </c>
      <c r="L34">
        <v>-113.5</v>
      </c>
      <c r="M34">
        <f t="shared" si="0"/>
        <v>12882.25</v>
      </c>
      <c r="N34">
        <f t="shared" si="1"/>
        <v>-5459.1229999999996</v>
      </c>
      <c r="O34">
        <f t="shared" si="2"/>
        <v>47.362922300429958</v>
      </c>
      <c r="P34">
        <f t="shared" si="3"/>
        <v>0.73507769957004143</v>
      </c>
      <c r="Q34">
        <f t="shared" si="4"/>
        <v>0.54033922440518412</v>
      </c>
      <c r="R34">
        <f t="shared" si="5"/>
        <v>2.6537101067510521E-3</v>
      </c>
      <c r="S34">
        <f t="shared" si="6"/>
        <v>0.26537101067510521</v>
      </c>
    </row>
    <row r="35" spans="1:19" x14ac:dyDescent="0.3">
      <c r="A35" s="10" t="s">
        <v>96</v>
      </c>
      <c r="B35">
        <v>186.88</v>
      </c>
      <c r="G35" s="7" t="s">
        <v>22</v>
      </c>
      <c r="H35">
        <v>55.05</v>
      </c>
      <c r="J35" t="str">
        <f t="shared" si="9"/>
        <v>2002-Sep</v>
      </c>
      <c r="K35">
        <v>47.302499999999995</v>
      </c>
      <c r="L35">
        <v>-112.5</v>
      </c>
      <c r="M35">
        <f t="shared" si="0"/>
        <v>12656.25</v>
      </c>
      <c r="N35">
        <f t="shared" si="1"/>
        <v>-5321.5312499999991</v>
      </c>
      <c r="O35">
        <f t="shared" si="2"/>
        <v>48.075303539988923</v>
      </c>
      <c r="P35">
        <f t="shared" si="3"/>
        <v>-0.77280353998892792</v>
      </c>
      <c r="Q35">
        <f t="shared" si="4"/>
        <v>0.59722531141941848</v>
      </c>
      <c r="R35">
        <f t="shared" si="5"/>
        <v>2.7899044764943246E-3</v>
      </c>
      <c r="S35">
        <f t="shared" si="6"/>
        <v>0.27899044764943248</v>
      </c>
    </row>
    <row r="36" spans="1:19" x14ac:dyDescent="0.3">
      <c r="A36" s="10" t="s">
        <v>97</v>
      </c>
      <c r="B36">
        <v>188.63</v>
      </c>
      <c r="G36" s="7" t="s">
        <v>23</v>
      </c>
      <c r="H36">
        <v>49.822500000000005</v>
      </c>
      <c r="J36" t="str">
        <f t="shared" si="9"/>
        <v>2002-Oct</v>
      </c>
      <c r="K36">
        <v>52.477499999999999</v>
      </c>
      <c r="L36">
        <v>-111.5</v>
      </c>
      <c r="M36">
        <f t="shared" si="0"/>
        <v>12432.25</v>
      </c>
      <c r="N36">
        <f t="shared" si="1"/>
        <v>-5851.24125</v>
      </c>
      <c r="O36">
        <f t="shared" si="2"/>
        <v>48.787684779547902</v>
      </c>
      <c r="P36">
        <f t="shared" si="3"/>
        <v>3.6898152204520969</v>
      </c>
      <c r="Q36">
        <f t="shared" si="4"/>
        <v>13.614736361079956</v>
      </c>
      <c r="R36">
        <f t="shared" si="5"/>
        <v>1.3320632564809014E-2</v>
      </c>
      <c r="S36">
        <f t="shared" si="6"/>
        <v>1.3320632564809014</v>
      </c>
    </row>
    <row r="37" spans="1:19" x14ac:dyDescent="0.3">
      <c r="A37" s="10" t="s">
        <v>98</v>
      </c>
      <c r="B37">
        <v>185.77</v>
      </c>
      <c r="G37" s="7" t="s">
        <v>24</v>
      </c>
      <c r="H37">
        <v>48.097999999999999</v>
      </c>
      <c r="J37" t="str">
        <f t="shared" si="9"/>
        <v>2002-Nov</v>
      </c>
      <c r="K37">
        <v>53.436</v>
      </c>
      <c r="L37">
        <v>-110.5</v>
      </c>
      <c r="M37">
        <f t="shared" si="0"/>
        <v>12210.25</v>
      </c>
      <c r="N37">
        <f t="shared" si="1"/>
        <v>-5904.6779999999999</v>
      </c>
      <c r="O37">
        <f t="shared" si="2"/>
        <v>49.500066019106868</v>
      </c>
      <c r="P37">
        <f t="shared" si="3"/>
        <v>3.9359339808931324</v>
      </c>
      <c r="Q37">
        <f t="shared" si="4"/>
        <v>15.49157630194926</v>
      </c>
      <c r="R37">
        <f t="shared" si="5"/>
        <v>1.4209147945462571E-2</v>
      </c>
      <c r="S37">
        <f t="shared" si="6"/>
        <v>1.420914794546257</v>
      </c>
    </row>
    <row r="38" spans="1:19" x14ac:dyDescent="0.3">
      <c r="A38" s="10" t="s">
        <v>99</v>
      </c>
      <c r="B38">
        <v>173.2</v>
      </c>
      <c r="G38" s="7" t="s">
        <v>25</v>
      </c>
      <c r="H38">
        <v>47.302499999999995</v>
      </c>
      <c r="J38" t="str">
        <f t="shared" si="9"/>
        <v>2002-Dec</v>
      </c>
      <c r="K38">
        <v>53.510000000000005</v>
      </c>
      <c r="L38">
        <v>-109.5</v>
      </c>
      <c r="M38">
        <f t="shared" si="0"/>
        <v>11990.25</v>
      </c>
      <c r="N38">
        <f t="shared" si="1"/>
        <v>-5859.3450000000003</v>
      </c>
      <c r="O38">
        <f t="shared" si="2"/>
        <v>50.212447258665833</v>
      </c>
      <c r="P38">
        <f t="shared" si="3"/>
        <v>3.2975527413341723</v>
      </c>
      <c r="Q38">
        <f t="shared" si="4"/>
        <v>10.873854081880514</v>
      </c>
      <c r="R38">
        <f t="shared" si="5"/>
        <v>1.1904522531892319E-2</v>
      </c>
      <c r="S38">
        <f t="shared" si="6"/>
        <v>1.1904522531892319</v>
      </c>
    </row>
    <row r="39" spans="1:19" x14ac:dyDescent="0.3">
      <c r="A39" s="10" t="s">
        <v>100</v>
      </c>
      <c r="B39">
        <v>175.93</v>
      </c>
      <c r="G39" s="7" t="s">
        <v>26</v>
      </c>
      <c r="H39">
        <v>52.477499999999999</v>
      </c>
      <c r="J39" t="str">
        <f>_xlfn.CONCAT($G$42,"-",G43)</f>
        <v>2003-Jan</v>
      </c>
      <c r="K39">
        <v>54.359999999999992</v>
      </c>
      <c r="L39">
        <v>-108.5</v>
      </c>
      <c r="M39">
        <f t="shared" si="0"/>
        <v>11772.25</v>
      </c>
      <c r="N39">
        <f t="shared" si="1"/>
        <v>-5898.0599999999995</v>
      </c>
      <c r="O39">
        <f t="shared" si="2"/>
        <v>50.924828498224812</v>
      </c>
      <c r="P39">
        <f t="shared" si="3"/>
        <v>3.43517150177518</v>
      </c>
      <c r="Q39">
        <f t="shared" si="4"/>
        <v>11.800403246608345</v>
      </c>
      <c r="R39">
        <f t="shared" si="5"/>
        <v>1.2401341161643249E-2</v>
      </c>
      <c r="S39">
        <f t="shared" si="6"/>
        <v>1.2401341161643249</v>
      </c>
    </row>
    <row r="40" spans="1:19" x14ac:dyDescent="0.3">
      <c r="A40" s="10" t="s">
        <v>101</v>
      </c>
      <c r="B40">
        <v>171.72</v>
      </c>
      <c r="G40" s="7" t="s">
        <v>27</v>
      </c>
      <c r="H40">
        <v>53.436</v>
      </c>
      <c r="J40" t="str">
        <f t="shared" ref="J40:J50" si="10">_xlfn.CONCAT($G$42,"-",G44)</f>
        <v>2003-Feb</v>
      </c>
      <c r="K40">
        <v>51.629999999999995</v>
      </c>
      <c r="L40">
        <v>-107.5</v>
      </c>
      <c r="M40">
        <f t="shared" si="0"/>
        <v>11556.25</v>
      </c>
      <c r="N40">
        <f t="shared" si="1"/>
        <v>-5550.2249999999995</v>
      </c>
      <c r="O40">
        <f t="shared" si="2"/>
        <v>51.637209737783778</v>
      </c>
      <c r="P40">
        <f t="shared" si="3"/>
        <v>-7.2097377837820886E-3</v>
      </c>
      <c r="Q40">
        <f t="shared" si="4"/>
        <v>5.1980318910895061E-5</v>
      </c>
      <c r="R40">
        <f t="shared" si="5"/>
        <v>2.6027934237480464E-5</v>
      </c>
      <c r="S40">
        <f t="shared" si="6"/>
        <v>2.6027934237480466E-3</v>
      </c>
    </row>
    <row r="41" spans="1:19" x14ac:dyDescent="0.3">
      <c r="A41" s="10" t="s">
        <v>102</v>
      </c>
      <c r="B41">
        <v>172.33</v>
      </c>
      <c r="G41" s="7" t="s">
        <v>28</v>
      </c>
      <c r="H41">
        <v>53.510000000000005</v>
      </c>
      <c r="J41" t="str">
        <f t="shared" si="10"/>
        <v>2003-Mar</v>
      </c>
      <c r="K41">
        <v>53.6</v>
      </c>
      <c r="L41">
        <v>-106.5</v>
      </c>
      <c r="M41">
        <f t="shared" si="0"/>
        <v>11342.25</v>
      </c>
      <c r="N41">
        <f t="shared" si="1"/>
        <v>-5708.4000000000005</v>
      </c>
      <c r="O41">
        <f t="shared" si="2"/>
        <v>52.349590977342743</v>
      </c>
      <c r="P41">
        <f t="shared" si="3"/>
        <v>1.2504090226572586</v>
      </c>
      <c r="Q41">
        <f t="shared" si="4"/>
        <v>1.5635227239426808</v>
      </c>
      <c r="R41">
        <f t="shared" si="5"/>
        <v>4.5141119951525579E-3</v>
      </c>
      <c r="S41">
        <f t="shared" si="6"/>
        <v>0.45141119951525577</v>
      </c>
    </row>
    <row r="42" spans="1:19" x14ac:dyDescent="0.3">
      <c r="A42" s="10" t="s">
        <v>103</v>
      </c>
      <c r="B42">
        <v>181.41</v>
      </c>
      <c r="G42" s="4" t="s">
        <v>41</v>
      </c>
      <c r="H42">
        <v>62.966153846153823</v>
      </c>
      <c r="J42" t="str">
        <f t="shared" si="10"/>
        <v>2003-Apr</v>
      </c>
      <c r="K42">
        <v>57.75</v>
      </c>
      <c r="L42">
        <v>-105.5</v>
      </c>
      <c r="M42">
        <f t="shared" si="0"/>
        <v>11130.25</v>
      </c>
      <c r="N42">
        <f t="shared" si="1"/>
        <v>-6092.625</v>
      </c>
      <c r="O42">
        <f t="shared" si="2"/>
        <v>53.061972216901722</v>
      </c>
      <c r="P42">
        <f t="shared" si="3"/>
        <v>4.6880277830982777</v>
      </c>
      <c r="Q42">
        <f t="shared" si="4"/>
        <v>21.977604495101353</v>
      </c>
      <c r="R42">
        <f t="shared" si="5"/>
        <v>1.6924288025625553E-2</v>
      </c>
      <c r="S42">
        <f t="shared" si="6"/>
        <v>1.6924288025625553</v>
      </c>
    </row>
    <row r="43" spans="1:19" x14ac:dyDescent="0.3">
      <c r="A43" s="10" t="s">
        <v>104</v>
      </c>
      <c r="B43">
        <v>176.7</v>
      </c>
      <c r="G43" s="7" t="s">
        <v>30</v>
      </c>
      <c r="H43">
        <v>54.359999999999992</v>
      </c>
      <c r="J43" t="str">
        <f t="shared" si="10"/>
        <v>2003-May</v>
      </c>
      <c r="K43">
        <v>62.082000000000008</v>
      </c>
      <c r="L43">
        <v>-104.5</v>
      </c>
      <c r="M43">
        <f t="shared" si="0"/>
        <v>10920.25</v>
      </c>
      <c r="N43">
        <f t="shared" si="1"/>
        <v>-6487.5690000000004</v>
      </c>
      <c r="O43">
        <f t="shared" si="2"/>
        <v>53.774353456460688</v>
      </c>
      <c r="P43">
        <f t="shared" si="3"/>
        <v>8.3076465435393203</v>
      </c>
      <c r="Q43">
        <f t="shared" si="4"/>
        <v>69.01699109238082</v>
      </c>
      <c r="R43">
        <f t="shared" si="5"/>
        <v>2.9991503767289963E-2</v>
      </c>
      <c r="S43">
        <f t="shared" si="6"/>
        <v>2.9991503767289962</v>
      </c>
    </row>
    <row r="44" spans="1:19" x14ac:dyDescent="0.3">
      <c r="A44" s="10" t="s">
        <v>105</v>
      </c>
      <c r="B44">
        <v>174.72</v>
      </c>
      <c r="G44" s="7" t="s">
        <v>31</v>
      </c>
      <c r="H44">
        <v>51.629999999999995</v>
      </c>
      <c r="J44" t="str">
        <f t="shared" si="10"/>
        <v>2003-Jun</v>
      </c>
      <c r="K44">
        <v>63.155000000000001</v>
      </c>
      <c r="L44">
        <v>-103.5</v>
      </c>
      <c r="M44">
        <f t="shared" si="0"/>
        <v>10712.25</v>
      </c>
      <c r="N44">
        <f t="shared" si="1"/>
        <v>-6536.5425000000005</v>
      </c>
      <c r="O44">
        <f t="shared" si="2"/>
        <v>54.486734696019653</v>
      </c>
      <c r="P44">
        <f t="shared" si="3"/>
        <v>8.6682653039803483</v>
      </c>
      <c r="Q44">
        <f t="shared" si="4"/>
        <v>75.138823380189521</v>
      </c>
      <c r="R44">
        <f t="shared" si="5"/>
        <v>3.129337654866552E-2</v>
      </c>
      <c r="S44">
        <f t="shared" si="6"/>
        <v>3.1293376548665521</v>
      </c>
    </row>
    <row r="45" spans="1:19" x14ac:dyDescent="0.3">
      <c r="A45" s="10" t="s">
        <v>106</v>
      </c>
      <c r="B45">
        <v>175.61</v>
      </c>
      <c r="G45" s="7" t="s">
        <v>19</v>
      </c>
      <c r="H45">
        <v>53.6</v>
      </c>
      <c r="J45" t="str">
        <f t="shared" si="10"/>
        <v>2003-Jul</v>
      </c>
      <c r="K45">
        <v>63.957500000000003</v>
      </c>
      <c r="L45">
        <v>-102.5</v>
      </c>
      <c r="M45">
        <f t="shared" si="0"/>
        <v>10506.25</v>
      </c>
      <c r="N45">
        <f t="shared" si="1"/>
        <v>-6555.6437500000002</v>
      </c>
      <c r="O45">
        <f t="shared" si="2"/>
        <v>55.199115935578618</v>
      </c>
      <c r="P45">
        <f t="shared" si="3"/>
        <v>8.7583840644213851</v>
      </c>
      <c r="Q45">
        <f t="shared" si="4"/>
        <v>76.709291419910457</v>
      </c>
      <c r="R45">
        <f t="shared" si="5"/>
        <v>3.1618715034012222E-2</v>
      </c>
      <c r="S45">
        <f t="shared" si="6"/>
        <v>3.1618715034012221</v>
      </c>
    </row>
    <row r="46" spans="1:19" x14ac:dyDescent="0.3">
      <c r="A46" s="10" t="s">
        <v>107</v>
      </c>
      <c r="B46">
        <v>156.66</v>
      </c>
      <c r="G46" s="7" t="s">
        <v>20</v>
      </c>
      <c r="H46">
        <v>57.75</v>
      </c>
      <c r="J46" t="str">
        <f t="shared" si="10"/>
        <v>2003-Aug</v>
      </c>
      <c r="K46">
        <v>66.281999999999996</v>
      </c>
      <c r="L46">
        <v>-101.5</v>
      </c>
      <c r="M46">
        <f t="shared" si="0"/>
        <v>10302.25</v>
      </c>
      <c r="N46">
        <f t="shared" si="1"/>
        <v>-6727.6229999999996</v>
      </c>
      <c r="O46">
        <f t="shared" si="2"/>
        <v>55.911497175137598</v>
      </c>
      <c r="P46">
        <f t="shared" si="3"/>
        <v>10.370502824862399</v>
      </c>
      <c r="Q46">
        <f t="shared" si="4"/>
        <v>107.547328840479</v>
      </c>
      <c r="R46">
        <f t="shared" si="5"/>
        <v>3.7438638356903968E-2</v>
      </c>
      <c r="S46">
        <f t="shared" si="6"/>
        <v>3.7438638356903966</v>
      </c>
    </row>
    <row r="47" spans="1:19" x14ac:dyDescent="0.3">
      <c r="A47" s="10" t="s">
        <v>108</v>
      </c>
      <c r="B47">
        <v>160.37</v>
      </c>
      <c r="G47" s="7" t="s">
        <v>21</v>
      </c>
      <c r="H47">
        <v>62.082000000000008</v>
      </c>
      <c r="J47" t="str">
        <f t="shared" si="10"/>
        <v>2003-Sep</v>
      </c>
      <c r="K47">
        <v>65.489999999999995</v>
      </c>
      <c r="L47">
        <v>-100.5</v>
      </c>
      <c r="M47">
        <f t="shared" si="0"/>
        <v>10100.25</v>
      </c>
      <c r="N47">
        <f t="shared" si="1"/>
        <v>-6581.7449999999999</v>
      </c>
      <c r="O47">
        <f t="shared" si="2"/>
        <v>56.623878414696563</v>
      </c>
      <c r="P47">
        <f t="shared" si="3"/>
        <v>8.8661215853034321</v>
      </c>
      <c r="Q47">
        <f t="shared" si="4"/>
        <v>78.608111965383443</v>
      </c>
      <c r="R47">
        <f t="shared" si="5"/>
        <v>3.2007659152719969E-2</v>
      </c>
      <c r="S47">
        <f t="shared" si="6"/>
        <v>3.2007659152719969</v>
      </c>
    </row>
    <row r="48" spans="1:19" x14ac:dyDescent="0.3">
      <c r="A48" s="10" t="s">
        <v>109</v>
      </c>
      <c r="B48">
        <v>153.22999999999999</v>
      </c>
      <c r="G48" s="7" t="s">
        <v>22</v>
      </c>
      <c r="H48">
        <v>63.155000000000001</v>
      </c>
      <c r="J48" t="str">
        <f t="shared" si="10"/>
        <v>2003-Oct</v>
      </c>
      <c r="K48">
        <v>71.347999999999999</v>
      </c>
      <c r="L48">
        <v>-99.5</v>
      </c>
      <c r="M48">
        <f t="shared" si="0"/>
        <v>9900.25</v>
      </c>
      <c r="N48">
        <f t="shared" si="1"/>
        <v>-7099.1260000000002</v>
      </c>
      <c r="O48">
        <f t="shared" si="2"/>
        <v>57.336259654255528</v>
      </c>
      <c r="P48">
        <f t="shared" si="3"/>
        <v>14.011740345744471</v>
      </c>
      <c r="Q48">
        <f t="shared" si="4"/>
        <v>196.32886751656338</v>
      </c>
      <c r="R48">
        <f t="shared" si="5"/>
        <v>5.0583900165142491E-2</v>
      </c>
      <c r="S48">
        <f t="shared" si="6"/>
        <v>5.0583900165142488</v>
      </c>
    </row>
    <row r="49" spans="1:19" x14ac:dyDescent="0.3">
      <c r="A49" s="10" t="s">
        <v>110</v>
      </c>
      <c r="B49">
        <v>156.96</v>
      </c>
      <c r="G49" s="7" t="s">
        <v>23</v>
      </c>
      <c r="H49">
        <v>63.957500000000003</v>
      </c>
      <c r="J49" t="str">
        <f t="shared" si="10"/>
        <v>2003-Nov</v>
      </c>
      <c r="K49">
        <v>74.245000000000005</v>
      </c>
      <c r="L49">
        <v>-98.5</v>
      </c>
      <c r="M49">
        <f t="shared" si="0"/>
        <v>9702.25</v>
      </c>
      <c r="N49">
        <f t="shared" si="1"/>
        <v>-7313.1325000000006</v>
      </c>
      <c r="O49">
        <f t="shared" si="2"/>
        <v>58.048640893814508</v>
      </c>
      <c r="P49">
        <f t="shared" si="3"/>
        <v>16.196359106185497</v>
      </c>
      <c r="Q49">
        <f t="shared" si="4"/>
        <v>262.32204829651789</v>
      </c>
      <c r="R49">
        <f t="shared" si="5"/>
        <v>5.8470610491644391E-2</v>
      </c>
      <c r="S49">
        <f t="shared" si="6"/>
        <v>5.8470610491644388</v>
      </c>
    </row>
    <row r="50" spans="1:19" x14ac:dyDescent="0.3">
      <c r="A50" s="10" t="s">
        <v>111</v>
      </c>
      <c r="B50">
        <v>154.41</v>
      </c>
      <c r="G50" s="7" t="s">
        <v>24</v>
      </c>
      <c r="H50">
        <v>66.281999999999996</v>
      </c>
      <c r="J50" t="str">
        <f t="shared" si="10"/>
        <v>2003-Dec</v>
      </c>
      <c r="K50">
        <v>71.142500000000013</v>
      </c>
      <c r="L50">
        <v>-97.5</v>
      </c>
      <c r="M50">
        <f t="shared" si="0"/>
        <v>9506.25</v>
      </c>
      <c r="N50">
        <f t="shared" si="1"/>
        <v>-6936.3937500000011</v>
      </c>
      <c r="O50">
        <f t="shared" si="2"/>
        <v>58.761022133373473</v>
      </c>
      <c r="P50">
        <f t="shared" si="3"/>
        <v>12.38147786662654</v>
      </c>
      <c r="Q50">
        <f t="shared" si="4"/>
        <v>153.3009941617629</v>
      </c>
      <c r="R50">
        <f t="shared" si="5"/>
        <v>4.4698476052803394E-2</v>
      </c>
      <c r="S50">
        <f t="shared" si="6"/>
        <v>4.4698476052803393</v>
      </c>
    </row>
    <row r="51" spans="1:19" x14ac:dyDescent="0.3">
      <c r="A51" s="10" t="s">
        <v>112</v>
      </c>
      <c r="B51">
        <v>148.47</v>
      </c>
      <c r="G51" s="7" t="s">
        <v>25</v>
      </c>
      <c r="H51">
        <v>65.489999999999995</v>
      </c>
      <c r="J51" t="str">
        <f>_xlfn.CONCAT($G$55,"-",G56)</f>
        <v>2004-Jan</v>
      </c>
      <c r="K51">
        <v>67.955999999999989</v>
      </c>
      <c r="L51">
        <v>-96.5</v>
      </c>
      <c r="M51">
        <f t="shared" si="0"/>
        <v>9312.25</v>
      </c>
      <c r="N51">
        <f t="shared" si="1"/>
        <v>-6557.753999999999</v>
      </c>
      <c r="O51">
        <f t="shared" si="2"/>
        <v>59.473403372932438</v>
      </c>
      <c r="P51">
        <f t="shared" si="3"/>
        <v>8.4825966270675508</v>
      </c>
      <c r="Q51">
        <f t="shared" si="4"/>
        <v>71.954445537537794</v>
      </c>
      <c r="R51">
        <f t="shared" si="5"/>
        <v>3.0623092516489352E-2</v>
      </c>
      <c r="S51">
        <f t="shared" si="6"/>
        <v>3.0623092516489354</v>
      </c>
    </row>
    <row r="52" spans="1:19" x14ac:dyDescent="0.3">
      <c r="A52" s="10" t="s">
        <v>113</v>
      </c>
      <c r="B52">
        <v>149.33000000000001</v>
      </c>
      <c r="G52" s="7" t="s">
        <v>26</v>
      </c>
      <c r="H52">
        <v>71.347999999999999</v>
      </c>
      <c r="J52" t="str">
        <f t="shared" ref="J52:J62" si="11">_xlfn.CONCAT($G$55,"-",G57)</f>
        <v>2004-Feb</v>
      </c>
      <c r="K52">
        <v>68.182500000000005</v>
      </c>
      <c r="L52">
        <v>-95.5</v>
      </c>
      <c r="M52">
        <f t="shared" si="0"/>
        <v>9120.25</v>
      </c>
      <c r="N52">
        <f t="shared" si="1"/>
        <v>-6511.42875</v>
      </c>
      <c r="O52">
        <f t="shared" si="2"/>
        <v>60.185784612491403</v>
      </c>
      <c r="P52">
        <f t="shared" si="3"/>
        <v>7.9967153875086012</v>
      </c>
      <c r="Q52">
        <f t="shared" si="4"/>
        <v>63.947456988816839</v>
      </c>
      <c r="R52">
        <f t="shared" si="5"/>
        <v>2.8869008619164624E-2</v>
      </c>
      <c r="S52">
        <f t="shared" si="6"/>
        <v>2.8869008619164624</v>
      </c>
    </row>
    <row r="53" spans="1:19" x14ac:dyDescent="0.3">
      <c r="A53" s="10" t="s">
        <v>114</v>
      </c>
      <c r="B53">
        <v>161.02000000000001</v>
      </c>
      <c r="G53" s="7" t="s">
        <v>27</v>
      </c>
      <c r="H53">
        <v>74.245000000000005</v>
      </c>
      <c r="J53" t="str">
        <f t="shared" si="11"/>
        <v>2004-Mar</v>
      </c>
      <c r="K53">
        <v>70.352499999999992</v>
      </c>
      <c r="L53">
        <v>-94.5</v>
      </c>
      <c r="M53">
        <f t="shared" si="0"/>
        <v>8930.25</v>
      </c>
      <c r="N53">
        <f t="shared" si="1"/>
        <v>-6648.3112499999988</v>
      </c>
      <c r="O53">
        <f t="shared" si="2"/>
        <v>60.898165852050383</v>
      </c>
      <c r="P53">
        <f t="shared" si="3"/>
        <v>9.4543341479496092</v>
      </c>
      <c r="Q53">
        <f t="shared" si="4"/>
        <v>89.384434181086064</v>
      </c>
      <c r="R53">
        <f t="shared" si="5"/>
        <v>3.4131170209204365E-2</v>
      </c>
      <c r="S53">
        <f t="shared" si="6"/>
        <v>3.4131170209204367</v>
      </c>
    </row>
    <row r="54" spans="1:19" x14ac:dyDescent="0.3">
      <c r="A54" s="10" t="s">
        <v>115</v>
      </c>
      <c r="B54">
        <v>209.07</v>
      </c>
      <c r="G54" s="7" t="s">
        <v>28</v>
      </c>
      <c r="H54">
        <v>71.142500000000013</v>
      </c>
      <c r="J54" t="str">
        <f t="shared" si="11"/>
        <v>2004-Apr</v>
      </c>
      <c r="K54">
        <v>74.09</v>
      </c>
      <c r="L54">
        <v>-93.5</v>
      </c>
      <c r="M54">
        <f t="shared" si="0"/>
        <v>8742.25</v>
      </c>
      <c r="N54">
        <f t="shared" si="1"/>
        <v>-6927.415</v>
      </c>
      <c r="O54">
        <f t="shared" si="2"/>
        <v>61.610547091609348</v>
      </c>
      <c r="P54">
        <f t="shared" si="3"/>
        <v>12.479452908390655</v>
      </c>
      <c r="Q54">
        <f t="shared" si="4"/>
        <v>155.73674489273998</v>
      </c>
      <c r="R54">
        <f t="shared" si="5"/>
        <v>4.5052176564587203E-2</v>
      </c>
      <c r="S54">
        <f t="shared" si="6"/>
        <v>4.5052176564587203</v>
      </c>
    </row>
    <row r="55" spans="1:19" x14ac:dyDescent="0.3">
      <c r="A55" s="10" t="s">
        <v>116</v>
      </c>
      <c r="B55">
        <v>208.72</v>
      </c>
      <c r="G55" s="4" t="s">
        <v>42</v>
      </c>
      <c r="H55">
        <v>79.771132075471712</v>
      </c>
      <c r="J55" t="str">
        <f t="shared" si="11"/>
        <v>2004-May</v>
      </c>
      <c r="K55">
        <v>71.710000000000008</v>
      </c>
      <c r="L55">
        <v>-92.5</v>
      </c>
      <c r="M55">
        <f t="shared" si="0"/>
        <v>8556.25</v>
      </c>
      <c r="N55">
        <f t="shared" si="1"/>
        <v>-6633.1750000000011</v>
      </c>
      <c r="O55">
        <f t="shared" si="2"/>
        <v>62.322928331168313</v>
      </c>
      <c r="P55">
        <f t="shared" si="3"/>
        <v>9.3870716688316946</v>
      </c>
      <c r="Q55">
        <f t="shared" si="4"/>
        <v>88.11711451578266</v>
      </c>
      <c r="R55">
        <f t="shared" si="5"/>
        <v>3.3888345374843663E-2</v>
      </c>
      <c r="S55">
        <f t="shared" si="6"/>
        <v>3.3888345374843665</v>
      </c>
    </row>
    <row r="56" spans="1:19" x14ac:dyDescent="0.3">
      <c r="A56" s="10" t="s">
        <v>117</v>
      </c>
      <c r="B56">
        <v>218.16</v>
      </c>
      <c r="G56" s="7" t="s">
        <v>30</v>
      </c>
      <c r="H56">
        <v>67.955999999999989</v>
      </c>
      <c r="J56" t="str">
        <f t="shared" si="11"/>
        <v>2004-Jun</v>
      </c>
      <c r="K56">
        <v>77.305000000000007</v>
      </c>
      <c r="L56">
        <v>-91.5</v>
      </c>
      <c r="M56">
        <f t="shared" si="0"/>
        <v>8372.25</v>
      </c>
      <c r="N56">
        <f t="shared" si="1"/>
        <v>-7073.4075000000003</v>
      </c>
      <c r="O56">
        <f t="shared" si="2"/>
        <v>63.035309570727293</v>
      </c>
      <c r="P56">
        <f t="shared" si="3"/>
        <v>14.269690429272714</v>
      </c>
      <c r="Q56">
        <f t="shared" si="4"/>
        <v>203.6240649472773</v>
      </c>
      <c r="R56">
        <f t="shared" si="5"/>
        <v>5.15151279035116E-2</v>
      </c>
      <c r="S56">
        <f t="shared" si="6"/>
        <v>5.1515127903511599</v>
      </c>
    </row>
    <row r="57" spans="1:19" x14ac:dyDescent="0.3">
      <c r="A57" s="10" t="s">
        <v>118</v>
      </c>
      <c r="B57">
        <v>231.73</v>
      </c>
      <c r="G57" s="7" t="s">
        <v>31</v>
      </c>
      <c r="H57">
        <v>68.182500000000005</v>
      </c>
      <c r="J57" t="str">
        <f t="shared" si="11"/>
        <v>2004-Jul</v>
      </c>
      <c r="K57">
        <v>80.738</v>
      </c>
      <c r="L57">
        <v>-90.5</v>
      </c>
      <c r="M57">
        <f t="shared" si="0"/>
        <v>8190.25</v>
      </c>
      <c r="N57">
        <f t="shared" si="1"/>
        <v>-7306.7889999999998</v>
      </c>
      <c r="O57">
        <f t="shared" si="2"/>
        <v>63.747690810286258</v>
      </c>
      <c r="P57">
        <f t="shared" si="3"/>
        <v>16.990309189713741</v>
      </c>
      <c r="Q57">
        <f t="shared" si="4"/>
        <v>288.67060636207123</v>
      </c>
      <c r="R57">
        <f t="shared" si="5"/>
        <v>6.1336856280555026E-2</v>
      </c>
      <c r="S57">
        <f t="shared" si="6"/>
        <v>6.1336856280555025</v>
      </c>
    </row>
    <row r="58" spans="1:19" x14ac:dyDescent="0.3">
      <c r="A58" s="10" t="s">
        <v>119</v>
      </c>
      <c r="B58">
        <v>230.68</v>
      </c>
      <c r="G58" s="7" t="s">
        <v>19</v>
      </c>
      <c r="H58">
        <v>70.352499999999992</v>
      </c>
      <c r="J58" t="str">
        <f t="shared" si="11"/>
        <v>2004-Aug</v>
      </c>
      <c r="K58">
        <v>78.8</v>
      </c>
      <c r="L58">
        <v>-89.5</v>
      </c>
      <c r="M58">
        <f t="shared" si="0"/>
        <v>8010.25</v>
      </c>
      <c r="N58">
        <f t="shared" si="1"/>
        <v>-7052.5999999999995</v>
      </c>
      <c r="O58">
        <f t="shared" si="2"/>
        <v>64.460072049845223</v>
      </c>
      <c r="P58">
        <f t="shared" si="3"/>
        <v>14.339927950154774</v>
      </c>
      <c r="Q58">
        <f t="shared" si="4"/>
        <v>205.63353361563009</v>
      </c>
      <c r="R58">
        <f t="shared" si="5"/>
        <v>5.1768692960847559E-2</v>
      </c>
      <c r="S58">
        <f t="shared" si="6"/>
        <v>5.1768692960847558</v>
      </c>
    </row>
    <row r="59" spans="1:19" x14ac:dyDescent="0.3">
      <c r="A59" s="10" t="s">
        <v>120</v>
      </c>
      <c r="B59">
        <v>234.89</v>
      </c>
      <c r="G59" s="7" t="s">
        <v>20</v>
      </c>
      <c r="H59">
        <v>74.09</v>
      </c>
      <c r="J59" t="str">
        <f t="shared" si="11"/>
        <v>2004-Sep</v>
      </c>
      <c r="K59">
        <v>85.342500000000001</v>
      </c>
      <c r="L59">
        <v>-88.5</v>
      </c>
      <c r="M59">
        <f t="shared" si="0"/>
        <v>7832.25</v>
      </c>
      <c r="N59">
        <f t="shared" si="1"/>
        <v>-7552.8112499999997</v>
      </c>
      <c r="O59">
        <f t="shared" si="2"/>
        <v>65.172453289404189</v>
      </c>
      <c r="P59">
        <f t="shared" si="3"/>
        <v>20.170046710595813</v>
      </c>
      <c r="Q59">
        <f t="shared" si="4"/>
        <v>406.83078430761697</v>
      </c>
      <c r="R59">
        <f t="shared" si="5"/>
        <v>7.2816053106844095E-2</v>
      </c>
      <c r="S59">
        <f t="shared" si="6"/>
        <v>7.2816053106844096</v>
      </c>
    </row>
    <row r="60" spans="1:19" x14ac:dyDescent="0.3">
      <c r="A60" s="10" t="s">
        <v>121</v>
      </c>
      <c r="B60">
        <v>233.09</v>
      </c>
      <c r="G60" s="7" t="s">
        <v>21</v>
      </c>
      <c r="H60">
        <v>71.710000000000008</v>
      </c>
      <c r="J60" t="str">
        <f t="shared" si="11"/>
        <v>2004-Oct</v>
      </c>
      <c r="K60">
        <v>87.460000000000008</v>
      </c>
      <c r="L60">
        <v>-87.5</v>
      </c>
      <c r="M60">
        <f t="shared" si="0"/>
        <v>7656.25</v>
      </c>
      <c r="N60">
        <f t="shared" si="1"/>
        <v>-7652.7500000000009</v>
      </c>
      <c r="O60">
        <f t="shared" si="2"/>
        <v>65.884834528963154</v>
      </c>
      <c r="P60">
        <f t="shared" si="3"/>
        <v>21.575165471036854</v>
      </c>
      <c r="Q60">
        <f t="shared" si="4"/>
        <v>465.48776510262093</v>
      </c>
      <c r="R60">
        <f t="shared" si="5"/>
        <v>7.7888684010963369E-2</v>
      </c>
      <c r="S60">
        <f t="shared" si="6"/>
        <v>7.7888684010963365</v>
      </c>
    </row>
    <row r="61" spans="1:19" x14ac:dyDescent="0.3">
      <c r="A61" s="10" t="s">
        <v>122</v>
      </c>
      <c r="B61">
        <v>227.3</v>
      </c>
      <c r="G61" s="7" t="s">
        <v>22</v>
      </c>
      <c r="H61">
        <v>77.305000000000007</v>
      </c>
      <c r="J61" t="str">
        <f t="shared" si="11"/>
        <v>2004-Nov</v>
      </c>
      <c r="K61">
        <v>94.267499999999998</v>
      </c>
      <c r="L61">
        <v>-86.5</v>
      </c>
      <c r="M61">
        <f t="shared" si="0"/>
        <v>7482.25</v>
      </c>
      <c r="N61">
        <f t="shared" si="1"/>
        <v>-8154.1387500000001</v>
      </c>
      <c r="O61">
        <f t="shared" si="2"/>
        <v>66.597215768522133</v>
      </c>
      <c r="P61">
        <f t="shared" si="3"/>
        <v>27.670284231477865</v>
      </c>
      <c r="Q61">
        <f t="shared" si="4"/>
        <v>765.64462945077253</v>
      </c>
      <c r="R61">
        <f t="shared" si="5"/>
        <v>9.9892722857320815E-2</v>
      </c>
      <c r="S61">
        <f t="shared" si="6"/>
        <v>9.9892722857320813</v>
      </c>
    </row>
    <row r="62" spans="1:19" x14ac:dyDescent="0.3">
      <c r="A62" s="10" t="s">
        <v>123</v>
      </c>
      <c r="B62">
        <v>217.83</v>
      </c>
      <c r="G62" s="7" t="s">
        <v>23</v>
      </c>
      <c r="H62">
        <v>80.738</v>
      </c>
      <c r="J62" t="str">
        <f t="shared" si="11"/>
        <v>2004-Dec</v>
      </c>
      <c r="K62">
        <v>98.561999999999998</v>
      </c>
      <c r="L62">
        <v>-85.5</v>
      </c>
      <c r="M62">
        <f t="shared" si="0"/>
        <v>7310.25</v>
      </c>
      <c r="N62">
        <f t="shared" si="1"/>
        <v>-8427.0509999999995</v>
      </c>
      <c r="O62">
        <f t="shared" si="2"/>
        <v>67.309597008081113</v>
      </c>
      <c r="P62">
        <f t="shared" si="3"/>
        <v>31.252402991918885</v>
      </c>
      <c r="Q62">
        <f t="shared" si="4"/>
        <v>976.71269276930047</v>
      </c>
      <c r="R62">
        <f t="shared" si="5"/>
        <v>0.11282455953761331</v>
      </c>
      <c r="S62">
        <f t="shared" si="6"/>
        <v>11.28245595376133</v>
      </c>
    </row>
    <row r="63" spans="1:19" x14ac:dyDescent="0.3">
      <c r="A63" s="10" t="s">
        <v>124</v>
      </c>
      <c r="B63">
        <v>230.49</v>
      </c>
      <c r="G63" s="7" t="s">
        <v>24</v>
      </c>
      <c r="H63">
        <v>78.8</v>
      </c>
      <c r="J63" t="str">
        <f>_xlfn.CONCAT($G$68,"-",G69)</f>
        <v>2005-Jan</v>
      </c>
      <c r="K63">
        <v>93.25</v>
      </c>
      <c r="L63">
        <v>-84.5</v>
      </c>
      <c r="M63">
        <f t="shared" si="0"/>
        <v>7140.25</v>
      </c>
      <c r="N63">
        <f t="shared" si="1"/>
        <v>-7879.625</v>
      </c>
      <c r="O63">
        <f t="shared" si="2"/>
        <v>68.021978247640078</v>
      </c>
      <c r="P63">
        <f t="shared" si="3"/>
        <v>25.228021752359922</v>
      </c>
      <c r="Q63">
        <f t="shared" si="4"/>
        <v>636.45308153754536</v>
      </c>
      <c r="R63">
        <f t="shared" si="5"/>
        <v>9.1075890802743406E-2</v>
      </c>
      <c r="S63">
        <f t="shared" si="6"/>
        <v>9.1075890802743409</v>
      </c>
    </row>
    <row r="64" spans="1:19" x14ac:dyDescent="0.3">
      <c r="A64" s="10" t="s">
        <v>125</v>
      </c>
      <c r="B64">
        <v>223.61</v>
      </c>
      <c r="G64" s="7" t="s">
        <v>25</v>
      </c>
      <c r="H64">
        <v>85.342500000000001</v>
      </c>
      <c r="J64" t="str">
        <f t="shared" ref="J64:J73" si="12">_xlfn.CONCAT($G$68,"-",G70)</f>
        <v>2005-Feb</v>
      </c>
      <c r="K64">
        <v>97.54</v>
      </c>
      <c r="L64">
        <v>-83.5</v>
      </c>
      <c r="M64">
        <f t="shared" si="0"/>
        <v>6972.25</v>
      </c>
      <c r="N64">
        <f t="shared" si="1"/>
        <v>-8144.59</v>
      </c>
      <c r="O64">
        <f t="shared" si="2"/>
        <v>68.734359487199043</v>
      </c>
      <c r="P64">
        <f t="shared" si="3"/>
        <v>28.805640512800963</v>
      </c>
      <c r="Q64">
        <f t="shared" si="4"/>
        <v>829.76492535272007</v>
      </c>
      <c r="R64">
        <f t="shared" si="5"/>
        <v>0.10399148199567135</v>
      </c>
      <c r="S64">
        <f t="shared" si="6"/>
        <v>10.399148199567135</v>
      </c>
    </row>
    <row r="65" spans="1:19" x14ac:dyDescent="0.3">
      <c r="A65" s="10" t="s">
        <v>126</v>
      </c>
      <c r="B65">
        <v>243.24</v>
      </c>
      <c r="G65" s="7" t="s">
        <v>26</v>
      </c>
      <c r="H65">
        <v>87.460000000000008</v>
      </c>
      <c r="J65" t="str">
        <f t="shared" si="12"/>
        <v>2005-Mar</v>
      </c>
      <c r="K65">
        <v>97.337500000000006</v>
      </c>
      <c r="L65">
        <v>-82.5</v>
      </c>
      <c r="M65">
        <f t="shared" si="0"/>
        <v>6806.25</v>
      </c>
      <c r="N65">
        <f t="shared" si="1"/>
        <v>-8030.3437500000009</v>
      </c>
      <c r="O65">
        <f t="shared" si="2"/>
        <v>69.446740726758009</v>
      </c>
      <c r="P65">
        <f t="shared" si="3"/>
        <v>27.890759273241997</v>
      </c>
      <c r="Q65">
        <f t="shared" si="4"/>
        <v>777.89445283793441</v>
      </c>
      <c r="R65">
        <f t="shared" si="5"/>
        <v>0.1006886616362527</v>
      </c>
      <c r="S65">
        <f t="shared" si="6"/>
        <v>10.06886616362527</v>
      </c>
    </row>
    <row r="66" spans="1:19" x14ac:dyDescent="0.3">
      <c r="A66" s="10" t="s">
        <v>127</v>
      </c>
      <c r="B66">
        <v>229.9</v>
      </c>
      <c r="G66" s="7" t="s">
        <v>27</v>
      </c>
      <c r="H66">
        <v>94.267499999999998</v>
      </c>
      <c r="J66" t="str">
        <f t="shared" si="12"/>
        <v>2005-Apr</v>
      </c>
      <c r="K66">
        <v>87.575999999999993</v>
      </c>
      <c r="L66">
        <v>-81.5</v>
      </c>
      <c r="M66">
        <f t="shared" si="0"/>
        <v>6642.25</v>
      </c>
      <c r="N66">
        <f t="shared" si="1"/>
        <v>-7137.4439999999995</v>
      </c>
      <c r="O66">
        <f t="shared" si="2"/>
        <v>70.159121966316974</v>
      </c>
      <c r="P66">
        <f t="shared" si="3"/>
        <v>17.41687803368302</v>
      </c>
      <c r="Q66">
        <f t="shared" si="4"/>
        <v>303.3476404401901</v>
      </c>
      <c r="R66">
        <f t="shared" si="5"/>
        <v>6.2876816006075878E-2</v>
      </c>
      <c r="S66">
        <f t="shared" si="6"/>
        <v>6.2876816006075877</v>
      </c>
    </row>
    <row r="67" spans="1:19" x14ac:dyDescent="0.3">
      <c r="A67" s="10" t="s">
        <v>128</v>
      </c>
      <c r="B67">
        <v>206.77</v>
      </c>
      <c r="G67" s="7" t="s">
        <v>28</v>
      </c>
      <c r="H67">
        <v>98.561999999999998</v>
      </c>
      <c r="J67" t="str">
        <f t="shared" si="12"/>
        <v>2005-May</v>
      </c>
      <c r="K67">
        <v>87.375</v>
      </c>
      <c r="L67">
        <v>-80.5</v>
      </c>
      <c r="M67">
        <f t="shared" si="0"/>
        <v>6480.25</v>
      </c>
      <c r="N67">
        <f t="shared" si="1"/>
        <v>-7033.6875</v>
      </c>
      <c r="O67">
        <f t="shared" si="2"/>
        <v>70.871503205875939</v>
      </c>
      <c r="P67">
        <f t="shared" si="3"/>
        <v>16.503496794124061</v>
      </c>
      <c r="Q67">
        <f t="shared" si="4"/>
        <v>272.36540643366317</v>
      </c>
      <c r="R67">
        <f t="shared" si="5"/>
        <v>5.9579410809112131E-2</v>
      </c>
      <c r="S67">
        <f t="shared" si="6"/>
        <v>5.9579410809112128</v>
      </c>
    </row>
    <row r="68" spans="1:19" x14ac:dyDescent="0.3">
      <c r="A68" s="10" t="s">
        <v>129</v>
      </c>
      <c r="B68">
        <v>218.7</v>
      </c>
      <c r="G68" s="4" t="s">
        <v>43</v>
      </c>
      <c r="H68">
        <v>90.244038461538466</v>
      </c>
      <c r="J68" t="str">
        <f t="shared" si="12"/>
        <v>2005-Jun</v>
      </c>
      <c r="K68">
        <v>86.137499999999989</v>
      </c>
      <c r="L68">
        <v>-79.5</v>
      </c>
      <c r="M68">
        <f t="shared" si="0"/>
        <v>6320.25</v>
      </c>
      <c r="N68">
        <f t="shared" si="1"/>
        <v>-6847.9312499999987</v>
      </c>
      <c r="O68">
        <f t="shared" si="2"/>
        <v>71.583884445434919</v>
      </c>
      <c r="P68">
        <f t="shared" si="3"/>
        <v>14.55361555456507</v>
      </c>
      <c r="Q68">
        <f t="shared" si="4"/>
        <v>211.80772571007836</v>
      </c>
      <c r="R68">
        <f t="shared" si="5"/>
        <v>5.2540128355830579E-2</v>
      </c>
      <c r="S68">
        <f t="shared" si="6"/>
        <v>5.2540128355830582</v>
      </c>
    </row>
    <row r="69" spans="1:19" x14ac:dyDescent="0.3">
      <c r="A69" s="10" t="s">
        <v>130</v>
      </c>
      <c r="B69">
        <v>219.67</v>
      </c>
      <c r="G69" s="7" t="s">
        <v>30</v>
      </c>
      <c r="H69">
        <v>93.25</v>
      </c>
      <c r="J69" t="str">
        <f t="shared" si="12"/>
        <v>2005-Jul</v>
      </c>
      <c r="K69">
        <v>83.686000000000007</v>
      </c>
      <c r="L69">
        <v>-78.5</v>
      </c>
      <c r="M69">
        <f t="shared" si="0"/>
        <v>6162.25</v>
      </c>
      <c r="N69">
        <f t="shared" si="1"/>
        <v>-6569.3510000000006</v>
      </c>
      <c r="O69">
        <f t="shared" si="2"/>
        <v>72.296265684993898</v>
      </c>
      <c r="P69">
        <f t="shared" si="3"/>
        <v>11.389734315006109</v>
      </c>
      <c r="Q69">
        <f t="shared" si="4"/>
        <v>129.72604776642768</v>
      </c>
      <c r="R69">
        <f t="shared" si="5"/>
        <v>4.1118174422404723E-2</v>
      </c>
      <c r="S69">
        <f t="shared" si="6"/>
        <v>4.1118174422404721</v>
      </c>
    </row>
    <row r="70" spans="1:19" x14ac:dyDescent="0.3">
      <c r="A70" s="10" t="s">
        <v>131</v>
      </c>
      <c r="B70">
        <v>200.9</v>
      </c>
      <c r="G70" s="7" t="s">
        <v>31</v>
      </c>
      <c r="H70">
        <v>97.54</v>
      </c>
      <c r="J70" t="str">
        <f t="shared" si="12"/>
        <v>2005-Aug</v>
      </c>
      <c r="K70">
        <v>83.924999999999997</v>
      </c>
      <c r="L70">
        <v>-77.5</v>
      </c>
      <c r="M70">
        <f t="shared" si="0"/>
        <v>6006.25</v>
      </c>
      <c r="N70">
        <f t="shared" si="1"/>
        <v>-6504.1875</v>
      </c>
      <c r="O70">
        <f t="shared" si="2"/>
        <v>73.008646924552863</v>
      </c>
      <c r="P70">
        <f t="shared" si="3"/>
        <v>10.916353075447134</v>
      </c>
      <c r="Q70">
        <f t="shared" si="4"/>
        <v>119.16676446782409</v>
      </c>
      <c r="R70">
        <f t="shared" si="5"/>
        <v>3.9409216878870522E-2</v>
      </c>
      <c r="S70">
        <f t="shared" si="6"/>
        <v>3.9409216878870521</v>
      </c>
    </row>
    <row r="71" spans="1:19" x14ac:dyDescent="0.3">
      <c r="A71" s="10" t="s">
        <v>132</v>
      </c>
      <c r="B71">
        <v>211.29</v>
      </c>
      <c r="G71" s="7" t="s">
        <v>19</v>
      </c>
      <c r="H71">
        <v>97.337500000000006</v>
      </c>
      <c r="J71" t="str">
        <f t="shared" si="12"/>
        <v>2005-Sep</v>
      </c>
      <c r="K71">
        <v>82.138000000000005</v>
      </c>
      <c r="L71">
        <v>-76.5</v>
      </c>
      <c r="M71">
        <f t="shared" si="0"/>
        <v>5852.25</v>
      </c>
      <c r="N71">
        <f t="shared" si="1"/>
        <v>-6283.5570000000007</v>
      </c>
      <c r="O71">
        <f t="shared" si="2"/>
        <v>73.721028164111829</v>
      </c>
      <c r="P71">
        <f t="shared" si="3"/>
        <v>8.4169718358881767</v>
      </c>
      <c r="Q71">
        <f t="shared" si="4"/>
        <v>70.845414886134776</v>
      </c>
      <c r="R71">
        <f t="shared" si="5"/>
        <v>3.0386179912953705E-2</v>
      </c>
      <c r="S71">
        <f t="shared" si="6"/>
        <v>3.0386179912953706</v>
      </c>
    </row>
    <row r="72" spans="1:19" x14ac:dyDescent="0.3">
      <c r="A72" s="10" t="s">
        <v>133</v>
      </c>
      <c r="B72">
        <v>210.21</v>
      </c>
      <c r="G72" s="7" t="s">
        <v>20</v>
      </c>
      <c r="H72">
        <v>87.575999999999993</v>
      </c>
      <c r="J72" t="str">
        <f t="shared" si="12"/>
        <v>2005-Oct</v>
      </c>
      <c r="K72">
        <v>88.539999999999992</v>
      </c>
      <c r="L72">
        <v>-75.5</v>
      </c>
      <c r="M72">
        <f t="shared" si="0"/>
        <v>5700.25</v>
      </c>
      <c r="N72">
        <f t="shared" si="1"/>
        <v>-6684.7699999999995</v>
      </c>
      <c r="O72">
        <f t="shared" si="2"/>
        <v>74.433409403670794</v>
      </c>
      <c r="P72">
        <f t="shared" si="3"/>
        <v>14.106590596329198</v>
      </c>
      <c r="Q72">
        <f t="shared" si="4"/>
        <v>198.99589825244337</v>
      </c>
      <c r="R72">
        <f t="shared" si="5"/>
        <v>5.0926319842343679E-2</v>
      </c>
      <c r="S72">
        <f t="shared" si="6"/>
        <v>5.0926319842343677</v>
      </c>
    </row>
    <row r="73" spans="1:19" x14ac:dyDescent="0.3">
      <c r="A73" s="10" t="s">
        <v>134</v>
      </c>
      <c r="B73">
        <v>198.74</v>
      </c>
      <c r="G73" s="7" t="s">
        <v>21</v>
      </c>
      <c r="H73">
        <v>87.375</v>
      </c>
      <c r="J73" t="str">
        <f t="shared" si="12"/>
        <v>2005-Nov</v>
      </c>
      <c r="K73">
        <v>96.38000000000001</v>
      </c>
      <c r="L73">
        <v>-74.5</v>
      </c>
      <c r="M73">
        <f t="shared" si="0"/>
        <v>5550.25</v>
      </c>
      <c r="N73">
        <f t="shared" si="1"/>
        <v>-7180.31</v>
      </c>
      <c r="O73">
        <f t="shared" si="2"/>
        <v>75.145790643229759</v>
      </c>
      <c r="P73">
        <f t="shared" si="3"/>
        <v>21.234209356770251</v>
      </c>
      <c r="Q73">
        <f t="shared" si="4"/>
        <v>450.89164700714923</v>
      </c>
      <c r="R73">
        <f t="shared" si="5"/>
        <v>7.665779551180596E-2</v>
      </c>
      <c r="S73">
        <f t="shared" si="6"/>
        <v>7.665779551180596</v>
      </c>
    </row>
    <row r="74" spans="1:19" x14ac:dyDescent="0.3">
      <c r="A74" s="10" t="s">
        <v>135</v>
      </c>
      <c r="B74">
        <v>205.21</v>
      </c>
      <c r="G74" s="7" t="s">
        <v>22</v>
      </c>
      <c r="H74">
        <v>86.137499999999989</v>
      </c>
      <c r="J74" t="str">
        <f>_xlfn.CONCAT($G$68,"-",G80)</f>
        <v>2005-Dec</v>
      </c>
      <c r="K74">
        <v>100.75</v>
      </c>
      <c r="L74">
        <v>-73.5</v>
      </c>
      <c r="M74">
        <f t="shared" ref="M74:M137" si="13">L74*L74</f>
        <v>5402.25</v>
      </c>
      <c r="N74">
        <f t="shared" ref="N74:N137" si="14">L74*K74</f>
        <v>-7405.125</v>
      </c>
      <c r="O74">
        <f t="shared" ref="O74:O137" si="15">$I$2+$I$3*L74</f>
        <v>75.858171882788739</v>
      </c>
      <c r="P74">
        <f t="shared" ref="P74:P137" si="16">K74-O74</f>
        <v>24.891828117211261</v>
      </c>
      <c r="Q74">
        <f t="shared" ref="Q74:Q137" si="17">P74*P74</f>
        <v>619.60310701678918</v>
      </c>
      <c r="R74">
        <f t="shared" ref="R74:R137" si="18">ABS(P74)/$J$1</f>
        <v>8.986219536899373E-2</v>
      </c>
      <c r="S74">
        <f t="shared" ref="S74:S137" si="19">R74*100</f>
        <v>8.9862195368993731</v>
      </c>
    </row>
    <row r="75" spans="1:19" x14ac:dyDescent="0.3">
      <c r="A75" s="10" t="s">
        <v>136</v>
      </c>
      <c r="B75">
        <v>205.74</v>
      </c>
      <c r="G75" s="7" t="s">
        <v>23</v>
      </c>
      <c r="H75">
        <v>83.686000000000007</v>
      </c>
      <c r="J75" t="str">
        <f>_xlfn.CONCAT($G$81,"-",G82)</f>
        <v>2006-Jan</v>
      </c>
      <c r="K75">
        <v>101.25</v>
      </c>
      <c r="L75">
        <v>-72.5</v>
      </c>
      <c r="M75">
        <f t="shared" si="13"/>
        <v>5256.25</v>
      </c>
      <c r="N75">
        <f t="shared" si="14"/>
        <v>-7340.625</v>
      </c>
      <c r="O75">
        <f t="shared" si="15"/>
        <v>76.570553122347704</v>
      </c>
      <c r="P75">
        <f t="shared" si="16"/>
        <v>24.679446877652296</v>
      </c>
      <c r="Q75">
        <f t="shared" si="17"/>
        <v>609.07509818686162</v>
      </c>
      <c r="R75">
        <f t="shared" si="18"/>
        <v>8.9095476092607567E-2</v>
      </c>
      <c r="S75">
        <f t="shared" si="19"/>
        <v>8.9095476092607573</v>
      </c>
    </row>
    <row r="76" spans="1:19" x14ac:dyDescent="0.3">
      <c r="A76" s="10" t="s">
        <v>137</v>
      </c>
      <c r="B76">
        <v>201.52</v>
      </c>
      <c r="G76" s="7" t="s">
        <v>24</v>
      </c>
      <c r="H76">
        <v>83.924999999999997</v>
      </c>
      <c r="J76" t="str">
        <f t="shared" ref="J76:J86" si="20">_xlfn.CONCAT($G$81,"-",G83)</f>
        <v>2006-Feb</v>
      </c>
      <c r="K76">
        <v>102.6125</v>
      </c>
      <c r="L76">
        <v>-71.5</v>
      </c>
      <c r="M76">
        <f t="shared" si="13"/>
        <v>5112.25</v>
      </c>
      <c r="N76">
        <f t="shared" si="14"/>
        <v>-7336.7937499999998</v>
      </c>
      <c r="O76">
        <f t="shared" si="15"/>
        <v>77.282934361906683</v>
      </c>
      <c r="P76">
        <f t="shared" si="16"/>
        <v>25.329565638093314</v>
      </c>
      <c r="Q76">
        <f t="shared" si="17"/>
        <v>641.58689541447757</v>
      </c>
      <c r="R76">
        <f t="shared" si="18"/>
        <v>9.1442475227773698E-2</v>
      </c>
      <c r="S76">
        <f t="shared" si="19"/>
        <v>9.1442475227773699</v>
      </c>
    </row>
    <row r="77" spans="1:19" x14ac:dyDescent="0.3">
      <c r="A77" s="10" t="s">
        <v>138</v>
      </c>
      <c r="B77">
        <v>221.25</v>
      </c>
      <c r="G77" s="7" t="s">
        <v>25</v>
      </c>
      <c r="H77">
        <v>82.138000000000005</v>
      </c>
      <c r="J77" t="str">
        <f t="shared" si="20"/>
        <v>2006-Mar</v>
      </c>
      <c r="K77">
        <v>112.64000000000001</v>
      </c>
      <c r="L77">
        <v>-70.5</v>
      </c>
      <c r="M77">
        <f t="shared" si="13"/>
        <v>4970.25</v>
      </c>
      <c r="N77">
        <f t="shared" si="14"/>
        <v>-7941.1200000000008</v>
      </c>
      <c r="O77">
        <f t="shared" si="15"/>
        <v>77.995315601465649</v>
      </c>
      <c r="P77">
        <f t="shared" si="16"/>
        <v>34.644684398534366</v>
      </c>
      <c r="Q77">
        <f t="shared" si="17"/>
        <v>1200.2541570740505</v>
      </c>
      <c r="R77">
        <f t="shared" si="18"/>
        <v>0.12507106281059338</v>
      </c>
      <c r="S77">
        <f t="shared" si="19"/>
        <v>12.507106281059338</v>
      </c>
    </row>
    <row r="78" spans="1:19" x14ac:dyDescent="0.3">
      <c r="A78" s="10" t="s">
        <v>139</v>
      </c>
      <c r="B78">
        <v>226.56</v>
      </c>
      <c r="G78" s="7" t="s">
        <v>26</v>
      </c>
      <c r="H78">
        <v>88.539999999999992</v>
      </c>
      <c r="J78" t="str">
        <f t="shared" si="20"/>
        <v>2006-Apr</v>
      </c>
      <c r="K78">
        <v>115.61750000000001</v>
      </c>
      <c r="L78">
        <v>-69.5</v>
      </c>
      <c r="M78">
        <f t="shared" si="13"/>
        <v>4830.25</v>
      </c>
      <c r="N78">
        <f t="shared" si="14"/>
        <v>-8035.4162500000002</v>
      </c>
      <c r="O78">
        <f t="shared" si="15"/>
        <v>78.707696841024614</v>
      </c>
      <c r="P78">
        <f t="shared" si="16"/>
        <v>36.909803158975393</v>
      </c>
      <c r="Q78">
        <f t="shared" si="17"/>
        <v>1362.3335692343098</v>
      </c>
      <c r="R78">
        <f t="shared" si="18"/>
        <v>0.13324838685550683</v>
      </c>
      <c r="S78">
        <f t="shared" si="19"/>
        <v>13.324838685550683</v>
      </c>
    </row>
    <row r="79" spans="1:19" x14ac:dyDescent="0.3">
      <c r="A79" s="10" t="s">
        <v>140</v>
      </c>
      <c r="B79">
        <v>218.91</v>
      </c>
      <c r="G79" s="7" t="s">
        <v>27</v>
      </c>
      <c r="H79">
        <v>96.38000000000001</v>
      </c>
      <c r="J79" t="str">
        <f t="shared" si="20"/>
        <v>2006-May</v>
      </c>
      <c r="K79">
        <v>112.8</v>
      </c>
      <c r="L79">
        <v>-68.5</v>
      </c>
      <c r="M79">
        <f t="shared" si="13"/>
        <v>4692.25</v>
      </c>
      <c r="N79">
        <f t="shared" si="14"/>
        <v>-7726.8</v>
      </c>
      <c r="O79">
        <f t="shared" si="15"/>
        <v>79.420078080583579</v>
      </c>
      <c r="P79">
        <f t="shared" si="16"/>
        <v>33.379921919416418</v>
      </c>
      <c r="Q79">
        <f t="shared" si="17"/>
        <v>1114.2191873463366</v>
      </c>
      <c r="R79">
        <f t="shared" si="18"/>
        <v>0.12050513328309176</v>
      </c>
      <c r="S79">
        <f t="shared" si="19"/>
        <v>12.050513328309176</v>
      </c>
    </row>
    <row r="80" spans="1:19" x14ac:dyDescent="0.3">
      <c r="A80" s="10" t="s">
        <v>141</v>
      </c>
      <c r="B80">
        <v>213.18</v>
      </c>
      <c r="G80" s="7" t="s">
        <v>28</v>
      </c>
      <c r="H80">
        <v>100.75</v>
      </c>
      <c r="J80" t="str">
        <f t="shared" si="20"/>
        <v>2006-Jun</v>
      </c>
      <c r="K80">
        <v>111.848</v>
      </c>
      <c r="L80">
        <v>-67.5</v>
      </c>
      <c r="M80">
        <f t="shared" si="13"/>
        <v>4556.25</v>
      </c>
      <c r="N80">
        <f t="shared" si="14"/>
        <v>-7549.74</v>
      </c>
      <c r="O80">
        <f t="shared" si="15"/>
        <v>80.132459320142544</v>
      </c>
      <c r="P80">
        <f t="shared" si="16"/>
        <v>31.715540679857455</v>
      </c>
      <c r="Q80">
        <f t="shared" si="17"/>
        <v>1005.8755206156931</v>
      </c>
      <c r="R80">
        <f t="shared" si="18"/>
        <v>0.11449653675038793</v>
      </c>
      <c r="S80">
        <f t="shared" si="19"/>
        <v>11.449653675038792</v>
      </c>
    </row>
    <row r="81" spans="1:19" x14ac:dyDescent="0.3">
      <c r="A81" s="10" t="s">
        <v>142</v>
      </c>
      <c r="B81">
        <v>214.54</v>
      </c>
      <c r="G81" s="4" t="s">
        <v>44</v>
      </c>
      <c r="H81">
        <v>109.56192307692307</v>
      </c>
      <c r="J81" t="str">
        <f t="shared" si="20"/>
        <v>2006-Jul</v>
      </c>
      <c r="K81">
        <v>109.29750000000001</v>
      </c>
      <c r="L81">
        <v>-66.5</v>
      </c>
      <c r="M81">
        <f t="shared" si="13"/>
        <v>4422.25</v>
      </c>
      <c r="N81">
        <f t="shared" si="14"/>
        <v>-7268.2837500000005</v>
      </c>
      <c r="O81">
        <f t="shared" si="15"/>
        <v>80.844840559701524</v>
      </c>
      <c r="P81">
        <f t="shared" si="16"/>
        <v>28.45265944029849</v>
      </c>
      <c r="Q81">
        <f t="shared" si="17"/>
        <v>809.55382922560682</v>
      </c>
      <c r="R81">
        <f t="shared" si="18"/>
        <v>0.10271718209494039</v>
      </c>
      <c r="S81">
        <f t="shared" si="19"/>
        <v>10.27171820949404</v>
      </c>
    </row>
    <row r="82" spans="1:19" x14ac:dyDescent="0.3">
      <c r="A82" s="10" t="s">
        <v>143</v>
      </c>
      <c r="B82">
        <v>220.72</v>
      </c>
      <c r="G82" s="7" t="s">
        <v>30</v>
      </c>
      <c r="H82">
        <v>101.25</v>
      </c>
      <c r="J82" t="str">
        <f t="shared" si="20"/>
        <v>2006-Aug</v>
      </c>
      <c r="K82">
        <v>101.47</v>
      </c>
      <c r="L82">
        <v>-65.5</v>
      </c>
      <c r="M82">
        <f t="shared" si="13"/>
        <v>4290.25</v>
      </c>
      <c r="N82">
        <f t="shared" si="14"/>
        <v>-6646.2849999999999</v>
      </c>
      <c r="O82">
        <f t="shared" si="15"/>
        <v>81.557221799260489</v>
      </c>
      <c r="P82">
        <f t="shared" si="16"/>
        <v>19.91277820073951</v>
      </c>
      <c r="Q82">
        <f t="shared" si="17"/>
        <v>396.51873567184663</v>
      </c>
      <c r="R82">
        <f t="shared" si="18"/>
        <v>7.1887285923247321E-2</v>
      </c>
      <c r="S82">
        <f t="shared" si="19"/>
        <v>7.1887285923247317</v>
      </c>
    </row>
    <row r="83" spans="1:19" x14ac:dyDescent="0.3">
      <c r="A83" s="10" t="s">
        <v>144</v>
      </c>
      <c r="B83">
        <v>222.23</v>
      </c>
      <c r="G83" s="7" t="s">
        <v>31</v>
      </c>
      <c r="H83">
        <v>102.6125</v>
      </c>
      <c r="J83" t="str">
        <f t="shared" si="20"/>
        <v>2006-Sep</v>
      </c>
      <c r="K83">
        <v>104.628</v>
      </c>
      <c r="L83">
        <v>-64.5</v>
      </c>
      <c r="M83">
        <f t="shared" si="13"/>
        <v>4160.25</v>
      </c>
      <c r="N83">
        <f t="shared" si="14"/>
        <v>-6748.5060000000003</v>
      </c>
      <c r="O83">
        <f t="shared" si="15"/>
        <v>82.269603038819469</v>
      </c>
      <c r="P83">
        <f t="shared" si="16"/>
        <v>22.358396961180532</v>
      </c>
      <c r="Q83">
        <f t="shared" si="17"/>
        <v>499.8979146737268</v>
      </c>
      <c r="R83">
        <f t="shared" si="18"/>
        <v>8.0716234516897231E-2</v>
      </c>
      <c r="S83">
        <f t="shared" si="19"/>
        <v>8.0716234516897227</v>
      </c>
    </row>
    <row r="84" spans="1:19" x14ac:dyDescent="0.3">
      <c r="A84" s="10" t="s">
        <v>145</v>
      </c>
      <c r="B84">
        <v>232.21</v>
      </c>
      <c r="G84" s="7" t="s">
        <v>19</v>
      </c>
      <c r="H84">
        <v>112.64000000000001</v>
      </c>
      <c r="J84" t="str">
        <f t="shared" si="20"/>
        <v>2006-Oct</v>
      </c>
      <c r="K84">
        <v>114.12750000000001</v>
      </c>
      <c r="L84">
        <v>-63.5</v>
      </c>
      <c r="M84">
        <f t="shared" si="13"/>
        <v>4032.25</v>
      </c>
      <c r="N84">
        <f t="shared" si="14"/>
        <v>-7247.0962500000005</v>
      </c>
      <c r="O84">
        <f t="shared" si="15"/>
        <v>82.981984278378434</v>
      </c>
      <c r="P84">
        <f t="shared" si="16"/>
        <v>31.145515721621578</v>
      </c>
      <c r="Q84">
        <f t="shared" si="17"/>
        <v>970.04314956577684</v>
      </c>
      <c r="R84">
        <f t="shared" si="18"/>
        <v>0.11243868491560137</v>
      </c>
      <c r="S84">
        <f t="shared" si="19"/>
        <v>11.243868491560137</v>
      </c>
    </row>
    <row r="85" spans="1:19" x14ac:dyDescent="0.3">
      <c r="A85" s="10" t="s">
        <v>146</v>
      </c>
      <c r="B85">
        <v>244.11</v>
      </c>
      <c r="G85" s="7" t="s">
        <v>20</v>
      </c>
      <c r="H85">
        <v>115.61750000000001</v>
      </c>
      <c r="J85" t="str">
        <f t="shared" si="20"/>
        <v>2006-Nov</v>
      </c>
      <c r="K85">
        <v>115.405</v>
      </c>
      <c r="L85">
        <v>-62.5</v>
      </c>
      <c r="M85">
        <f t="shared" si="13"/>
        <v>3906.25</v>
      </c>
      <c r="N85">
        <f t="shared" si="14"/>
        <v>-7212.8125</v>
      </c>
      <c r="O85">
        <f t="shared" si="15"/>
        <v>83.694365517937399</v>
      </c>
      <c r="P85">
        <f t="shared" si="16"/>
        <v>31.710634482062602</v>
      </c>
      <c r="Q85">
        <f t="shared" si="17"/>
        <v>1005.5643392549777</v>
      </c>
      <c r="R85">
        <f t="shared" si="18"/>
        <v>0.11447882484499135</v>
      </c>
      <c r="S85">
        <f t="shared" si="19"/>
        <v>11.447882484499134</v>
      </c>
    </row>
    <row r="86" spans="1:19" x14ac:dyDescent="0.3">
      <c r="A86" s="10" t="s">
        <v>147</v>
      </c>
      <c r="B86">
        <v>244.78</v>
      </c>
      <c r="G86" s="7" t="s">
        <v>21</v>
      </c>
      <c r="H86">
        <v>112.8</v>
      </c>
      <c r="J86" t="str">
        <f t="shared" si="20"/>
        <v>2006-Dec</v>
      </c>
      <c r="K86">
        <v>112.26399999999998</v>
      </c>
      <c r="L86">
        <v>-61.5</v>
      </c>
      <c r="M86">
        <f t="shared" si="13"/>
        <v>3782.25</v>
      </c>
      <c r="N86">
        <f t="shared" si="14"/>
        <v>-6904.235999999999</v>
      </c>
      <c r="O86">
        <f t="shared" si="15"/>
        <v>84.406746757496364</v>
      </c>
      <c r="P86">
        <f t="shared" si="16"/>
        <v>27.857253242503617</v>
      </c>
      <c r="Q86">
        <f t="shared" si="17"/>
        <v>776.02655821697829</v>
      </c>
      <c r="R86">
        <f t="shared" si="18"/>
        <v>0.10056770123647515</v>
      </c>
      <c r="S86">
        <f t="shared" si="19"/>
        <v>10.056770123647516</v>
      </c>
    </row>
    <row r="87" spans="1:19" x14ac:dyDescent="0.3">
      <c r="A87" s="10" t="s">
        <v>148</v>
      </c>
      <c r="B87">
        <v>244.91</v>
      </c>
      <c r="G87" s="7" t="s">
        <v>22</v>
      </c>
      <c r="H87">
        <v>111.848</v>
      </c>
      <c r="J87" t="str">
        <f>_xlfn.CONCAT($G$94,"-",G95)</f>
        <v>2007-Jan</v>
      </c>
      <c r="K87">
        <v>109.315</v>
      </c>
      <c r="L87">
        <v>-60.5</v>
      </c>
      <c r="M87">
        <f t="shared" si="13"/>
        <v>3660.25</v>
      </c>
      <c r="N87">
        <f t="shared" si="14"/>
        <v>-6613.5574999999999</v>
      </c>
      <c r="O87">
        <f t="shared" si="15"/>
        <v>85.11912799705533</v>
      </c>
      <c r="P87">
        <f t="shared" si="16"/>
        <v>24.195872002944668</v>
      </c>
      <c r="Q87">
        <f t="shared" si="17"/>
        <v>585.44022198288167</v>
      </c>
      <c r="R87">
        <f t="shared" si="18"/>
        <v>8.734971842218292E-2</v>
      </c>
      <c r="S87">
        <f t="shared" si="19"/>
        <v>8.7349718422182914</v>
      </c>
    </row>
    <row r="88" spans="1:19" x14ac:dyDescent="0.3">
      <c r="A88" s="10" t="s">
        <v>149</v>
      </c>
      <c r="B88">
        <v>256.22000000000003</v>
      </c>
      <c r="G88" s="7" t="s">
        <v>23</v>
      </c>
      <c r="H88">
        <v>109.29750000000001</v>
      </c>
      <c r="J88" t="str">
        <f t="shared" ref="J88:J98" si="21">_xlfn.CONCAT($G$94,"-",G96)</f>
        <v>2007-Feb</v>
      </c>
      <c r="K88">
        <v>116.5975</v>
      </c>
      <c r="L88">
        <v>-59.5</v>
      </c>
      <c r="M88">
        <f t="shared" si="13"/>
        <v>3540.25</v>
      </c>
      <c r="N88">
        <f t="shared" si="14"/>
        <v>-6937.5512499999995</v>
      </c>
      <c r="O88">
        <f t="shared" si="15"/>
        <v>85.831509236614309</v>
      </c>
      <c r="P88">
        <f t="shared" si="16"/>
        <v>30.765990763385688</v>
      </c>
      <c r="Q88">
        <f t="shared" si="17"/>
        <v>946.54618765273347</v>
      </c>
      <c r="R88">
        <f t="shared" si="18"/>
        <v>0.11106855871258371</v>
      </c>
      <c r="S88">
        <f t="shared" si="19"/>
        <v>11.106855871258372</v>
      </c>
    </row>
    <row r="89" spans="1:19" x14ac:dyDescent="0.3">
      <c r="A89" s="10" t="s">
        <v>150</v>
      </c>
      <c r="B89">
        <v>263.99</v>
      </c>
      <c r="G89" s="7" t="s">
        <v>24</v>
      </c>
      <c r="H89">
        <v>101.47</v>
      </c>
      <c r="J89" t="str">
        <f t="shared" si="21"/>
        <v>2007-Mar</v>
      </c>
      <c r="K89">
        <v>111.69000000000001</v>
      </c>
      <c r="L89">
        <v>-58.5</v>
      </c>
      <c r="M89">
        <f t="shared" si="13"/>
        <v>3422.25</v>
      </c>
      <c r="N89">
        <f t="shared" si="14"/>
        <v>-6533.8650000000007</v>
      </c>
      <c r="O89">
        <f t="shared" si="15"/>
        <v>86.543890476173274</v>
      </c>
      <c r="P89">
        <f t="shared" si="16"/>
        <v>25.146109523826738</v>
      </c>
      <c r="Q89">
        <f t="shared" si="17"/>
        <v>632.32682418428976</v>
      </c>
      <c r="R89">
        <f t="shared" si="18"/>
        <v>9.0780178786378118E-2</v>
      </c>
      <c r="S89">
        <f t="shared" si="19"/>
        <v>9.0780178786378123</v>
      </c>
    </row>
    <row r="90" spans="1:19" x14ac:dyDescent="0.3">
      <c r="A90" s="10" t="s">
        <v>151</v>
      </c>
      <c r="B90">
        <v>258.64</v>
      </c>
      <c r="G90" s="7" t="s">
        <v>25</v>
      </c>
      <c r="H90">
        <v>104.628</v>
      </c>
      <c r="J90" t="str">
        <f t="shared" si="21"/>
        <v>2007-Apr</v>
      </c>
      <c r="K90">
        <v>108.24499999999999</v>
      </c>
      <c r="L90">
        <v>-57.5</v>
      </c>
      <c r="M90">
        <f t="shared" si="13"/>
        <v>3306.25</v>
      </c>
      <c r="N90">
        <f t="shared" si="14"/>
        <v>-6224.0874999999996</v>
      </c>
      <c r="O90">
        <f t="shared" si="15"/>
        <v>87.256271715732254</v>
      </c>
      <c r="P90">
        <f t="shared" si="16"/>
        <v>20.988728284267737</v>
      </c>
      <c r="Q90">
        <f t="shared" si="17"/>
        <v>440.52671499082049</v>
      </c>
      <c r="R90">
        <f t="shared" si="18"/>
        <v>7.5771582253674141E-2</v>
      </c>
      <c r="S90">
        <f t="shared" si="19"/>
        <v>7.5771582253674143</v>
      </c>
    </row>
    <row r="91" spans="1:19" x14ac:dyDescent="0.3">
      <c r="A91" s="10" t="s">
        <v>152</v>
      </c>
      <c r="B91">
        <v>253.82</v>
      </c>
      <c r="G91" s="7" t="s">
        <v>26</v>
      </c>
      <c r="H91">
        <v>114.12750000000001</v>
      </c>
      <c r="J91" t="str">
        <f t="shared" si="21"/>
        <v>2007-May</v>
      </c>
      <c r="K91">
        <v>107.5675</v>
      </c>
      <c r="L91">
        <v>-56.5</v>
      </c>
      <c r="M91">
        <f t="shared" si="13"/>
        <v>3192.25</v>
      </c>
      <c r="N91">
        <f t="shared" si="14"/>
        <v>-6077.5637499999993</v>
      </c>
      <c r="O91">
        <f t="shared" si="15"/>
        <v>87.968652955291219</v>
      </c>
      <c r="P91">
        <f t="shared" si="16"/>
        <v>19.598847044708776</v>
      </c>
      <c r="Q91">
        <f t="shared" si="17"/>
        <v>384.11480548188996</v>
      </c>
      <c r="R91">
        <f t="shared" si="18"/>
        <v>7.0753960450212192E-2</v>
      </c>
      <c r="S91">
        <f t="shared" si="19"/>
        <v>7.0753960450212192</v>
      </c>
    </row>
    <row r="92" spans="1:19" x14ac:dyDescent="0.3">
      <c r="A92" s="10" t="s">
        <v>153</v>
      </c>
      <c r="B92">
        <v>250.32</v>
      </c>
      <c r="G92" s="7" t="s">
        <v>27</v>
      </c>
      <c r="H92">
        <v>115.405</v>
      </c>
      <c r="J92" t="str">
        <f t="shared" si="21"/>
        <v>2007-Jun</v>
      </c>
      <c r="K92">
        <v>110.598</v>
      </c>
      <c r="L92">
        <v>-55.5</v>
      </c>
      <c r="M92">
        <f t="shared" si="13"/>
        <v>3080.25</v>
      </c>
      <c r="N92">
        <f t="shared" si="14"/>
        <v>-6138.1890000000003</v>
      </c>
      <c r="O92">
        <f t="shared" si="15"/>
        <v>88.681034194850184</v>
      </c>
      <c r="P92">
        <f t="shared" si="16"/>
        <v>21.916965805149815</v>
      </c>
      <c r="Q92">
        <f t="shared" si="17"/>
        <v>480.35339010410627</v>
      </c>
      <c r="R92">
        <f t="shared" si="18"/>
        <v>7.9122620235197894E-2</v>
      </c>
      <c r="S92">
        <f t="shared" si="19"/>
        <v>7.9122620235197889</v>
      </c>
    </row>
    <row r="93" spans="1:19" x14ac:dyDescent="0.3">
      <c r="A93" s="10" t="s">
        <v>154</v>
      </c>
      <c r="B93">
        <v>246.28</v>
      </c>
      <c r="G93" s="7" t="s">
        <v>28</v>
      </c>
      <c r="H93">
        <v>112.26399999999998</v>
      </c>
      <c r="J93" t="str">
        <f t="shared" si="21"/>
        <v>2007-Jul</v>
      </c>
      <c r="K93">
        <v>113.3475</v>
      </c>
      <c r="L93">
        <v>-54.5</v>
      </c>
      <c r="M93">
        <f t="shared" si="13"/>
        <v>2970.25</v>
      </c>
      <c r="N93">
        <f t="shared" si="14"/>
        <v>-6177.4387500000003</v>
      </c>
      <c r="O93">
        <f t="shared" si="15"/>
        <v>89.39341543440915</v>
      </c>
      <c r="P93">
        <f t="shared" si="16"/>
        <v>23.954084565590847</v>
      </c>
      <c r="Q93">
        <f t="shared" si="17"/>
        <v>573.79816737547765</v>
      </c>
      <c r="R93">
        <f t="shared" si="18"/>
        <v>8.6476839586970569E-2</v>
      </c>
      <c r="S93">
        <f t="shared" si="19"/>
        <v>8.6476839586970566</v>
      </c>
    </row>
    <row r="94" spans="1:19" x14ac:dyDescent="0.3">
      <c r="A94" s="10" t="s">
        <v>155</v>
      </c>
      <c r="B94">
        <v>240.84</v>
      </c>
      <c r="G94" s="4" t="s">
        <v>45</v>
      </c>
      <c r="H94">
        <v>107.63942307692309</v>
      </c>
      <c r="J94" t="str">
        <f t="shared" si="21"/>
        <v>2007-Aug</v>
      </c>
      <c r="K94">
        <v>109.27200000000001</v>
      </c>
      <c r="L94">
        <v>-53.5</v>
      </c>
      <c r="M94">
        <f t="shared" si="13"/>
        <v>2862.25</v>
      </c>
      <c r="N94">
        <f t="shared" si="14"/>
        <v>-5846.0520000000006</v>
      </c>
      <c r="O94">
        <f t="shared" si="15"/>
        <v>90.105796673968115</v>
      </c>
      <c r="P94">
        <f t="shared" si="16"/>
        <v>19.166203326031891</v>
      </c>
      <c r="Q94">
        <f t="shared" si="17"/>
        <v>367.34334993479592</v>
      </c>
      <c r="R94">
        <f t="shared" si="18"/>
        <v>6.9192069769068193E-2</v>
      </c>
      <c r="S94">
        <f t="shared" si="19"/>
        <v>6.9192069769068194</v>
      </c>
    </row>
    <row r="95" spans="1:19" x14ac:dyDescent="0.3">
      <c r="A95" s="10" t="s">
        <v>156</v>
      </c>
      <c r="B95">
        <v>238.15</v>
      </c>
      <c r="G95" s="7" t="s">
        <v>30</v>
      </c>
      <c r="H95">
        <v>109.315</v>
      </c>
      <c r="J95" t="str">
        <f t="shared" si="21"/>
        <v>2007-Sep</v>
      </c>
      <c r="K95">
        <v>106.55999999999999</v>
      </c>
      <c r="L95">
        <v>-52.5</v>
      </c>
      <c r="M95">
        <f t="shared" si="13"/>
        <v>2756.25</v>
      </c>
      <c r="N95">
        <f t="shared" si="14"/>
        <v>-5594.4</v>
      </c>
      <c r="O95">
        <f t="shared" si="15"/>
        <v>90.818177913527094</v>
      </c>
      <c r="P95">
        <f t="shared" si="16"/>
        <v>15.741822086472894</v>
      </c>
      <c r="Q95">
        <f t="shared" si="17"/>
        <v>247.8049626021658</v>
      </c>
      <c r="R95">
        <f t="shared" si="18"/>
        <v>5.6829682622645823E-2</v>
      </c>
      <c r="S95">
        <f t="shared" si="19"/>
        <v>5.6829682622645823</v>
      </c>
    </row>
    <row r="96" spans="1:19" x14ac:dyDescent="0.3">
      <c r="A96" s="10" t="s">
        <v>157</v>
      </c>
      <c r="B96">
        <v>242.69</v>
      </c>
      <c r="G96" s="7" t="s">
        <v>31</v>
      </c>
      <c r="H96">
        <v>116.5975</v>
      </c>
      <c r="J96" t="str">
        <f t="shared" si="21"/>
        <v>2007-Oct</v>
      </c>
      <c r="K96">
        <v>105.2075</v>
      </c>
      <c r="L96">
        <v>-51.5</v>
      </c>
      <c r="M96">
        <f t="shared" si="13"/>
        <v>2652.25</v>
      </c>
      <c r="N96">
        <f t="shared" si="14"/>
        <v>-5418.1862499999997</v>
      </c>
      <c r="O96">
        <f t="shared" si="15"/>
        <v>91.53055915308606</v>
      </c>
      <c r="P96">
        <f t="shared" si="16"/>
        <v>13.676940846913936</v>
      </c>
      <c r="Q96">
        <f t="shared" si="17"/>
        <v>187.05871092998291</v>
      </c>
      <c r="R96">
        <f t="shared" si="18"/>
        <v>4.9375237714490747E-2</v>
      </c>
      <c r="S96">
        <f t="shared" si="19"/>
        <v>4.9375237714490749</v>
      </c>
    </row>
    <row r="97" spans="1:19" x14ac:dyDescent="0.3">
      <c r="A97" s="10" t="s">
        <v>158</v>
      </c>
      <c r="B97">
        <v>253.88</v>
      </c>
      <c r="G97" s="7" t="s">
        <v>19</v>
      </c>
      <c r="H97">
        <v>111.69000000000001</v>
      </c>
      <c r="J97" t="str">
        <f t="shared" si="21"/>
        <v>2007-Nov</v>
      </c>
      <c r="K97">
        <v>98.207999999999998</v>
      </c>
      <c r="L97">
        <v>-50.5</v>
      </c>
      <c r="M97">
        <f t="shared" si="13"/>
        <v>2550.25</v>
      </c>
      <c r="N97">
        <f t="shared" si="14"/>
        <v>-4959.5039999999999</v>
      </c>
      <c r="O97">
        <f t="shared" si="15"/>
        <v>92.242940392645039</v>
      </c>
      <c r="P97">
        <f t="shared" si="16"/>
        <v>5.9650596073549593</v>
      </c>
      <c r="Q97">
        <f t="shared" si="17"/>
        <v>35.581936119297701</v>
      </c>
      <c r="R97">
        <f t="shared" si="18"/>
        <v>2.153451121788794E-2</v>
      </c>
      <c r="S97">
        <f t="shared" si="19"/>
        <v>2.1534511217887942</v>
      </c>
    </row>
    <row r="98" spans="1:19" x14ac:dyDescent="0.3">
      <c r="A98" s="10" t="s">
        <v>159</v>
      </c>
      <c r="B98">
        <v>242.77</v>
      </c>
      <c r="G98" s="7" t="s">
        <v>20</v>
      </c>
      <c r="H98">
        <v>108.24499999999999</v>
      </c>
      <c r="J98" t="str">
        <f t="shared" si="21"/>
        <v>2007-Dec</v>
      </c>
      <c r="K98">
        <v>95.262500000000017</v>
      </c>
      <c r="L98">
        <v>-49.5</v>
      </c>
      <c r="M98">
        <f t="shared" si="13"/>
        <v>2450.25</v>
      </c>
      <c r="N98">
        <f t="shared" si="14"/>
        <v>-4715.4937500000005</v>
      </c>
      <c r="O98">
        <f t="shared" si="15"/>
        <v>92.955321632204004</v>
      </c>
      <c r="P98">
        <f t="shared" si="16"/>
        <v>2.3071783677960127</v>
      </c>
      <c r="Q98">
        <f t="shared" si="17"/>
        <v>5.3230720208258733</v>
      </c>
      <c r="R98">
        <f t="shared" si="18"/>
        <v>8.3291637826570855E-3</v>
      </c>
      <c r="S98">
        <f t="shared" si="19"/>
        <v>0.83291637826570852</v>
      </c>
    </row>
    <row r="99" spans="1:19" x14ac:dyDescent="0.3">
      <c r="A99" s="10" t="s">
        <v>160</v>
      </c>
      <c r="B99">
        <v>235.53</v>
      </c>
      <c r="G99" s="7" t="s">
        <v>21</v>
      </c>
      <c r="H99">
        <v>107.5675</v>
      </c>
      <c r="J99" t="str">
        <f>_xlfn.CONCAT($G$107,"-",G108)</f>
        <v>2008-Jan</v>
      </c>
      <c r="K99">
        <v>85.527500000000003</v>
      </c>
      <c r="L99">
        <v>-48.5</v>
      </c>
      <c r="M99">
        <f t="shared" si="13"/>
        <v>2352.25</v>
      </c>
      <c r="N99">
        <f t="shared" si="14"/>
        <v>-4148.0837499999998</v>
      </c>
      <c r="O99">
        <f t="shared" si="15"/>
        <v>93.66770287176297</v>
      </c>
      <c r="P99">
        <f t="shared" si="16"/>
        <v>-8.1402028717629662</v>
      </c>
      <c r="Q99">
        <f t="shared" si="17"/>
        <v>66.262902793458039</v>
      </c>
      <c r="R99">
        <f t="shared" si="18"/>
        <v>2.9387013977483632E-2</v>
      </c>
      <c r="S99">
        <f t="shared" si="19"/>
        <v>2.9387013977483631</v>
      </c>
    </row>
    <row r="100" spans="1:19" x14ac:dyDescent="0.3">
      <c r="A100" s="10" t="s">
        <v>161</v>
      </c>
      <c r="B100">
        <v>232.98</v>
      </c>
      <c r="G100" s="7" t="s">
        <v>22</v>
      </c>
      <c r="H100">
        <v>110.598</v>
      </c>
      <c r="J100" t="str">
        <f t="shared" ref="J100:J110" si="22">_xlfn.CONCAT($G$107,"-",G109)</f>
        <v>2008-Feb</v>
      </c>
      <c r="K100">
        <v>89.311999999999998</v>
      </c>
      <c r="L100">
        <v>-47.5</v>
      </c>
      <c r="M100">
        <f t="shared" si="13"/>
        <v>2256.25</v>
      </c>
      <c r="N100">
        <f t="shared" si="14"/>
        <v>-4242.32</v>
      </c>
      <c r="O100">
        <f t="shared" si="15"/>
        <v>94.380084111321935</v>
      </c>
      <c r="P100">
        <f t="shared" si="16"/>
        <v>-5.0680841113219373</v>
      </c>
      <c r="Q100">
        <f t="shared" si="17"/>
        <v>25.685476559433869</v>
      </c>
      <c r="R100">
        <f t="shared" si="18"/>
        <v>1.8296332531848147E-2</v>
      </c>
      <c r="S100">
        <f t="shared" si="19"/>
        <v>1.8296332531848147</v>
      </c>
    </row>
    <row r="101" spans="1:19" x14ac:dyDescent="0.3">
      <c r="A101" s="10" t="s">
        <v>162</v>
      </c>
      <c r="B101">
        <v>229.12</v>
      </c>
      <c r="G101" s="7" t="s">
        <v>23</v>
      </c>
      <c r="H101">
        <v>113.3475</v>
      </c>
      <c r="J101" t="str">
        <f t="shared" si="22"/>
        <v>2008-Mar</v>
      </c>
      <c r="K101">
        <v>87.447499999999991</v>
      </c>
      <c r="L101">
        <v>-46.5</v>
      </c>
      <c r="M101">
        <f t="shared" si="13"/>
        <v>2162.25</v>
      </c>
      <c r="N101">
        <f t="shared" si="14"/>
        <v>-4066.3087499999997</v>
      </c>
      <c r="O101">
        <f t="shared" si="15"/>
        <v>95.0924653508809</v>
      </c>
      <c r="P101">
        <f t="shared" si="16"/>
        <v>-7.6449653508809092</v>
      </c>
      <c r="Q101">
        <f t="shared" si="17"/>
        <v>58.445495216169661</v>
      </c>
      <c r="R101">
        <f t="shared" si="18"/>
        <v>2.7599152891266819E-2</v>
      </c>
      <c r="S101">
        <f t="shared" si="19"/>
        <v>2.759915289126682</v>
      </c>
    </row>
    <row r="102" spans="1:19" x14ac:dyDescent="0.3">
      <c r="A102" s="10" t="s">
        <v>163</v>
      </c>
      <c r="B102">
        <v>223.44</v>
      </c>
      <c r="G102" s="7" t="s">
        <v>24</v>
      </c>
      <c r="H102">
        <v>109.27200000000001</v>
      </c>
      <c r="J102" t="str">
        <f t="shared" si="22"/>
        <v>2008-Apr</v>
      </c>
      <c r="K102">
        <v>95.234999999999999</v>
      </c>
      <c r="L102">
        <v>-45.5</v>
      </c>
      <c r="M102">
        <f t="shared" si="13"/>
        <v>2070.25</v>
      </c>
      <c r="N102">
        <f t="shared" si="14"/>
        <v>-4333.1925000000001</v>
      </c>
      <c r="O102">
        <f t="shared" si="15"/>
        <v>95.80484659043988</v>
      </c>
      <c r="P102">
        <f t="shared" si="16"/>
        <v>-0.56984659043988017</v>
      </c>
      <c r="Q102">
        <f t="shared" si="17"/>
        <v>0.32472513663595653</v>
      </c>
      <c r="R102">
        <f t="shared" si="18"/>
        <v>2.0572079077251994E-3</v>
      </c>
      <c r="S102">
        <f t="shared" si="19"/>
        <v>0.20572079077251995</v>
      </c>
    </row>
    <row r="103" spans="1:19" x14ac:dyDescent="0.3">
      <c r="A103" s="10" t="s">
        <v>164</v>
      </c>
      <c r="B103">
        <v>222.53</v>
      </c>
      <c r="G103" s="7" t="s">
        <v>25</v>
      </c>
      <c r="H103">
        <v>106.55999999999999</v>
      </c>
      <c r="J103" t="str">
        <f t="shared" si="22"/>
        <v>2008-May</v>
      </c>
      <c r="K103">
        <v>91.344000000000008</v>
      </c>
      <c r="L103">
        <v>-44.5</v>
      </c>
      <c r="M103">
        <f t="shared" si="13"/>
        <v>1980.25</v>
      </c>
      <c r="N103">
        <f t="shared" si="14"/>
        <v>-4064.8080000000004</v>
      </c>
      <c r="O103">
        <f t="shared" si="15"/>
        <v>96.517227829998845</v>
      </c>
      <c r="P103">
        <f t="shared" si="16"/>
        <v>-5.1732278299988366</v>
      </c>
      <c r="Q103">
        <f t="shared" si="17"/>
        <v>26.762286181074472</v>
      </c>
      <c r="R103">
        <f t="shared" si="18"/>
        <v>1.8675912743678112E-2</v>
      </c>
      <c r="S103">
        <f t="shared" si="19"/>
        <v>1.8675912743678111</v>
      </c>
    </row>
    <row r="104" spans="1:19" x14ac:dyDescent="0.3">
      <c r="A104" s="10" t="s">
        <v>165</v>
      </c>
      <c r="B104">
        <v>226.64</v>
      </c>
      <c r="G104" s="7" t="s">
        <v>26</v>
      </c>
      <c r="H104">
        <v>105.2075</v>
      </c>
      <c r="J104" t="str">
        <f t="shared" si="22"/>
        <v>2008-Jun</v>
      </c>
      <c r="K104">
        <v>83.157500000000013</v>
      </c>
      <c r="L104">
        <v>-43.5</v>
      </c>
      <c r="M104">
        <f t="shared" si="13"/>
        <v>1892.25</v>
      </c>
      <c r="N104">
        <f t="shared" si="14"/>
        <v>-3617.3512500000006</v>
      </c>
      <c r="O104">
        <f t="shared" si="15"/>
        <v>97.229609069557824</v>
      </c>
      <c r="P104">
        <f t="shared" si="16"/>
        <v>-14.072109069557811</v>
      </c>
      <c r="Q104">
        <f t="shared" si="17"/>
        <v>198.02425366553121</v>
      </c>
      <c r="R104">
        <f t="shared" si="18"/>
        <v>5.0801837796237585E-2</v>
      </c>
      <c r="S104">
        <f t="shared" si="19"/>
        <v>5.0801837796237583</v>
      </c>
    </row>
    <row r="105" spans="1:19" x14ac:dyDescent="0.3">
      <c r="A105" s="10" t="s">
        <v>166</v>
      </c>
      <c r="B105">
        <v>255.22</v>
      </c>
      <c r="G105" s="7" t="s">
        <v>27</v>
      </c>
      <c r="H105">
        <v>98.207999999999998</v>
      </c>
      <c r="J105" t="str">
        <f t="shared" si="22"/>
        <v>2008-Jul</v>
      </c>
      <c r="K105">
        <v>76.97999999999999</v>
      </c>
      <c r="L105">
        <v>-42.5</v>
      </c>
      <c r="M105">
        <f t="shared" si="13"/>
        <v>1806.25</v>
      </c>
      <c r="N105">
        <f t="shared" si="14"/>
        <v>-3271.6499999999996</v>
      </c>
      <c r="O105">
        <f t="shared" si="15"/>
        <v>97.94199030911679</v>
      </c>
      <c r="P105">
        <f t="shared" si="16"/>
        <v>-20.9619903091168</v>
      </c>
      <c r="Q105">
        <f t="shared" si="17"/>
        <v>439.40503771950665</v>
      </c>
      <c r="R105">
        <f t="shared" si="18"/>
        <v>7.567505526756968E-2</v>
      </c>
      <c r="S105">
        <f t="shared" si="19"/>
        <v>7.5675055267569675</v>
      </c>
    </row>
    <row r="106" spans="1:19" x14ac:dyDescent="0.3">
      <c r="A106" s="10" t="s">
        <v>167</v>
      </c>
      <c r="B106">
        <v>257.55</v>
      </c>
      <c r="G106" s="7" t="s">
        <v>28</v>
      </c>
      <c r="H106">
        <v>95.262500000000017</v>
      </c>
      <c r="J106" t="str">
        <f t="shared" si="22"/>
        <v>2008-Aug</v>
      </c>
      <c r="K106">
        <v>83.77000000000001</v>
      </c>
      <c r="L106">
        <v>-41.5</v>
      </c>
      <c r="M106">
        <f t="shared" si="13"/>
        <v>1722.25</v>
      </c>
      <c r="N106">
        <f t="shared" si="14"/>
        <v>-3476.4550000000004</v>
      </c>
      <c r="O106">
        <f t="shared" si="15"/>
        <v>98.654371548675755</v>
      </c>
      <c r="P106">
        <f t="shared" si="16"/>
        <v>-14.884371548675745</v>
      </c>
      <c r="Q106">
        <f t="shared" si="17"/>
        <v>221.544516399028</v>
      </c>
      <c r="R106">
        <f t="shared" si="18"/>
        <v>5.3734193316518936E-2</v>
      </c>
      <c r="S106">
        <f t="shared" si="19"/>
        <v>5.3734193316518937</v>
      </c>
    </row>
    <row r="107" spans="1:19" x14ac:dyDescent="0.3">
      <c r="A107" s="10" t="s">
        <v>168</v>
      </c>
      <c r="B107">
        <v>266.04000000000002</v>
      </c>
      <c r="G107" s="4" t="s">
        <v>46</v>
      </c>
      <c r="H107">
        <v>81.374807692307684</v>
      </c>
      <c r="J107" t="str">
        <f t="shared" si="22"/>
        <v>2008-Sep</v>
      </c>
      <c r="K107">
        <v>86.19</v>
      </c>
      <c r="L107">
        <v>-40.5</v>
      </c>
      <c r="M107">
        <f t="shared" si="13"/>
        <v>1640.25</v>
      </c>
      <c r="N107">
        <f t="shared" si="14"/>
        <v>-3490.6949999999997</v>
      </c>
      <c r="O107">
        <f t="shared" si="15"/>
        <v>99.36675278823472</v>
      </c>
      <c r="P107">
        <f t="shared" si="16"/>
        <v>-13.176752788234722</v>
      </c>
      <c r="Q107">
        <f t="shared" si="17"/>
        <v>173.62681404225154</v>
      </c>
      <c r="R107">
        <f t="shared" si="18"/>
        <v>4.7569504650666866E-2</v>
      </c>
      <c r="S107">
        <f t="shared" si="19"/>
        <v>4.7569504650666863</v>
      </c>
    </row>
    <row r="108" spans="1:19" x14ac:dyDescent="0.3">
      <c r="A108" s="10" t="s">
        <v>169</v>
      </c>
      <c r="B108">
        <v>267.89999999999998</v>
      </c>
      <c r="G108" s="7" t="s">
        <v>30</v>
      </c>
      <c r="H108">
        <v>85.527500000000003</v>
      </c>
      <c r="J108" t="str">
        <f t="shared" si="22"/>
        <v>2008-Oct</v>
      </c>
      <c r="K108">
        <v>66.218000000000004</v>
      </c>
      <c r="L108">
        <v>-39.5</v>
      </c>
      <c r="M108">
        <f t="shared" si="13"/>
        <v>1560.25</v>
      </c>
      <c r="N108">
        <f t="shared" si="14"/>
        <v>-2615.6110000000003</v>
      </c>
      <c r="O108">
        <f t="shared" si="15"/>
        <v>100.07913402779369</v>
      </c>
      <c r="P108">
        <f t="shared" si="16"/>
        <v>-33.861134027793682</v>
      </c>
      <c r="Q108">
        <f t="shared" si="17"/>
        <v>1146.5763976482071</v>
      </c>
      <c r="R108">
        <f t="shared" si="18"/>
        <v>0.12224236111116853</v>
      </c>
      <c r="S108">
        <f t="shared" si="19"/>
        <v>12.224236111116852</v>
      </c>
    </row>
    <row r="109" spans="1:19" x14ac:dyDescent="0.3">
      <c r="A109" s="10" t="s">
        <v>170</v>
      </c>
      <c r="B109">
        <v>266.55</v>
      </c>
      <c r="G109" s="7" t="s">
        <v>31</v>
      </c>
      <c r="H109">
        <v>89.311999999999998</v>
      </c>
      <c r="J109" t="str">
        <f t="shared" si="22"/>
        <v>2008-Nov</v>
      </c>
      <c r="K109">
        <v>65.127499999999998</v>
      </c>
      <c r="L109">
        <v>-38.5</v>
      </c>
      <c r="M109">
        <f t="shared" si="13"/>
        <v>1482.25</v>
      </c>
      <c r="N109">
        <f t="shared" si="14"/>
        <v>-2507.4087500000001</v>
      </c>
      <c r="O109">
        <f t="shared" si="15"/>
        <v>100.79151526735266</v>
      </c>
      <c r="P109">
        <f t="shared" si="16"/>
        <v>-35.664015267352667</v>
      </c>
      <c r="Q109">
        <f t="shared" si="17"/>
        <v>1271.9219849899641</v>
      </c>
      <c r="R109">
        <f t="shared" si="18"/>
        <v>0.12875095764387245</v>
      </c>
      <c r="S109">
        <f t="shared" si="19"/>
        <v>12.875095764387245</v>
      </c>
    </row>
    <row r="110" spans="1:19" x14ac:dyDescent="0.3">
      <c r="A110" s="10" t="s">
        <v>171</v>
      </c>
      <c r="B110">
        <v>277.18</v>
      </c>
      <c r="G110" s="7" t="s">
        <v>19</v>
      </c>
      <c r="H110">
        <v>87.447499999999991</v>
      </c>
      <c r="J110" t="str">
        <f t="shared" si="22"/>
        <v>2008-Dec</v>
      </c>
      <c r="K110">
        <v>64.902500000000003</v>
      </c>
      <c r="L110">
        <v>-37.5</v>
      </c>
      <c r="M110">
        <f t="shared" si="13"/>
        <v>1406.25</v>
      </c>
      <c r="N110">
        <f t="shared" si="14"/>
        <v>-2433.84375</v>
      </c>
      <c r="O110">
        <f t="shared" si="15"/>
        <v>101.50389650691163</v>
      </c>
      <c r="P110">
        <f t="shared" si="16"/>
        <v>-36.601396506911627</v>
      </c>
      <c r="Q110">
        <f t="shared" si="17"/>
        <v>1339.6622262561627</v>
      </c>
      <c r="R110">
        <f t="shared" si="18"/>
        <v>0.13213500544011417</v>
      </c>
      <c r="S110">
        <f t="shared" si="19"/>
        <v>13.213500544011417</v>
      </c>
    </row>
    <row r="111" spans="1:19" x14ac:dyDescent="0.3">
      <c r="A111" s="10" t="s">
        <v>172</v>
      </c>
      <c r="B111">
        <v>276.27</v>
      </c>
      <c r="G111" s="7" t="s">
        <v>20</v>
      </c>
      <c r="H111">
        <v>95.234999999999999</v>
      </c>
      <c r="J111" t="str">
        <f>_xlfn.CONCAT($G$120,"-",G121)</f>
        <v>2009-Jan</v>
      </c>
      <c r="K111">
        <v>57.679999999999993</v>
      </c>
      <c r="L111">
        <v>-36.5</v>
      </c>
      <c r="M111">
        <f t="shared" si="13"/>
        <v>1332.25</v>
      </c>
      <c r="N111">
        <f t="shared" si="14"/>
        <v>-2105.3199999999997</v>
      </c>
      <c r="O111">
        <f t="shared" si="15"/>
        <v>102.21627774647061</v>
      </c>
      <c r="P111">
        <f t="shared" si="16"/>
        <v>-44.536277746470617</v>
      </c>
      <c r="Q111">
        <f t="shared" si="17"/>
        <v>1983.4800355107739</v>
      </c>
      <c r="R111">
        <f t="shared" si="18"/>
        <v>0.16078078608834157</v>
      </c>
      <c r="S111">
        <f t="shared" si="19"/>
        <v>16.078078608834158</v>
      </c>
    </row>
    <row r="112" spans="1:19" x14ac:dyDescent="0.3">
      <c r="A112" s="10" t="s">
        <v>173</v>
      </c>
      <c r="B112">
        <v>279.95</v>
      </c>
      <c r="G112" s="7" t="s">
        <v>21</v>
      </c>
      <c r="H112">
        <v>91.344000000000008</v>
      </c>
      <c r="J112" t="str">
        <f t="shared" ref="J112:J122" si="23">_xlfn.CONCAT($G$120,"-",G122)</f>
        <v>2009-Feb</v>
      </c>
      <c r="K112">
        <v>49.312500000000007</v>
      </c>
      <c r="L112">
        <v>-35.5</v>
      </c>
      <c r="M112">
        <f t="shared" si="13"/>
        <v>1260.25</v>
      </c>
      <c r="N112">
        <f t="shared" si="14"/>
        <v>-1750.5937500000002</v>
      </c>
      <c r="O112">
        <f t="shared" si="15"/>
        <v>102.92865898602957</v>
      </c>
      <c r="P112">
        <f t="shared" si="16"/>
        <v>-53.616158986029568</v>
      </c>
      <c r="Q112">
        <f t="shared" si="17"/>
        <v>2874.692504415199</v>
      </c>
      <c r="R112">
        <f t="shared" si="18"/>
        <v>0.19356014074378905</v>
      </c>
      <c r="S112">
        <f t="shared" si="19"/>
        <v>19.356014074378905</v>
      </c>
    </row>
    <row r="113" spans="1:19" x14ac:dyDescent="0.3">
      <c r="A113" s="10" t="s">
        <v>174</v>
      </c>
      <c r="B113">
        <v>297.07</v>
      </c>
      <c r="G113" s="7" t="s">
        <v>22</v>
      </c>
      <c r="H113">
        <v>83.157500000000013</v>
      </c>
      <c r="J113" t="str">
        <f t="shared" si="23"/>
        <v>2009-Mar</v>
      </c>
      <c r="K113">
        <v>40.335000000000001</v>
      </c>
      <c r="L113">
        <v>-34.5</v>
      </c>
      <c r="M113">
        <f t="shared" si="13"/>
        <v>1190.25</v>
      </c>
      <c r="N113">
        <f t="shared" si="14"/>
        <v>-1391.5575000000001</v>
      </c>
      <c r="O113">
        <f t="shared" si="15"/>
        <v>103.64104022558854</v>
      </c>
      <c r="P113">
        <f t="shared" si="16"/>
        <v>-63.306040225588539</v>
      </c>
      <c r="Q113">
        <f t="shared" si="17"/>
        <v>4007.6547290438343</v>
      </c>
      <c r="R113">
        <f t="shared" si="18"/>
        <v>0.22854166146421856</v>
      </c>
      <c r="S113">
        <f t="shared" si="19"/>
        <v>22.854166146421857</v>
      </c>
    </row>
    <row r="114" spans="1:19" x14ac:dyDescent="0.3">
      <c r="A114" s="10" t="s">
        <v>175</v>
      </c>
      <c r="B114">
        <v>292.49</v>
      </c>
      <c r="G114" s="7" t="s">
        <v>23</v>
      </c>
      <c r="H114">
        <v>76.97999999999999</v>
      </c>
      <c r="J114" t="str">
        <f t="shared" si="23"/>
        <v>2009-Apr</v>
      </c>
      <c r="K114">
        <v>52.562500000000007</v>
      </c>
      <c r="L114">
        <v>-33.5</v>
      </c>
      <c r="M114">
        <f t="shared" si="13"/>
        <v>1122.25</v>
      </c>
      <c r="N114">
        <f t="shared" si="14"/>
        <v>-1760.8437500000002</v>
      </c>
      <c r="O114">
        <f t="shared" si="15"/>
        <v>104.35342146514751</v>
      </c>
      <c r="P114">
        <f t="shared" si="16"/>
        <v>-51.790921465147498</v>
      </c>
      <c r="Q114">
        <f t="shared" si="17"/>
        <v>2682.2995462090757</v>
      </c>
      <c r="R114">
        <f t="shared" si="18"/>
        <v>0.1869708356142509</v>
      </c>
      <c r="S114">
        <f t="shared" si="19"/>
        <v>18.697083561425089</v>
      </c>
    </row>
    <row r="115" spans="1:19" x14ac:dyDescent="0.3">
      <c r="A115" s="10" t="s">
        <v>176</v>
      </c>
      <c r="B115">
        <v>296.39999999999998</v>
      </c>
      <c r="G115" s="7" t="s">
        <v>24</v>
      </c>
      <c r="H115">
        <v>83.77000000000001</v>
      </c>
      <c r="J115" t="str">
        <f t="shared" si="23"/>
        <v>2009-May</v>
      </c>
      <c r="K115">
        <v>55.287999999999997</v>
      </c>
      <c r="L115">
        <v>-32.5</v>
      </c>
      <c r="M115">
        <f t="shared" si="13"/>
        <v>1056.25</v>
      </c>
      <c r="N115">
        <f t="shared" si="14"/>
        <v>-1796.86</v>
      </c>
      <c r="O115">
        <f t="shared" si="15"/>
        <v>105.06580270470647</v>
      </c>
      <c r="P115">
        <f t="shared" si="16"/>
        <v>-49.777802704706474</v>
      </c>
      <c r="Q115">
        <f t="shared" si="17"/>
        <v>2477.8296421086829</v>
      </c>
      <c r="R115">
        <f t="shared" si="18"/>
        <v>0.17970325886175623</v>
      </c>
      <c r="S115">
        <f t="shared" si="19"/>
        <v>17.970325886175623</v>
      </c>
    </row>
    <row r="116" spans="1:19" x14ac:dyDescent="0.3">
      <c r="A116" s="10" t="s">
        <v>177</v>
      </c>
      <c r="B116">
        <v>299.38</v>
      </c>
      <c r="G116" s="7" t="s">
        <v>25</v>
      </c>
      <c r="H116">
        <v>86.19</v>
      </c>
      <c r="J116" t="str">
        <f t="shared" si="23"/>
        <v>2009-Jun</v>
      </c>
      <c r="K116">
        <v>54.59</v>
      </c>
      <c r="L116">
        <v>-31.5</v>
      </c>
      <c r="M116">
        <f t="shared" si="13"/>
        <v>992.25</v>
      </c>
      <c r="N116">
        <f t="shared" si="14"/>
        <v>-1719.585</v>
      </c>
      <c r="O116">
        <f t="shared" si="15"/>
        <v>105.77818394426545</v>
      </c>
      <c r="P116">
        <f t="shared" si="16"/>
        <v>-51.188183944265447</v>
      </c>
      <c r="Q116">
        <f t="shared" si="17"/>
        <v>2620.2301755119547</v>
      </c>
      <c r="R116">
        <f t="shared" si="18"/>
        <v>0.18479488788543483</v>
      </c>
      <c r="S116">
        <f t="shared" si="19"/>
        <v>18.479488788543481</v>
      </c>
    </row>
    <row r="117" spans="1:19" x14ac:dyDescent="0.3">
      <c r="A117" s="10" t="s">
        <v>178</v>
      </c>
      <c r="B117">
        <v>291.95</v>
      </c>
      <c r="G117" s="7" t="s">
        <v>26</v>
      </c>
      <c r="H117">
        <v>66.218000000000004</v>
      </c>
      <c r="J117" t="str">
        <f t="shared" si="23"/>
        <v>2009-Jul</v>
      </c>
      <c r="K117">
        <v>60.498000000000005</v>
      </c>
      <c r="L117">
        <v>-30.5</v>
      </c>
      <c r="M117">
        <f t="shared" si="13"/>
        <v>930.25</v>
      </c>
      <c r="N117">
        <f t="shared" si="14"/>
        <v>-1845.1890000000001</v>
      </c>
      <c r="O117">
        <f t="shared" si="15"/>
        <v>106.49056518382442</v>
      </c>
      <c r="P117">
        <f t="shared" si="16"/>
        <v>-45.992565183824411</v>
      </c>
      <c r="Q117">
        <f t="shared" si="17"/>
        <v>2115.3160521883374</v>
      </c>
      <c r="R117">
        <f t="shared" si="18"/>
        <v>0.16603814145784987</v>
      </c>
      <c r="S117">
        <f t="shared" si="19"/>
        <v>16.603814145784987</v>
      </c>
    </row>
    <row r="118" spans="1:19" x14ac:dyDescent="0.3">
      <c r="A118" s="10" t="s">
        <v>179</v>
      </c>
      <c r="B118">
        <v>285.32</v>
      </c>
      <c r="G118" s="7" t="s">
        <v>27</v>
      </c>
      <c r="H118">
        <v>65.127499999999998</v>
      </c>
      <c r="J118" t="str">
        <f t="shared" si="23"/>
        <v>2009-Aug</v>
      </c>
      <c r="K118">
        <v>67.900000000000006</v>
      </c>
      <c r="L118">
        <v>-29.5</v>
      </c>
      <c r="M118">
        <f t="shared" si="13"/>
        <v>870.25</v>
      </c>
      <c r="N118">
        <f t="shared" si="14"/>
        <v>-2003.0500000000002</v>
      </c>
      <c r="O118">
        <f t="shared" si="15"/>
        <v>107.20294642338339</v>
      </c>
      <c r="P118">
        <f t="shared" si="16"/>
        <v>-39.302946423383389</v>
      </c>
      <c r="Q118">
        <f t="shared" si="17"/>
        <v>1544.7215975593451</v>
      </c>
      <c r="R118">
        <f t="shared" si="18"/>
        <v>0.14188789322521078</v>
      </c>
      <c r="S118">
        <f t="shared" si="19"/>
        <v>14.188789322521078</v>
      </c>
    </row>
    <row r="119" spans="1:19" x14ac:dyDescent="0.3">
      <c r="A119" s="10" t="s">
        <v>180</v>
      </c>
      <c r="B119">
        <v>296.08999999999997</v>
      </c>
      <c r="G119" s="7" t="s">
        <v>28</v>
      </c>
      <c r="H119">
        <v>64.902500000000003</v>
      </c>
      <c r="J119" t="str">
        <f t="shared" si="23"/>
        <v>2009-Sep</v>
      </c>
      <c r="K119">
        <v>74.432500000000005</v>
      </c>
      <c r="L119">
        <v>-28.5</v>
      </c>
      <c r="M119">
        <f t="shared" si="13"/>
        <v>812.25</v>
      </c>
      <c r="N119">
        <f t="shared" si="14"/>
        <v>-2121.3262500000001</v>
      </c>
      <c r="O119">
        <f t="shared" si="15"/>
        <v>107.91532766294236</v>
      </c>
      <c r="P119">
        <f t="shared" si="16"/>
        <v>-33.482827662942356</v>
      </c>
      <c r="Q119">
        <f t="shared" si="17"/>
        <v>1121.0997483062979</v>
      </c>
      <c r="R119">
        <f t="shared" si="18"/>
        <v>0.12087663416224677</v>
      </c>
      <c r="S119">
        <f t="shared" si="19"/>
        <v>12.087663416224677</v>
      </c>
    </row>
    <row r="120" spans="1:19" x14ac:dyDescent="0.3">
      <c r="A120" s="10" t="s">
        <v>181</v>
      </c>
      <c r="B120">
        <v>302.12</v>
      </c>
      <c r="G120" s="4" t="s">
        <v>47</v>
      </c>
      <c r="H120">
        <v>62.916730769230782</v>
      </c>
      <c r="J120" t="str">
        <f t="shared" si="23"/>
        <v>2009-Oct</v>
      </c>
      <c r="K120">
        <v>76.179999999999993</v>
      </c>
      <c r="L120">
        <v>-27.5</v>
      </c>
      <c r="M120">
        <f t="shared" si="13"/>
        <v>756.25</v>
      </c>
      <c r="N120">
        <f t="shared" si="14"/>
        <v>-2094.9499999999998</v>
      </c>
      <c r="O120">
        <f t="shared" si="15"/>
        <v>108.62770890250133</v>
      </c>
      <c r="P120">
        <f t="shared" si="16"/>
        <v>-32.447708902501333</v>
      </c>
      <c r="Q120">
        <f t="shared" si="17"/>
        <v>1052.8538130214642</v>
      </c>
      <c r="R120">
        <f t="shared" si="18"/>
        <v>0.11713974333032973</v>
      </c>
      <c r="S120">
        <f t="shared" si="19"/>
        <v>11.713974333032972</v>
      </c>
    </row>
    <row r="121" spans="1:19" x14ac:dyDescent="0.3">
      <c r="A121" s="10" t="s">
        <v>182</v>
      </c>
      <c r="B121">
        <v>314.81</v>
      </c>
      <c r="G121" s="7" t="s">
        <v>30</v>
      </c>
      <c r="H121">
        <v>57.679999999999993</v>
      </c>
      <c r="J121" t="str">
        <f t="shared" si="23"/>
        <v>2009-Nov</v>
      </c>
      <c r="K121">
        <v>80.88</v>
      </c>
      <c r="L121">
        <v>-26.5</v>
      </c>
      <c r="M121">
        <f t="shared" si="13"/>
        <v>702.25</v>
      </c>
      <c r="N121">
        <f t="shared" si="14"/>
        <v>-2143.3199999999997</v>
      </c>
      <c r="O121">
        <f t="shared" si="15"/>
        <v>109.34009014206029</v>
      </c>
      <c r="P121">
        <f t="shared" si="16"/>
        <v>-28.460090142060295</v>
      </c>
      <c r="Q121">
        <f t="shared" si="17"/>
        <v>809.97673089419754</v>
      </c>
      <c r="R121">
        <f t="shared" si="18"/>
        <v>0.10274400773306966</v>
      </c>
      <c r="S121">
        <f t="shared" si="19"/>
        <v>10.274400773306965</v>
      </c>
    </row>
    <row r="122" spans="1:19" x14ac:dyDescent="0.3">
      <c r="A122" s="10" t="s">
        <v>183</v>
      </c>
      <c r="B122">
        <v>309.60000000000002</v>
      </c>
      <c r="G122" s="7" t="s">
        <v>31</v>
      </c>
      <c r="H122">
        <v>49.312500000000007</v>
      </c>
      <c r="J122" t="str">
        <f t="shared" si="23"/>
        <v>2009-Dec</v>
      </c>
      <c r="K122">
        <v>85.847499999999997</v>
      </c>
      <c r="L122">
        <v>-25.5</v>
      </c>
      <c r="M122">
        <f t="shared" si="13"/>
        <v>650.25</v>
      </c>
      <c r="N122">
        <f t="shared" si="14"/>
        <v>-2189.1112499999999</v>
      </c>
      <c r="O122">
        <f t="shared" si="15"/>
        <v>110.05247138161927</v>
      </c>
      <c r="P122">
        <f t="shared" si="16"/>
        <v>-24.204971381619274</v>
      </c>
      <c r="Q122">
        <f t="shared" si="17"/>
        <v>585.880639585008</v>
      </c>
      <c r="R122">
        <f t="shared" si="18"/>
        <v>8.7382568164690519E-2</v>
      </c>
      <c r="S122">
        <f t="shared" si="19"/>
        <v>8.7382568164690522</v>
      </c>
    </row>
    <row r="123" spans="1:19" x14ac:dyDescent="0.3">
      <c r="A123" s="10" t="s">
        <v>184</v>
      </c>
      <c r="B123">
        <v>309.43</v>
      </c>
      <c r="G123" s="7" t="s">
        <v>19</v>
      </c>
      <c r="H123">
        <v>40.335000000000001</v>
      </c>
      <c r="J123" t="str">
        <f>_xlfn.CONCAT($G$133,"-",G134)</f>
        <v>2010-Jan</v>
      </c>
      <c r="K123">
        <v>82.438000000000002</v>
      </c>
      <c r="L123">
        <v>-24.5</v>
      </c>
      <c r="M123">
        <f t="shared" si="13"/>
        <v>600.25</v>
      </c>
      <c r="N123">
        <f t="shared" si="14"/>
        <v>-2019.731</v>
      </c>
      <c r="O123">
        <f t="shared" si="15"/>
        <v>110.76485262117824</v>
      </c>
      <c r="P123">
        <f t="shared" si="16"/>
        <v>-28.326852621178233</v>
      </c>
      <c r="Q123">
        <f t="shared" si="17"/>
        <v>802.41057942195209</v>
      </c>
      <c r="R123">
        <f t="shared" si="18"/>
        <v>0.102263005852629</v>
      </c>
      <c r="S123">
        <f t="shared" si="19"/>
        <v>10.2263005852629</v>
      </c>
    </row>
    <row r="124" spans="1:19" x14ac:dyDescent="0.3">
      <c r="A124" s="10" t="s">
        <v>185</v>
      </c>
      <c r="B124">
        <v>314.69</v>
      </c>
      <c r="G124" s="7" t="s">
        <v>20</v>
      </c>
      <c r="H124">
        <v>52.562500000000007</v>
      </c>
      <c r="J124" t="str">
        <f t="shared" ref="J124:J134" si="24">_xlfn.CONCAT($G$133,"-",G135)</f>
        <v>2010-Feb</v>
      </c>
      <c r="K124">
        <v>80.44</v>
      </c>
      <c r="L124">
        <v>-23.5</v>
      </c>
      <c r="M124">
        <f t="shared" si="13"/>
        <v>552.25</v>
      </c>
      <c r="N124">
        <f t="shared" si="14"/>
        <v>-1890.34</v>
      </c>
      <c r="O124">
        <f t="shared" si="15"/>
        <v>111.4772338607372</v>
      </c>
      <c r="P124">
        <f t="shared" si="16"/>
        <v>-31.037233860737203</v>
      </c>
      <c r="Q124">
        <f t="shared" si="17"/>
        <v>963.30988572609203</v>
      </c>
      <c r="R124">
        <f t="shared" si="18"/>
        <v>0.11204777567053142</v>
      </c>
      <c r="S124">
        <f t="shared" si="19"/>
        <v>11.204777567053142</v>
      </c>
    </row>
    <row r="125" spans="1:19" x14ac:dyDescent="0.3">
      <c r="A125" s="10" t="s">
        <v>186</v>
      </c>
      <c r="B125">
        <v>290.31</v>
      </c>
      <c r="G125" s="7" t="s">
        <v>21</v>
      </c>
      <c r="H125">
        <v>55.287999999999997</v>
      </c>
      <c r="J125" t="str">
        <f t="shared" si="24"/>
        <v>2010-Mar</v>
      </c>
      <c r="K125">
        <v>88.882499999999993</v>
      </c>
      <c r="L125">
        <v>-22.5</v>
      </c>
      <c r="M125">
        <f t="shared" si="13"/>
        <v>506.25</v>
      </c>
      <c r="N125">
        <f t="shared" si="14"/>
        <v>-1999.8562499999998</v>
      </c>
      <c r="O125">
        <f t="shared" si="15"/>
        <v>112.18961510029618</v>
      </c>
      <c r="P125">
        <f t="shared" si="16"/>
        <v>-23.307115100296187</v>
      </c>
      <c r="Q125">
        <f t="shared" si="17"/>
        <v>543.22161429845448</v>
      </c>
      <c r="R125">
        <f t="shared" si="18"/>
        <v>8.4141209748361687E-2</v>
      </c>
      <c r="S125">
        <f t="shared" si="19"/>
        <v>8.4141209748361678</v>
      </c>
    </row>
    <row r="126" spans="1:19" x14ac:dyDescent="0.3">
      <c r="A126" s="10" t="s">
        <v>187</v>
      </c>
      <c r="B126">
        <v>277.74</v>
      </c>
      <c r="G126" s="7" t="s">
        <v>22</v>
      </c>
      <c r="H126">
        <v>54.59</v>
      </c>
      <c r="J126" t="str">
        <f t="shared" si="24"/>
        <v>2010-Apr</v>
      </c>
      <c r="K126">
        <v>92.024000000000001</v>
      </c>
      <c r="L126">
        <v>-21.5</v>
      </c>
      <c r="M126">
        <f t="shared" si="13"/>
        <v>462.25</v>
      </c>
      <c r="N126">
        <f t="shared" si="14"/>
        <v>-1978.5160000000001</v>
      </c>
      <c r="O126">
        <f t="shared" si="15"/>
        <v>112.90199633985515</v>
      </c>
      <c r="P126">
        <f t="shared" si="16"/>
        <v>-20.877996339855144</v>
      </c>
      <c r="Q126">
        <f t="shared" si="17"/>
        <v>435.89073116700479</v>
      </c>
      <c r="R126">
        <f t="shared" si="18"/>
        <v>7.5371827941715319E-2</v>
      </c>
      <c r="S126">
        <f t="shared" si="19"/>
        <v>7.5371827941715317</v>
      </c>
    </row>
    <row r="127" spans="1:19" x14ac:dyDescent="0.3">
      <c r="A127" s="10" t="s">
        <v>188</v>
      </c>
      <c r="B127">
        <v>287.58999999999997</v>
      </c>
      <c r="G127" s="7" t="s">
        <v>23</v>
      </c>
      <c r="H127">
        <v>60.498000000000005</v>
      </c>
      <c r="J127" t="str">
        <f t="shared" si="24"/>
        <v>2010-May</v>
      </c>
      <c r="K127">
        <v>83.9</v>
      </c>
      <c r="L127">
        <v>-20.5</v>
      </c>
      <c r="M127">
        <f t="shared" si="13"/>
        <v>420.25</v>
      </c>
      <c r="N127">
        <f t="shared" si="14"/>
        <v>-1719.95</v>
      </c>
      <c r="O127">
        <f t="shared" si="15"/>
        <v>113.61437757941411</v>
      </c>
      <c r="P127">
        <f t="shared" si="16"/>
        <v>-29.714377579414105</v>
      </c>
      <c r="Q127">
        <f t="shared" si="17"/>
        <v>882.94423493198769</v>
      </c>
      <c r="R127">
        <f t="shared" si="18"/>
        <v>0.10727212122532168</v>
      </c>
      <c r="S127">
        <f t="shared" si="19"/>
        <v>10.727212122532167</v>
      </c>
    </row>
    <row r="128" spans="1:19" x14ac:dyDescent="0.3">
      <c r="A128" s="10" t="s">
        <v>189</v>
      </c>
      <c r="B128">
        <v>286.58</v>
      </c>
      <c r="G128" s="7" t="s">
        <v>24</v>
      </c>
      <c r="H128">
        <v>67.900000000000006</v>
      </c>
      <c r="J128" t="str">
        <f t="shared" si="24"/>
        <v>2010-Jun</v>
      </c>
      <c r="K128">
        <v>78.664999999999992</v>
      </c>
      <c r="L128">
        <v>-19.5</v>
      </c>
      <c r="M128">
        <f t="shared" si="13"/>
        <v>380.25</v>
      </c>
      <c r="N128">
        <f t="shared" si="14"/>
        <v>-1533.9674999999997</v>
      </c>
      <c r="O128">
        <f t="shared" si="15"/>
        <v>114.32675881897308</v>
      </c>
      <c r="P128">
        <f t="shared" si="16"/>
        <v>-35.661758818973084</v>
      </c>
      <c r="Q128">
        <f t="shared" si="17"/>
        <v>1271.7610420626045</v>
      </c>
      <c r="R128">
        <f t="shared" si="18"/>
        <v>0.12874281162084145</v>
      </c>
      <c r="S128">
        <f t="shared" si="19"/>
        <v>12.874281162084145</v>
      </c>
    </row>
    <row r="129" spans="1:19" x14ac:dyDescent="0.3">
      <c r="A129" s="10" t="s">
        <v>190</v>
      </c>
      <c r="B129">
        <v>283.54000000000002</v>
      </c>
      <c r="G129" s="7" t="s">
        <v>25</v>
      </c>
      <c r="H129">
        <v>74.432500000000005</v>
      </c>
      <c r="J129" t="str">
        <f t="shared" si="24"/>
        <v>2010-Jul</v>
      </c>
      <c r="K129">
        <v>76.349999999999994</v>
      </c>
      <c r="L129">
        <v>-18.5</v>
      </c>
      <c r="M129">
        <f t="shared" si="13"/>
        <v>342.25</v>
      </c>
      <c r="N129">
        <f t="shared" si="14"/>
        <v>-1412.4749999999999</v>
      </c>
      <c r="O129">
        <f t="shared" si="15"/>
        <v>115.03914005853206</v>
      </c>
      <c r="P129">
        <f t="shared" si="16"/>
        <v>-38.689140058532061</v>
      </c>
      <c r="Q129">
        <f t="shared" si="17"/>
        <v>1496.8495584687103</v>
      </c>
      <c r="R129">
        <f t="shared" si="18"/>
        <v>0.13967198577087386</v>
      </c>
      <c r="S129">
        <f t="shared" si="19"/>
        <v>13.967198577087386</v>
      </c>
    </row>
    <row r="130" spans="1:19" x14ac:dyDescent="0.3">
      <c r="A130" s="10" t="s">
        <v>191</v>
      </c>
      <c r="B130">
        <v>281.33999999999997</v>
      </c>
      <c r="G130" s="7" t="s">
        <v>26</v>
      </c>
      <c r="H130">
        <v>76.179999999999993</v>
      </c>
      <c r="J130" t="str">
        <f t="shared" si="24"/>
        <v>2010-Aug</v>
      </c>
      <c r="K130">
        <v>81.952500000000001</v>
      </c>
      <c r="L130">
        <v>-17.5</v>
      </c>
      <c r="M130">
        <f t="shared" si="13"/>
        <v>306.25</v>
      </c>
      <c r="N130">
        <f t="shared" si="14"/>
        <v>-1434.16875</v>
      </c>
      <c r="O130">
        <f t="shared" si="15"/>
        <v>115.75152129809102</v>
      </c>
      <c r="P130">
        <f t="shared" si="16"/>
        <v>-33.79902129809102</v>
      </c>
      <c r="Q130">
        <f t="shared" si="17"/>
        <v>1142.3738407088103</v>
      </c>
      <c r="R130">
        <f t="shared" si="18"/>
        <v>0.12201812742993148</v>
      </c>
      <c r="S130">
        <f t="shared" si="19"/>
        <v>12.201812742993148</v>
      </c>
    </row>
    <row r="131" spans="1:19" x14ac:dyDescent="0.3">
      <c r="A131" s="10" t="s">
        <v>192</v>
      </c>
      <c r="B131">
        <v>279.58</v>
      </c>
      <c r="G131" s="7" t="s">
        <v>27</v>
      </c>
      <c r="H131">
        <v>80.88</v>
      </c>
      <c r="J131" t="str">
        <f t="shared" si="24"/>
        <v>2010-Sep</v>
      </c>
      <c r="K131">
        <v>83.35499999999999</v>
      </c>
      <c r="L131">
        <v>-16.5</v>
      </c>
      <c r="M131">
        <f t="shared" si="13"/>
        <v>272.25</v>
      </c>
      <c r="N131">
        <f t="shared" si="14"/>
        <v>-1375.3574999999998</v>
      </c>
      <c r="O131">
        <f t="shared" si="15"/>
        <v>116.46390253764999</v>
      </c>
      <c r="P131">
        <f t="shared" si="16"/>
        <v>-33.108902537649996</v>
      </c>
      <c r="Q131">
        <f t="shared" si="17"/>
        <v>1096.1994272476063</v>
      </c>
      <c r="R131">
        <f t="shared" si="18"/>
        <v>0.11952672396263536</v>
      </c>
      <c r="S131">
        <f t="shared" si="19"/>
        <v>11.952672396263536</v>
      </c>
    </row>
    <row r="132" spans="1:19" x14ac:dyDescent="0.3">
      <c r="A132" s="10" t="s">
        <v>193</v>
      </c>
      <c r="B132">
        <v>270.2</v>
      </c>
      <c r="G132" s="7" t="s">
        <v>28</v>
      </c>
      <c r="H132">
        <v>85.847499999999997</v>
      </c>
      <c r="J132" t="str">
        <f t="shared" si="24"/>
        <v>2010-Oct</v>
      </c>
      <c r="K132">
        <v>88.105999999999995</v>
      </c>
      <c r="L132">
        <v>-15.5</v>
      </c>
      <c r="M132">
        <f t="shared" si="13"/>
        <v>240.25</v>
      </c>
      <c r="N132">
        <f t="shared" si="14"/>
        <v>-1365.643</v>
      </c>
      <c r="O132">
        <f t="shared" si="15"/>
        <v>117.17628377720897</v>
      </c>
      <c r="P132">
        <f t="shared" si="16"/>
        <v>-29.070283777208971</v>
      </c>
      <c r="Q132">
        <f t="shared" si="17"/>
        <v>845.08139888745904</v>
      </c>
      <c r="R132">
        <f t="shared" si="18"/>
        <v>0.10494687284190964</v>
      </c>
      <c r="S132">
        <f t="shared" si="19"/>
        <v>10.494687284190963</v>
      </c>
    </row>
    <row r="133" spans="1:19" x14ac:dyDescent="0.3">
      <c r="A133" s="10" t="s">
        <v>194</v>
      </c>
      <c r="B133">
        <v>257.29000000000002</v>
      </c>
      <c r="G133" s="4" t="s">
        <v>48</v>
      </c>
      <c r="H133">
        <v>84.963207547169816</v>
      </c>
      <c r="J133" t="str">
        <f t="shared" si="24"/>
        <v>2010-Nov</v>
      </c>
      <c r="K133">
        <v>87.902500000000003</v>
      </c>
      <c r="L133">
        <v>-14.5</v>
      </c>
      <c r="M133">
        <f t="shared" si="13"/>
        <v>210.25</v>
      </c>
      <c r="N133">
        <f t="shared" si="14"/>
        <v>-1274.5862500000001</v>
      </c>
      <c r="O133">
        <f t="shared" si="15"/>
        <v>117.88866501676793</v>
      </c>
      <c r="P133">
        <f t="shared" si="16"/>
        <v>-29.986165016767927</v>
      </c>
      <c r="Q133">
        <f t="shared" si="17"/>
        <v>899.17009241283665</v>
      </c>
      <c r="R133">
        <f t="shared" si="18"/>
        <v>0.10825330330963151</v>
      </c>
      <c r="S133">
        <f t="shared" si="19"/>
        <v>10.825330330963151</v>
      </c>
    </row>
    <row r="134" spans="1:19" x14ac:dyDescent="0.3">
      <c r="A134" s="10" t="s">
        <v>195</v>
      </c>
      <c r="B134">
        <v>254.5</v>
      </c>
      <c r="G134" s="7" t="s">
        <v>30</v>
      </c>
      <c r="H134">
        <v>82.438000000000002</v>
      </c>
      <c r="J134" t="str">
        <f t="shared" si="24"/>
        <v>2010-Dec</v>
      </c>
      <c r="K134">
        <v>93.614000000000004</v>
      </c>
      <c r="L134">
        <v>-13.5</v>
      </c>
      <c r="M134">
        <f t="shared" si="13"/>
        <v>182.25</v>
      </c>
      <c r="N134">
        <f t="shared" si="14"/>
        <v>-1263.789</v>
      </c>
      <c r="O134">
        <f t="shared" si="15"/>
        <v>118.6010462563269</v>
      </c>
      <c r="P134">
        <f t="shared" si="16"/>
        <v>-24.987046256326892</v>
      </c>
      <c r="Q134">
        <f t="shared" si="17"/>
        <v>624.35248061581967</v>
      </c>
      <c r="R134">
        <f t="shared" si="18"/>
        <v>9.0205943163634991E-2</v>
      </c>
      <c r="S134">
        <f t="shared" si="19"/>
        <v>9.0205943163634998</v>
      </c>
    </row>
    <row r="135" spans="1:19" x14ac:dyDescent="0.3">
      <c r="A135" s="10" t="s">
        <v>196</v>
      </c>
      <c r="B135">
        <v>254.64</v>
      </c>
      <c r="G135" s="7" t="s">
        <v>31</v>
      </c>
      <c r="H135">
        <v>80.44</v>
      </c>
      <c r="J135" t="str">
        <f>_xlfn.CONCAT($G$146,"-",G147)</f>
        <v>2011-Jan</v>
      </c>
      <c r="K135">
        <v>93.199999999999989</v>
      </c>
      <c r="L135">
        <v>-12.5</v>
      </c>
      <c r="M135">
        <f t="shared" si="13"/>
        <v>156.25</v>
      </c>
      <c r="N135">
        <f t="shared" si="14"/>
        <v>-1164.9999999999998</v>
      </c>
      <c r="O135">
        <f t="shared" si="15"/>
        <v>119.31342749588586</v>
      </c>
      <c r="P135">
        <f t="shared" si="16"/>
        <v>-26.113427495885873</v>
      </c>
      <c r="Q135">
        <f t="shared" si="17"/>
        <v>681.91109558288827</v>
      </c>
      <c r="R135">
        <f t="shared" si="18"/>
        <v>9.427230142919088E-2</v>
      </c>
      <c r="S135">
        <f t="shared" si="19"/>
        <v>9.4272301429190879</v>
      </c>
    </row>
    <row r="136" spans="1:19" x14ac:dyDescent="0.3">
      <c r="A136" s="10" t="s">
        <v>197</v>
      </c>
      <c r="B136">
        <v>263</v>
      </c>
      <c r="G136" s="7" t="s">
        <v>19</v>
      </c>
      <c r="H136">
        <v>88.882499999999993</v>
      </c>
      <c r="J136" t="str">
        <f t="shared" ref="J136:J146" si="25">_xlfn.CONCAT($G$146,"-",G148)</f>
        <v>2011-Feb</v>
      </c>
      <c r="K136">
        <v>93.84</v>
      </c>
      <c r="L136">
        <v>-11.5</v>
      </c>
      <c r="M136">
        <f t="shared" si="13"/>
        <v>132.25</v>
      </c>
      <c r="N136">
        <f t="shared" si="14"/>
        <v>-1079.1600000000001</v>
      </c>
      <c r="O136">
        <f t="shared" si="15"/>
        <v>120.02580873544484</v>
      </c>
      <c r="P136">
        <f t="shared" si="16"/>
        <v>-26.185808735444837</v>
      </c>
      <c r="Q136">
        <f t="shared" si="17"/>
        <v>685.69657912929915</v>
      </c>
      <c r="R136">
        <f t="shared" si="18"/>
        <v>9.4533605543122151E-2</v>
      </c>
      <c r="S136">
        <f t="shared" si="19"/>
        <v>9.4533605543122157</v>
      </c>
    </row>
    <row r="137" spans="1:19" x14ac:dyDescent="0.3">
      <c r="A137" s="10" t="s">
        <v>198</v>
      </c>
      <c r="B137">
        <v>255.01</v>
      </c>
      <c r="G137" s="7" t="s">
        <v>20</v>
      </c>
      <c r="H137">
        <v>92.024000000000001</v>
      </c>
      <c r="J137" t="str">
        <f t="shared" si="25"/>
        <v>2011-Mar</v>
      </c>
      <c r="K137">
        <v>89.74</v>
      </c>
      <c r="L137">
        <v>-10.5</v>
      </c>
      <c r="M137">
        <f t="shared" si="13"/>
        <v>110.25</v>
      </c>
      <c r="N137">
        <f t="shared" si="14"/>
        <v>-942.27</v>
      </c>
      <c r="O137">
        <f t="shared" si="15"/>
        <v>120.73818997500381</v>
      </c>
      <c r="P137">
        <f t="shared" si="16"/>
        <v>-30.998189975003811</v>
      </c>
      <c r="Q137">
        <f t="shared" si="17"/>
        <v>960.88778172642674</v>
      </c>
      <c r="R137">
        <f t="shared" si="18"/>
        <v>0.11190682301445419</v>
      </c>
      <c r="S137">
        <f t="shared" si="19"/>
        <v>11.190682301445419</v>
      </c>
    </row>
    <row r="138" spans="1:19" x14ac:dyDescent="0.3">
      <c r="A138" s="10" t="s">
        <v>199</v>
      </c>
      <c r="B138">
        <v>235.34</v>
      </c>
      <c r="G138" s="7" t="s">
        <v>21</v>
      </c>
      <c r="H138">
        <v>83.9</v>
      </c>
      <c r="J138" t="str">
        <f t="shared" si="25"/>
        <v>2011-Apr</v>
      </c>
      <c r="K138">
        <v>93.67</v>
      </c>
      <c r="L138">
        <v>-9.5</v>
      </c>
      <c r="M138">
        <f t="shared" ref="M138:M201" si="26">L138*L138</f>
        <v>90.25</v>
      </c>
      <c r="N138">
        <f t="shared" ref="N138:N201" si="27">L138*K138</f>
        <v>-889.86500000000001</v>
      </c>
      <c r="O138">
        <f t="shared" ref="O138:O201" si="28">$I$2+$I$3*L138</f>
        <v>121.45057121456277</v>
      </c>
      <c r="P138">
        <f t="shared" ref="P138:P201" si="29">K138-O138</f>
        <v>-27.780571214562769</v>
      </c>
      <c r="Q138">
        <f t="shared" ref="Q138:Q201" si="30">P138*P138</f>
        <v>771.7601370073935</v>
      </c>
      <c r="R138">
        <f t="shared" ref="R138:R201" si="31">ABS(P138)/$J$1</f>
        <v>0.10029087081069592</v>
      </c>
      <c r="S138">
        <f t="shared" ref="S138:S201" si="32">R138*100</f>
        <v>10.029087081069592</v>
      </c>
    </row>
    <row r="139" spans="1:19" x14ac:dyDescent="0.3">
      <c r="A139" s="10" t="s">
        <v>200</v>
      </c>
      <c r="B139">
        <v>254.08</v>
      </c>
      <c r="G139" s="7" t="s">
        <v>22</v>
      </c>
      <c r="H139">
        <v>78.664999999999992</v>
      </c>
      <c r="J139" t="str">
        <f t="shared" si="25"/>
        <v>2011-May</v>
      </c>
      <c r="K139">
        <v>93.737500000000011</v>
      </c>
      <c r="L139">
        <v>-8.5</v>
      </c>
      <c r="M139">
        <f t="shared" si="26"/>
        <v>72.25</v>
      </c>
      <c r="N139">
        <f t="shared" si="27"/>
        <v>-796.76875000000007</v>
      </c>
      <c r="O139">
        <f t="shared" si="28"/>
        <v>122.16295245412175</v>
      </c>
      <c r="P139">
        <f t="shared" si="29"/>
        <v>-28.425452454121739</v>
      </c>
      <c r="Q139">
        <f t="shared" si="30"/>
        <v>808.00634722153563</v>
      </c>
      <c r="R139">
        <f t="shared" si="31"/>
        <v>0.10261896192823733</v>
      </c>
      <c r="S139">
        <f t="shared" si="32"/>
        <v>10.261896192823732</v>
      </c>
    </row>
    <row r="140" spans="1:19" x14ac:dyDescent="0.3">
      <c r="A140" s="10" t="s">
        <v>201</v>
      </c>
      <c r="B140">
        <v>252.56</v>
      </c>
      <c r="G140" s="7" t="s">
        <v>23</v>
      </c>
      <c r="H140">
        <v>76.349999999999994</v>
      </c>
      <c r="J140" t="str">
        <f t="shared" si="25"/>
        <v>2011-Jun</v>
      </c>
      <c r="K140">
        <v>88.597499999999997</v>
      </c>
      <c r="L140">
        <v>-7.5</v>
      </c>
      <c r="M140">
        <f t="shared" si="26"/>
        <v>56.25</v>
      </c>
      <c r="N140">
        <f t="shared" si="27"/>
        <v>-664.48124999999993</v>
      </c>
      <c r="O140">
        <f t="shared" si="28"/>
        <v>122.87533369368072</v>
      </c>
      <c r="P140">
        <f t="shared" si="29"/>
        <v>-34.277833693680719</v>
      </c>
      <c r="Q140">
        <f t="shared" si="30"/>
        <v>1174.9698827316331</v>
      </c>
      <c r="R140">
        <f t="shared" si="31"/>
        <v>0.12374669203494844</v>
      </c>
      <c r="S140">
        <f t="shared" si="32"/>
        <v>12.374669203494843</v>
      </c>
    </row>
    <row r="141" spans="1:19" x14ac:dyDescent="0.3">
      <c r="A141" s="10" t="s">
        <v>202</v>
      </c>
      <c r="B141">
        <v>244.96</v>
      </c>
      <c r="G141" s="7" t="s">
        <v>24</v>
      </c>
      <c r="H141">
        <v>81.952500000000001</v>
      </c>
      <c r="J141" t="str">
        <f t="shared" si="25"/>
        <v>2011-Jul</v>
      </c>
      <c r="K141">
        <v>93.19</v>
      </c>
      <c r="L141">
        <v>-6.5</v>
      </c>
      <c r="M141">
        <f t="shared" si="26"/>
        <v>42.25</v>
      </c>
      <c r="N141">
        <f t="shared" si="27"/>
        <v>-605.73500000000001</v>
      </c>
      <c r="O141">
        <f t="shared" si="28"/>
        <v>123.58771493323968</v>
      </c>
      <c r="P141">
        <f t="shared" si="29"/>
        <v>-30.397714933239683</v>
      </c>
      <c r="Q141">
        <f t="shared" si="30"/>
        <v>924.02107316250283</v>
      </c>
      <c r="R141">
        <f t="shared" si="31"/>
        <v>0.10973904308028766</v>
      </c>
      <c r="S141">
        <f t="shared" si="32"/>
        <v>10.973904308028766</v>
      </c>
    </row>
    <row r="142" spans="1:19" x14ac:dyDescent="0.3">
      <c r="A142" s="10" t="s">
        <v>203</v>
      </c>
      <c r="B142">
        <v>259.62</v>
      </c>
      <c r="G142" s="7" t="s">
        <v>25</v>
      </c>
      <c r="H142">
        <v>83.35499999999999</v>
      </c>
      <c r="J142" t="str">
        <f t="shared" si="25"/>
        <v>2011-Aug</v>
      </c>
      <c r="K142">
        <v>77.930000000000007</v>
      </c>
      <c r="L142">
        <v>-5.5</v>
      </c>
      <c r="M142">
        <f t="shared" si="26"/>
        <v>30.25</v>
      </c>
      <c r="N142">
        <f t="shared" si="27"/>
        <v>-428.61500000000001</v>
      </c>
      <c r="O142">
        <f t="shared" si="28"/>
        <v>124.30009617279865</v>
      </c>
      <c r="P142">
        <f t="shared" si="29"/>
        <v>-46.37009617279864</v>
      </c>
      <c r="Q142">
        <f t="shared" si="30"/>
        <v>2150.1858190745952</v>
      </c>
      <c r="R142">
        <f t="shared" si="31"/>
        <v>0.16740106921587958</v>
      </c>
      <c r="S142">
        <f t="shared" si="32"/>
        <v>16.740106921587959</v>
      </c>
    </row>
    <row r="143" spans="1:19" x14ac:dyDescent="0.3">
      <c r="A143" s="10" t="s">
        <v>204</v>
      </c>
      <c r="B143">
        <v>268.82</v>
      </c>
      <c r="G143" s="7" t="s">
        <v>26</v>
      </c>
      <c r="H143">
        <v>88.105999999999995</v>
      </c>
      <c r="J143" t="str">
        <f t="shared" si="25"/>
        <v>2011-Sep</v>
      </c>
      <c r="K143">
        <v>71.936000000000007</v>
      </c>
      <c r="L143">
        <v>-4.5</v>
      </c>
      <c r="M143">
        <f t="shared" si="26"/>
        <v>20.25</v>
      </c>
      <c r="N143">
        <f t="shared" si="27"/>
        <v>-323.71200000000005</v>
      </c>
      <c r="O143">
        <f t="shared" si="28"/>
        <v>125.01247741235763</v>
      </c>
      <c r="P143">
        <f t="shared" si="29"/>
        <v>-53.076477412357619</v>
      </c>
      <c r="Q143">
        <f t="shared" si="30"/>
        <v>2817.1124545045086</v>
      </c>
      <c r="R143">
        <f t="shared" si="31"/>
        <v>0.19161183181356542</v>
      </c>
      <c r="S143">
        <f t="shared" si="32"/>
        <v>19.161183181356542</v>
      </c>
    </row>
    <row r="144" spans="1:19" x14ac:dyDescent="0.3">
      <c r="A144" s="10" t="s">
        <v>205</v>
      </c>
      <c r="B144">
        <v>275.57</v>
      </c>
      <c r="G144" s="7" t="s">
        <v>27</v>
      </c>
      <c r="H144">
        <v>87.902500000000003</v>
      </c>
      <c r="J144" t="str">
        <f t="shared" si="25"/>
        <v>2011-Oct</v>
      </c>
      <c r="K144">
        <v>77.597499999999997</v>
      </c>
      <c r="L144">
        <v>-3.5</v>
      </c>
      <c r="M144">
        <f t="shared" si="26"/>
        <v>12.25</v>
      </c>
      <c r="N144">
        <f t="shared" si="27"/>
        <v>-271.59125</v>
      </c>
      <c r="O144">
        <f t="shared" si="28"/>
        <v>125.72485865191659</v>
      </c>
      <c r="P144">
        <f t="shared" si="29"/>
        <v>-48.127358651916595</v>
      </c>
      <c r="Q144">
        <f t="shared" si="30"/>
        <v>2316.2426508102112</v>
      </c>
      <c r="R144">
        <f t="shared" si="31"/>
        <v>0.1737449770827314</v>
      </c>
      <c r="S144">
        <f t="shared" si="32"/>
        <v>17.37449770827314</v>
      </c>
    </row>
    <row r="145" spans="1:19" x14ac:dyDescent="0.3">
      <c r="A145" s="10" t="s">
        <v>206</v>
      </c>
      <c r="B145">
        <v>289.47000000000003</v>
      </c>
      <c r="G145" s="7" t="s">
        <v>28</v>
      </c>
      <c r="H145">
        <v>93.614000000000004</v>
      </c>
      <c r="J145" t="str">
        <f t="shared" si="25"/>
        <v>2011-Nov</v>
      </c>
      <c r="K145">
        <v>80.385000000000005</v>
      </c>
      <c r="L145">
        <v>-2.5</v>
      </c>
      <c r="M145">
        <f t="shared" si="26"/>
        <v>6.25</v>
      </c>
      <c r="N145">
        <f t="shared" si="27"/>
        <v>-200.96250000000001</v>
      </c>
      <c r="O145">
        <f t="shared" si="28"/>
        <v>126.43723989147556</v>
      </c>
      <c r="P145">
        <f t="shared" si="29"/>
        <v>-46.052239891475551</v>
      </c>
      <c r="Q145">
        <f t="shared" si="30"/>
        <v>2120.808799022012</v>
      </c>
      <c r="R145">
        <f t="shared" si="31"/>
        <v>0.16625357361543519</v>
      </c>
      <c r="S145">
        <f t="shared" si="32"/>
        <v>16.625357361543518</v>
      </c>
    </row>
    <row r="146" spans="1:19" x14ac:dyDescent="0.3">
      <c r="A146" s="10" t="s">
        <v>207</v>
      </c>
      <c r="B146">
        <v>294.88</v>
      </c>
      <c r="G146" s="4" t="s">
        <v>49</v>
      </c>
      <c r="H146">
        <v>86.399807692307689</v>
      </c>
      <c r="J146" t="str">
        <f t="shared" si="25"/>
        <v>2011-Dec</v>
      </c>
      <c r="K146">
        <v>83.74</v>
      </c>
      <c r="L146">
        <v>-1.5</v>
      </c>
      <c r="M146">
        <f t="shared" si="26"/>
        <v>2.25</v>
      </c>
      <c r="N146">
        <f t="shared" si="27"/>
        <v>-125.60999999999999</v>
      </c>
      <c r="O146">
        <f t="shared" si="28"/>
        <v>127.14962113103454</v>
      </c>
      <c r="P146">
        <f t="shared" si="29"/>
        <v>-43.409621131034541</v>
      </c>
      <c r="Q146">
        <f t="shared" si="30"/>
        <v>1884.3952067399605</v>
      </c>
      <c r="R146">
        <f t="shared" si="31"/>
        <v>0.15671343368604526</v>
      </c>
      <c r="S146">
        <f t="shared" si="32"/>
        <v>15.671343368604527</v>
      </c>
    </row>
    <row r="147" spans="1:19" x14ac:dyDescent="0.3">
      <c r="A147" s="10" t="s">
        <v>208</v>
      </c>
      <c r="B147">
        <v>287.41000000000003</v>
      </c>
      <c r="G147" s="7" t="s">
        <v>30</v>
      </c>
      <c r="H147">
        <v>93.199999999999989</v>
      </c>
      <c r="J147" t="str">
        <f>_xlfn.CONCAT($G$159,"-",G160)</f>
        <v>2012-Jan</v>
      </c>
      <c r="K147">
        <v>90.094999999999999</v>
      </c>
      <c r="L147">
        <v>-0.5</v>
      </c>
      <c r="M147">
        <f t="shared" si="26"/>
        <v>0.25</v>
      </c>
      <c r="N147">
        <f t="shared" si="27"/>
        <v>-45.047499999999999</v>
      </c>
      <c r="O147">
        <f t="shared" si="28"/>
        <v>127.8620023705935</v>
      </c>
      <c r="P147">
        <f t="shared" si="29"/>
        <v>-37.767002370593502</v>
      </c>
      <c r="Q147">
        <f t="shared" si="30"/>
        <v>1426.3464680604152</v>
      </c>
      <c r="R147">
        <f t="shared" si="31"/>
        <v>0.13634296884690794</v>
      </c>
      <c r="S147">
        <f t="shared" si="32"/>
        <v>13.634296884690794</v>
      </c>
    </row>
    <row r="148" spans="1:19" x14ac:dyDescent="0.3">
      <c r="A148" s="10" t="s">
        <v>209</v>
      </c>
      <c r="B148">
        <v>276.69</v>
      </c>
      <c r="G148" s="7" t="s">
        <v>31</v>
      </c>
      <c r="H148">
        <v>93.84</v>
      </c>
      <c r="J148" t="str">
        <f t="shared" ref="J148:J158" si="33">_xlfn.CONCAT($G$159,"-",G161)</f>
        <v>2012-Feb</v>
      </c>
      <c r="K148">
        <v>93.26</v>
      </c>
      <c r="L148">
        <v>0.5</v>
      </c>
      <c r="M148">
        <f t="shared" si="26"/>
        <v>0.25</v>
      </c>
      <c r="N148">
        <f t="shared" si="27"/>
        <v>46.63</v>
      </c>
      <c r="O148">
        <f t="shared" si="28"/>
        <v>128.57438361015247</v>
      </c>
      <c r="P148">
        <f t="shared" si="29"/>
        <v>-35.314383610152461</v>
      </c>
      <c r="Q148">
        <f t="shared" si="30"/>
        <v>1247.1056897650049</v>
      </c>
      <c r="R148">
        <f t="shared" si="31"/>
        <v>0.12748874949513525</v>
      </c>
      <c r="S148">
        <f t="shared" si="32"/>
        <v>12.748874949513525</v>
      </c>
    </row>
    <row r="149" spans="1:19" x14ac:dyDescent="0.3">
      <c r="A149" s="10" t="s">
        <v>210</v>
      </c>
      <c r="B149">
        <v>271.91000000000003</v>
      </c>
      <c r="G149" s="7" t="s">
        <v>19</v>
      </c>
      <c r="H149">
        <v>89.74</v>
      </c>
      <c r="J149" t="str">
        <f t="shared" si="33"/>
        <v>2012-Mar</v>
      </c>
      <c r="K149">
        <v>92.25</v>
      </c>
      <c r="L149">
        <v>1.5</v>
      </c>
      <c r="M149">
        <f t="shared" si="26"/>
        <v>2.25</v>
      </c>
      <c r="N149">
        <f t="shared" si="27"/>
        <v>138.375</v>
      </c>
      <c r="O149">
        <f t="shared" si="28"/>
        <v>129.28676484971143</v>
      </c>
      <c r="P149">
        <f t="shared" si="29"/>
        <v>-37.036764849711432</v>
      </c>
      <c r="Q149">
        <f t="shared" si="30"/>
        <v>1371.7219505328203</v>
      </c>
      <c r="R149">
        <f t="shared" si="31"/>
        <v>0.13370673230942756</v>
      </c>
      <c r="S149">
        <f t="shared" si="32"/>
        <v>13.370673230942757</v>
      </c>
    </row>
    <row r="150" spans="1:19" x14ac:dyDescent="0.3">
      <c r="A150" s="10" t="s">
        <v>211</v>
      </c>
      <c r="B150">
        <v>279.77</v>
      </c>
      <c r="G150" s="7" t="s">
        <v>20</v>
      </c>
      <c r="H150">
        <v>93.67</v>
      </c>
      <c r="J150" t="str">
        <f t="shared" si="33"/>
        <v>2012-Apr</v>
      </c>
      <c r="K150">
        <v>89.082499999999996</v>
      </c>
      <c r="L150">
        <v>2.5</v>
      </c>
      <c r="M150">
        <f t="shared" si="26"/>
        <v>6.25</v>
      </c>
      <c r="N150">
        <f t="shared" si="27"/>
        <v>222.70624999999998</v>
      </c>
      <c r="O150">
        <f t="shared" si="28"/>
        <v>129.9991460892704</v>
      </c>
      <c r="P150">
        <f t="shared" si="29"/>
        <v>-40.916646089270401</v>
      </c>
      <c r="Q150">
        <f t="shared" si="30"/>
        <v>1674.1719271946067</v>
      </c>
      <c r="R150">
        <f t="shared" si="31"/>
        <v>0.14771352378797978</v>
      </c>
      <c r="S150">
        <f t="shared" si="32"/>
        <v>14.771352378797978</v>
      </c>
    </row>
    <row r="151" spans="1:19" x14ac:dyDescent="0.3">
      <c r="A151" s="10" t="s">
        <v>212</v>
      </c>
      <c r="B151">
        <v>259.47000000000003</v>
      </c>
      <c r="G151" s="7" t="s">
        <v>21</v>
      </c>
      <c r="H151">
        <v>93.737500000000011</v>
      </c>
      <c r="J151" t="str">
        <f t="shared" si="33"/>
        <v>2012-May</v>
      </c>
      <c r="K151">
        <v>87.862499999999997</v>
      </c>
      <c r="L151">
        <v>3.5</v>
      </c>
      <c r="M151">
        <f t="shared" si="26"/>
        <v>12.25</v>
      </c>
      <c r="N151">
        <f t="shared" si="27"/>
        <v>307.51875000000001</v>
      </c>
      <c r="O151">
        <f t="shared" si="28"/>
        <v>130.71152732882939</v>
      </c>
      <c r="P151">
        <f t="shared" si="29"/>
        <v>-42.849027328829393</v>
      </c>
      <c r="Q151">
        <f t="shared" si="30"/>
        <v>1836.0391430267682</v>
      </c>
      <c r="R151">
        <f t="shared" si="31"/>
        <v>0.15468962934595448</v>
      </c>
      <c r="S151">
        <f t="shared" si="32"/>
        <v>15.468962934595448</v>
      </c>
    </row>
    <row r="152" spans="1:19" x14ac:dyDescent="0.3">
      <c r="A152" s="10" t="s">
        <v>213</v>
      </c>
      <c r="B152">
        <v>283.56</v>
      </c>
      <c r="G152" s="7" t="s">
        <v>22</v>
      </c>
      <c r="H152">
        <v>88.597499999999997</v>
      </c>
      <c r="J152" t="str">
        <f t="shared" si="33"/>
        <v>2012-Jun</v>
      </c>
      <c r="K152">
        <v>88.52</v>
      </c>
      <c r="L152">
        <v>4.5</v>
      </c>
      <c r="M152">
        <f t="shared" si="26"/>
        <v>20.25</v>
      </c>
      <c r="N152">
        <f t="shared" si="27"/>
        <v>398.34</v>
      </c>
      <c r="O152">
        <f t="shared" si="28"/>
        <v>131.42390856838836</v>
      </c>
      <c r="P152">
        <f t="shared" si="29"/>
        <v>-42.90390856838836</v>
      </c>
      <c r="Q152">
        <f t="shared" si="30"/>
        <v>1840.7453704446282</v>
      </c>
      <c r="R152">
        <f t="shared" si="31"/>
        <v>0.15488775656457893</v>
      </c>
      <c r="S152">
        <f t="shared" si="32"/>
        <v>15.488775656457893</v>
      </c>
    </row>
    <row r="153" spans="1:19" x14ac:dyDescent="0.3">
      <c r="A153" s="10" t="s">
        <v>214</v>
      </c>
      <c r="B153">
        <v>283.87</v>
      </c>
      <c r="G153" s="7" t="s">
        <v>23</v>
      </c>
      <c r="H153">
        <v>93.19</v>
      </c>
      <c r="J153" t="str">
        <f t="shared" si="33"/>
        <v>2012-Jul</v>
      </c>
      <c r="K153">
        <v>91.15</v>
      </c>
      <c r="L153">
        <v>5.5</v>
      </c>
      <c r="M153">
        <f t="shared" si="26"/>
        <v>30.25</v>
      </c>
      <c r="N153">
        <f t="shared" si="27"/>
        <v>501.32500000000005</v>
      </c>
      <c r="O153">
        <f t="shared" si="28"/>
        <v>132.13628980794732</v>
      </c>
      <c r="P153">
        <f t="shared" si="29"/>
        <v>-40.986289807947315</v>
      </c>
      <c r="Q153">
        <f t="shared" si="30"/>
        <v>1679.875952221046</v>
      </c>
      <c r="R153">
        <f t="shared" si="31"/>
        <v>0.14796494515504446</v>
      </c>
      <c r="S153">
        <f t="shared" si="32"/>
        <v>14.796494515504447</v>
      </c>
    </row>
    <row r="154" spans="1:19" x14ac:dyDescent="0.3">
      <c r="A154" s="10" t="s">
        <v>215</v>
      </c>
      <c r="B154">
        <v>271.55</v>
      </c>
      <c r="G154" s="7" t="s">
        <v>24</v>
      </c>
      <c r="H154">
        <v>77.930000000000007</v>
      </c>
      <c r="J154" t="str">
        <f t="shared" si="33"/>
        <v>2012-Aug</v>
      </c>
      <c r="K154">
        <v>88.864000000000004</v>
      </c>
      <c r="L154">
        <v>6.5</v>
      </c>
      <c r="M154">
        <f t="shared" si="26"/>
        <v>42.25</v>
      </c>
      <c r="N154">
        <f t="shared" si="27"/>
        <v>577.61599999999999</v>
      </c>
      <c r="O154">
        <f t="shared" si="28"/>
        <v>132.84867104750629</v>
      </c>
      <c r="P154">
        <f t="shared" si="29"/>
        <v>-43.984671047506282</v>
      </c>
      <c r="Q154">
        <f t="shared" si="30"/>
        <v>1934.6512871573375</v>
      </c>
      <c r="R154">
        <f t="shared" si="31"/>
        <v>0.1587894261642826</v>
      </c>
      <c r="S154">
        <f t="shared" si="32"/>
        <v>15.87894261642826</v>
      </c>
    </row>
    <row r="155" spans="1:19" x14ac:dyDescent="0.3">
      <c r="A155" s="10" t="s">
        <v>216</v>
      </c>
      <c r="B155">
        <v>255.2</v>
      </c>
      <c r="G155" s="7" t="s">
        <v>25</v>
      </c>
      <c r="H155">
        <v>71.936000000000007</v>
      </c>
      <c r="J155" t="str">
        <f t="shared" si="33"/>
        <v>2012-Sep</v>
      </c>
      <c r="K155">
        <v>86.634999999999991</v>
      </c>
      <c r="L155">
        <v>7.5</v>
      </c>
      <c r="M155">
        <f t="shared" si="26"/>
        <v>56.25</v>
      </c>
      <c r="N155">
        <f t="shared" si="27"/>
        <v>649.76249999999993</v>
      </c>
      <c r="O155">
        <f t="shared" si="28"/>
        <v>133.56105228706525</v>
      </c>
      <c r="P155">
        <f t="shared" si="29"/>
        <v>-46.926052287065261</v>
      </c>
      <c r="Q155">
        <f t="shared" si="30"/>
        <v>2202.0543832483827</v>
      </c>
      <c r="R155">
        <f t="shared" si="31"/>
        <v>0.16940813100023561</v>
      </c>
      <c r="S155">
        <f t="shared" si="32"/>
        <v>16.940813100023561</v>
      </c>
    </row>
    <row r="156" spans="1:19" x14ac:dyDescent="0.3">
      <c r="A156" s="10" t="s">
        <v>217</v>
      </c>
      <c r="B156">
        <v>250.17</v>
      </c>
      <c r="G156" s="7" t="s">
        <v>26</v>
      </c>
      <c r="H156">
        <v>77.597499999999997</v>
      </c>
      <c r="J156" t="str">
        <f t="shared" si="33"/>
        <v>2012-Oct</v>
      </c>
      <c r="K156">
        <v>89.917500000000018</v>
      </c>
      <c r="L156">
        <v>8.5</v>
      </c>
      <c r="M156">
        <f t="shared" si="26"/>
        <v>72.25</v>
      </c>
      <c r="N156">
        <f t="shared" si="27"/>
        <v>764.29875000000015</v>
      </c>
      <c r="O156">
        <f t="shared" si="28"/>
        <v>134.27343352662422</v>
      </c>
      <c r="P156">
        <f t="shared" si="29"/>
        <v>-44.355933526624199</v>
      </c>
      <c r="Q156">
        <f t="shared" si="30"/>
        <v>1967.4488390183046</v>
      </c>
      <c r="R156">
        <f t="shared" si="31"/>
        <v>0.16012972392283104</v>
      </c>
      <c r="S156">
        <f t="shared" si="32"/>
        <v>16.012972392283103</v>
      </c>
    </row>
    <row r="157" spans="1:19" x14ac:dyDescent="0.3">
      <c r="A157" s="10" t="s">
        <v>218</v>
      </c>
      <c r="B157">
        <v>242.78</v>
      </c>
      <c r="G157" s="7" t="s">
        <v>27</v>
      </c>
      <c r="H157">
        <v>80.385000000000005</v>
      </c>
      <c r="J157" t="str">
        <f t="shared" si="33"/>
        <v>2012-Nov</v>
      </c>
      <c r="K157">
        <v>89.152000000000001</v>
      </c>
      <c r="L157">
        <v>9.5</v>
      </c>
      <c r="M157">
        <f t="shared" si="26"/>
        <v>90.25</v>
      </c>
      <c r="N157">
        <f t="shared" si="27"/>
        <v>846.94399999999996</v>
      </c>
      <c r="O157">
        <f t="shared" si="28"/>
        <v>134.98581476618318</v>
      </c>
      <c r="P157">
        <f t="shared" si="29"/>
        <v>-45.833814766183181</v>
      </c>
      <c r="Q157">
        <f t="shared" si="30"/>
        <v>2100.7385760207912</v>
      </c>
      <c r="R157">
        <f t="shared" si="31"/>
        <v>0.165465035256979</v>
      </c>
      <c r="S157">
        <f t="shared" si="32"/>
        <v>16.546503525697901</v>
      </c>
    </row>
    <row r="158" spans="1:19" x14ac:dyDescent="0.3">
      <c r="A158" s="10" t="s">
        <v>219</v>
      </c>
      <c r="B158">
        <v>232.79</v>
      </c>
      <c r="G158" s="7" t="s">
        <v>28</v>
      </c>
      <c r="H158">
        <v>83.74</v>
      </c>
      <c r="J158" t="str">
        <f t="shared" si="33"/>
        <v>2012-Dec</v>
      </c>
      <c r="K158">
        <v>90.64500000000001</v>
      </c>
      <c r="L158">
        <v>10.5</v>
      </c>
      <c r="M158">
        <f t="shared" si="26"/>
        <v>110.25</v>
      </c>
      <c r="N158">
        <f t="shared" si="27"/>
        <v>951.77250000000015</v>
      </c>
      <c r="O158">
        <f t="shared" si="28"/>
        <v>135.69819600574218</v>
      </c>
      <c r="P158">
        <f t="shared" si="29"/>
        <v>-45.053196005742166</v>
      </c>
      <c r="Q158">
        <f t="shared" si="30"/>
        <v>2029.7904703318218</v>
      </c>
      <c r="R158">
        <f t="shared" si="31"/>
        <v>0.16264691698823885</v>
      </c>
      <c r="S158">
        <f t="shared" si="32"/>
        <v>16.264691698823885</v>
      </c>
    </row>
    <row r="159" spans="1:19" x14ac:dyDescent="0.3">
      <c r="A159" s="10" t="s">
        <v>220</v>
      </c>
      <c r="B159">
        <v>226.12</v>
      </c>
      <c r="G159" s="4" t="s">
        <v>50</v>
      </c>
      <c r="H159">
        <v>89.779230769230779</v>
      </c>
      <c r="J159" t="str">
        <f>_xlfn.CONCAT($G$172,"-",G173)</f>
        <v>2013-Jan</v>
      </c>
      <c r="K159">
        <v>98.674999999999983</v>
      </c>
      <c r="L159">
        <v>11.5</v>
      </c>
      <c r="M159">
        <f t="shared" si="26"/>
        <v>132.25</v>
      </c>
      <c r="N159">
        <f t="shared" si="27"/>
        <v>1134.7624999999998</v>
      </c>
      <c r="O159">
        <f t="shared" si="28"/>
        <v>136.41057724530114</v>
      </c>
      <c r="P159">
        <f t="shared" si="29"/>
        <v>-37.735577245301158</v>
      </c>
      <c r="Q159">
        <f t="shared" si="30"/>
        <v>1423.9737900360906</v>
      </c>
      <c r="R159">
        <f t="shared" si="31"/>
        <v>0.1362295207411594</v>
      </c>
      <c r="S159">
        <f t="shared" si="32"/>
        <v>13.62295207411594</v>
      </c>
    </row>
    <row r="160" spans="1:19" x14ac:dyDescent="0.3">
      <c r="A160" s="10" t="s">
        <v>221</v>
      </c>
      <c r="B160">
        <v>221.9</v>
      </c>
      <c r="G160" s="7" t="s">
        <v>30</v>
      </c>
      <c r="H160">
        <v>90.094999999999999</v>
      </c>
      <c r="J160" t="str">
        <f t="shared" ref="J160:J170" si="34">_xlfn.CONCAT($G$172,"-",G174)</f>
        <v>2013-Feb</v>
      </c>
      <c r="K160">
        <v>105.35249999999999</v>
      </c>
      <c r="L160">
        <v>12.5</v>
      </c>
      <c r="M160">
        <f t="shared" si="26"/>
        <v>156.25</v>
      </c>
      <c r="N160">
        <f t="shared" si="27"/>
        <v>1316.90625</v>
      </c>
      <c r="O160">
        <f t="shared" si="28"/>
        <v>137.12295848486011</v>
      </c>
      <c r="P160">
        <f t="shared" si="29"/>
        <v>-31.770458484860114</v>
      </c>
      <c r="Q160">
        <f t="shared" si="30"/>
        <v>1009.36203233822</v>
      </c>
      <c r="R160">
        <f t="shared" si="31"/>
        <v>0.11469479597422425</v>
      </c>
      <c r="S160">
        <f t="shared" si="32"/>
        <v>11.469479597422424</v>
      </c>
    </row>
    <row r="161" spans="1:19" x14ac:dyDescent="0.3">
      <c r="A161" s="10" t="s">
        <v>222</v>
      </c>
      <c r="B161">
        <v>210.49</v>
      </c>
      <c r="G161" s="7" t="s">
        <v>31</v>
      </c>
      <c r="H161">
        <v>93.26</v>
      </c>
      <c r="J161" t="str">
        <f t="shared" si="34"/>
        <v>2013-Mar</v>
      </c>
      <c r="K161">
        <v>103.78600000000002</v>
      </c>
      <c r="L161">
        <v>13.5</v>
      </c>
      <c r="M161">
        <f t="shared" si="26"/>
        <v>182.25</v>
      </c>
      <c r="N161">
        <f t="shared" si="27"/>
        <v>1401.1110000000001</v>
      </c>
      <c r="O161">
        <f t="shared" si="28"/>
        <v>137.83533972441907</v>
      </c>
      <c r="P161">
        <f t="shared" si="29"/>
        <v>-34.049339724419056</v>
      </c>
      <c r="Q161">
        <f t="shared" si="30"/>
        <v>1159.3575356689016</v>
      </c>
      <c r="R161">
        <f t="shared" si="31"/>
        <v>0.12292180405927457</v>
      </c>
      <c r="S161">
        <f t="shared" si="32"/>
        <v>12.292180405927457</v>
      </c>
    </row>
    <row r="162" spans="1:19" x14ac:dyDescent="0.3">
      <c r="A162" s="10" t="s">
        <v>223</v>
      </c>
      <c r="B162">
        <v>208.6</v>
      </c>
      <c r="G162" s="7" t="s">
        <v>19</v>
      </c>
      <c r="H162">
        <v>92.25</v>
      </c>
      <c r="J162" t="str">
        <f t="shared" si="34"/>
        <v>2013-Apr</v>
      </c>
      <c r="K162">
        <v>94.6</v>
      </c>
      <c r="L162">
        <v>14.5</v>
      </c>
      <c r="M162">
        <f t="shared" si="26"/>
        <v>210.25</v>
      </c>
      <c r="N162">
        <f t="shared" si="27"/>
        <v>1371.6999999999998</v>
      </c>
      <c r="O162">
        <f t="shared" si="28"/>
        <v>138.54772096397804</v>
      </c>
      <c r="P162">
        <f t="shared" si="29"/>
        <v>-43.947720963978043</v>
      </c>
      <c r="Q162">
        <f t="shared" si="30"/>
        <v>1931.4021779276752</v>
      </c>
      <c r="R162">
        <f t="shared" si="31"/>
        <v>0.15865603236093156</v>
      </c>
      <c r="S162">
        <f t="shared" si="32"/>
        <v>15.865603236093156</v>
      </c>
    </row>
    <row r="163" spans="1:19" x14ac:dyDescent="0.3">
      <c r="A163" s="10" t="s">
        <v>224</v>
      </c>
      <c r="B163">
        <v>183.53</v>
      </c>
      <c r="G163" s="7" t="s">
        <v>20</v>
      </c>
      <c r="H163">
        <v>89.082499999999996</v>
      </c>
      <c r="J163" t="str">
        <f t="shared" si="34"/>
        <v>2013-May</v>
      </c>
      <c r="K163">
        <v>97.77</v>
      </c>
      <c r="L163">
        <v>15.5</v>
      </c>
      <c r="M163">
        <f t="shared" si="26"/>
        <v>240.25</v>
      </c>
      <c r="N163">
        <f t="shared" si="27"/>
        <v>1515.4349999999999</v>
      </c>
      <c r="O163">
        <f t="shared" si="28"/>
        <v>139.260102203537</v>
      </c>
      <c r="P163">
        <f t="shared" si="29"/>
        <v>-41.490102203537006</v>
      </c>
      <c r="Q163">
        <f t="shared" si="30"/>
        <v>1721.4285808599464</v>
      </c>
      <c r="R163">
        <f t="shared" si="31"/>
        <v>0.14978376246764263</v>
      </c>
      <c r="S163">
        <f t="shared" si="32"/>
        <v>14.978376246764263</v>
      </c>
    </row>
    <row r="164" spans="1:19" x14ac:dyDescent="0.3">
      <c r="A164" s="10" t="s">
        <v>225</v>
      </c>
      <c r="B164">
        <v>168.4</v>
      </c>
      <c r="G164" s="7" t="s">
        <v>21</v>
      </c>
      <c r="H164">
        <v>87.862499999999997</v>
      </c>
      <c r="J164" t="str">
        <f t="shared" si="34"/>
        <v>2013-Jun</v>
      </c>
      <c r="K164">
        <v>98.484999999999985</v>
      </c>
      <c r="L164">
        <v>16.5</v>
      </c>
      <c r="M164">
        <f t="shared" si="26"/>
        <v>272.25</v>
      </c>
      <c r="N164">
        <f t="shared" si="27"/>
        <v>1625.0024999999998</v>
      </c>
      <c r="O164">
        <f t="shared" si="28"/>
        <v>139.97248344309597</v>
      </c>
      <c r="P164">
        <f t="shared" si="29"/>
        <v>-41.487483443095982</v>
      </c>
      <c r="Q164">
        <f t="shared" si="30"/>
        <v>1721.2112824411633</v>
      </c>
      <c r="R164">
        <f t="shared" si="31"/>
        <v>0.14977430845883027</v>
      </c>
      <c r="S164">
        <f t="shared" si="32"/>
        <v>14.977430845883028</v>
      </c>
    </row>
    <row r="165" spans="1:19" x14ac:dyDescent="0.3">
      <c r="A165" s="10" t="s">
        <v>226</v>
      </c>
      <c r="B165">
        <v>165.04</v>
      </c>
      <c r="G165" s="7" t="s">
        <v>22</v>
      </c>
      <c r="H165">
        <v>88.52</v>
      </c>
      <c r="J165" t="str">
        <f t="shared" si="34"/>
        <v>2013-Jul</v>
      </c>
      <c r="K165">
        <v>103.465</v>
      </c>
      <c r="L165">
        <v>17.5</v>
      </c>
      <c r="M165">
        <f t="shared" si="26"/>
        <v>306.25</v>
      </c>
      <c r="N165">
        <f t="shared" si="27"/>
        <v>1810.6375</v>
      </c>
      <c r="O165">
        <f t="shared" si="28"/>
        <v>140.68486468265496</v>
      </c>
      <c r="P165">
        <f t="shared" si="29"/>
        <v>-37.219864682654958</v>
      </c>
      <c r="Q165">
        <f t="shared" si="30"/>
        <v>1385.3183269951458</v>
      </c>
      <c r="R165">
        <f t="shared" si="31"/>
        <v>0.13436774253666051</v>
      </c>
      <c r="S165">
        <f t="shared" si="32"/>
        <v>13.436774253666051</v>
      </c>
    </row>
    <row r="166" spans="1:19" x14ac:dyDescent="0.3">
      <c r="A166" s="10" t="s">
        <v>227</v>
      </c>
      <c r="B166">
        <v>165.98</v>
      </c>
      <c r="G166" s="7" t="s">
        <v>23</v>
      </c>
      <c r="H166">
        <v>91.15</v>
      </c>
      <c r="J166" t="str">
        <f t="shared" si="34"/>
        <v>2013-Aug</v>
      </c>
      <c r="K166">
        <v>108.82000000000001</v>
      </c>
      <c r="L166">
        <v>18.5</v>
      </c>
      <c r="M166">
        <f t="shared" si="26"/>
        <v>342.25</v>
      </c>
      <c r="N166">
        <f t="shared" si="27"/>
        <v>2013.17</v>
      </c>
      <c r="O166">
        <f t="shared" si="28"/>
        <v>141.39724592221393</v>
      </c>
      <c r="P166">
        <f t="shared" si="29"/>
        <v>-32.577245922213919</v>
      </c>
      <c r="Q166">
        <f t="shared" si="30"/>
        <v>1061.2769518764035</v>
      </c>
      <c r="R166">
        <f t="shared" si="31"/>
        <v>0.11760738600077227</v>
      </c>
      <c r="S166">
        <f t="shared" si="32"/>
        <v>11.760738600077227</v>
      </c>
    </row>
    <row r="167" spans="1:19" x14ac:dyDescent="0.3">
      <c r="A167" s="10" t="s">
        <v>228</v>
      </c>
      <c r="B167">
        <v>158.59</v>
      </c>
      <c r="G167" s="7" t="s">
        <v>24</v>
      </c>
      <c r="H167">
        <v>88.864000000000004</v>
      </c>
      <c r="J167" t="str">
        <f t="shared" si="34"/>
        <v>2013-Sep</v>
      </c>
      <c r="K167">
        <v>111.5</v>
      </c>
      <c r="L167">
        <v>19.5</v>
      </c>
      <c r="M167">
        <f t="shared" si="26"/>
        <v>380.25</v>
      </c>
      <c r="N167">
        <f t="shared" si="27"/>
        <v>2174.25</v>
      </c>
      <c r="O167">
        <f t="shared" si="28"/>
        <v>142.10962716177289</v>
      </c>
      <c r="P167">
        <f t="shared" si="29"/>
        <v>-30.609627161772892</v>
      </c>
      <c r="Q167">
        <f t="shared" si="30"/>
        <v>936.94927498274478</v>
      </c>
      <c r="R167">
        <f t="shared" si="31"/>
        <v>0.11050406917607541</v>
      </c>
      <c r="S167">
        <f t="shared" si="32"/>
        <v>11.050406917607541</v>
      </c>
    </row>
    <row r="168" spans="1:19" x14ac:dyDescent="0.3">
      <c r="A168" s="10" t="s">
        <v>229</v>
      </c>
      <c r="B168">
        <v>155.47999999999999</v>
      </c>
      <c r="G168" s="7" t="s">
        <v>25</v>
      </c>
      <c r="H168">
        <v>86.634999999999991</v>
      </c>
      <c r="J168" t="str">
        <f t="shared" si="34"/>
        <v>2013-Oct</v>
      </c>
      <c r="K168">
        <v>122.27500000000001</v>
      </c>
      <c r="L168">
        <v>20.5</v>
      </c>
      <c r="M168">
        <f t="shared" si="26"/>
        <v>420.25</v>
      </c>
      <c r="N168">
        <f t="shared" si="27"/>
        <v>2506.6375000000003</v>
      </c>
      <c r="O168">
        <f t="shared" si="28"/>
        <v>142.82200840133186</v>
      </c>
      <c r="P168">
        <f t="shared" si="29"/>
        <v>-20.547008401331851</v>
      </c>
      <c r="Q168">
        <f t="shared" si="30"/>
        <v>422.17955424440169</v>
      </c>
      <c r="R168">
        <f t="shared" si="31"/>
        <v>7.4176925636577073E-2</v>
      </c>
      <c r="S168">
        <f t="shared" si="32"/>
        <v>7.4176925636577078</v>
      </c>
    </row>
    <row r="169" spans="1:19" x14ac:dyDescent="0.3">
      <c r="A169" s="10" t="s">
        <v>230</v>
      </c>
      <c r="B169">
        <v>130.08000000000001</v>
      </c>
      <c r="G169" s="7" t="s">
        <v>26</v>
      </c>
      <c r="H169">
        <v>89.917500000000018</v>
      </c>
      <c r="J169" t="str">
        <f t="shared" si="34"/>
        <v>2013-Nov</v>
      </c>
      <c r="K169">
        <v>136.328</v>
      </c>
      <c r="L169">
        <v>21.5</v>
      </c>
      <c r="M169">
        <f t="shared" si="26"/>
        <v>462.25</v>
      </c>
      <c r="N169">
        <f t="shared" si="27"/>
        <v>2931.0520000000001</v>
      </c>
      <c r="O169">
        <f t="shared" si="28"/>
        <v>143.53438964089082</v>
      </c>
      <c r="P169">
        <f t="shared" si="29"/>
        <v>-7.2063896408908192</v>
      </c>
      <c r="Q169">
        <f t="shared" si="30"/>
        <v>51.932051656338508</v>
      </c>
      <c r="R169">
        <f t="shared" si="31"/>
        <v>2.6015847079028227E-2</v>
      </c>
      <c r="S169">
        <f t="shared" si="32"/>
        <v>2.6015847079028225</v>
      </c>
    </row>
    <row r="170" spans="1:19" x14ac:dyDescent="0.3">
      <c r="A170" s="10" t="s">
        <v>231</v>
      </c>
      <c r="B170">
        <v>137.63</v>
      </c>
      <c r="G170" s="7" t="s">
        <v>27</v>
      </c>
      <c r="H170">
        <v>89.152000000000001</v>
      </c>
      <c r="J170" t="str">
        <f t="shared" si="34"/>
        <v>2013-Dec</v>
      </c>
      <c r="K170">
        <v>140.85749999999999</v>
      </c>
      <c r="L170">
        <v>22.5</v>
      </c>
      <c r="M170">
        <f t="shared" si="26"/>
        <v>506.25</v>
      </c>
      <c r="N170">
        <f t="shared" si="27"/>
        <v>3169.2937499999998</v>
      </c>
      <c r="O170">
        <f t="shared" si="28"/>
        <v>144.24677088044979</v>
      </c>
      <c r="P170">
        <f t="shared" si="29"/>
        <v>-3.3892708804498</v>
      </c>
      <c r="Q170">
        <f t="shared" si="30"/>
        <v>11.487157101064962</v>
      </c>
      <c r="R170">
        <f t="shared" si="31"/>
        <v>1.2235634947472202E-2</v>
      </c>
      <c r="S170">
        <f t="shared" si="32"/>
        <v>1.2235634947472203</v>
      </c>
    </row>
    <row r="171" spans="1:19" x14ac:dyDescent="0.3">
      <c r="A171" s="10" t="s">
        <v>232</v>
      </c>
      <c r="B171">
        <v>132.72</v>
      </c>
      <c r="G171" s="7" t="s">
        <v>28</v>
      </c>
      <c r="H171">
        <v>90.64500000000001</v>
      </c>
      <c r="J171" t="str">
        <f>_xlfn.CONCAT($G$185,"-",G186)</f>
        <v>2014-Jan</v>
      </c>
      <c r="K171">
        <v>138.21799999999999</v>
      </c>
      <c r="L171">
        <v>23.5</v>
      </c>
      <c r="M171">
        <f t="shared" si="26"/>
        <v>552.25</v>
      </c>
      <c r="N171">
        <f t="shared" si="27"/>
        <v>3248.1229999999996</v>
      </c>
      <c r="O171">
        <f t="shared" si="28"/>
        <v>144.95915212000875</v>
      </c>
      <c r="P171">
        <f t="shared" si="29"/>
        <v>-6.7411521200087634</v>
      </c>
      <c r="Q171">
        <f t="shared" si="30"/>
        <v>45.443131905098646</v>
      </c>
      <c r="R171">
        <f t="shared" si="31"/>
        <v>2.4336289241908893E-2</v>
      </c>
      <c r="S171">
        <f t="shared" si="32"/>
        <v>2.4336289241908893</v>
      </c>
    </row>
    <row r="172" spans="1:19" x14ac:dyDescent="0.3">
      <c r="A172" s="10" t="s">
        <v>233</v>
      </c>
      <c r="B172">
        <v>142.21</v>
      </c>
      <c r="G172" s="4" t="s">
        <v>51</v>
      </c>
      <c r="H172">
        <v>110.2761538461538</v>
      </c>
      <c r="J172" t="str">
        <f t="shared" ref="J172:J182" si="35">_xlfn.CONCAT($G$185,"-",G187)</f>
        <v>2014-Feb</v>
      </c>
      <c r="K172">
        <v>133.47749999999999</v>
      </c>
      <c r="L172">
        <v>24.5</v>
      </c>
      <c r="M172">
        <f t="shared" si="26"/>
        <v>600.25</v>
      </c>
      <c r="N172">
        <f t="shared" si="27"/>
        <v>3270.19875</v>
      </c>
      <c r="O172">
        <f t="shared" si="28"/>
        <v>145.67153335956772</v>
      </c>
      <c r="P172">
        <f t="shared" si="29"/>
        <v>-12.194033359567726</v>
      </c>
      <c r="Q172">
        <f t="shared" si="30"/>
        <v>148.69444957425057</v>
      </c>
      <c r="R172">
        <f t="shared" si="31"/>
        <v>4.4021781081471936E-2</v>
      </c>
      <c r="S172">
        <f t="shared" si="32"/>
        <v>4.4021781081471936</v>
      </c>
    </row>
    <row r="173" spans="1:19" x14ac:dyDescent="0.3">
      <c r="A173" s="10" t="s">
        <v>234</v>
      </c>
      <c r="B173">
        <v>130.56</v>
      </c>
      <c r="G173" s="7" t="s">
        <v>30</v>
      </c>
      <c r="H173">
        <v>98.674999999999983</v>
      </c>
      <c r="J173" t="str">
        <f t="shared" si="35"/>
        <v>2014-Mar</v>
      </c>
      <c r="K173">
        <v>135.7475</v>
      </c>
      <c r="L173">
        <v>25.5</v>
      </c>
      <c r="M173">
        <f t="shared" si="26"/>
        <v>650.25</v>
      </c>
      <c r="N173">
        <f t="shared" si="27"/>
        <v>3461.5612500000002</v>
      </c>
      <c r="O173">
        <f t="shared" si="28"/>
        <v>146.38391459912671</v>
      </c>
      <c r="P173">
        <f t="shared" si="29"/>
        <v>-10.636414599126709</v>
      </c>
      <c r="Q173">
        <f t="shared" si="30"/>
        <v>113.13331552451579</v>
      </c>
      <c r="R173">
        <f t="shared" si="31"/>
        <v>3.8398608661107253E-2</v>
      </c>
      <c r="S173">
        <f t="shared" si="32"/>
        <v>3.8398608661107252</v>
      </c>
    </row>
    <row r="174" spans="1:19" x14ac:dyDescent="0.3">
      <c r="A174" s="10" t="s">
        <v>235</v>
      </c>
      <c r="B174">
        <v>117</v>
      </c>
      <c r="G174" s="7" t="s">
        <v>31</v>
      </c>
      <c r="H174">
        <v>105.35249999999999</v>
      </c>
      <c r="J174" t="str">
        <f t="shared" si="35"/>
        <v>2014-Apr</v>
      </c>
      <c r="K174">
        <v>133.83500000000001</v>
      </c>
      <c r="L174">
        <v>26.5</v>
      </c>
      <c r="M174">
        <f t="shared" si="26"/>
        <v>702.25</v>
      </c>
      <c r="N174">
        <f t="shared" si="27"/>
        <v>3546.6275000000001</v>
      </c>
      <c r="O174">
        <f t="shared" si="28"/>
        <v>147.09629583868568</v>
      </c>
      <c r="P174">
        <f t="shared" si="29"/>
        <v>-13.261295838685669</v>
      </c>
      <c r="Q174">
        <f t="shared" si="30"/>
        <v>175.86196732114183</v>
      </c>
      <c r="R174">
        <f t="shared" si="31"/>
        <v>4.7874714219081835E-2</v>
      </c>
      <c r="S174">
        <f t="shared" si="32"/>
        <v>4.7874714219081831</v>
      </c>
    </row>
    <row r="175" spans="1:19" x14ac:dyDescent="0.3">
      <c r="A175" s="10" t="s">
        <v>236</v>
      </c>
      <c r="B175">
        <v>107.52</v>
      </c>
      <c r="G175" s="7" t="s">
        <v>19</v>
      </c>
      <c r="H175">
        <v>103.78600000000002</v>
      </c>
      <c r="J175" t="str">
        <f t="shared" si="35"/>
        <v>2014-May</v>
      </c>
      <c r="K175">
        <v>139.67199999999997</v>
      </c>
      <c r="L175">
        <v>27.5</v>
      </c>
      <c r="M175">
        <f t="shared" si="26"/>
        <v>756.25</v>
      </c>
      <c r="N175">
        <f t="shared" si="27"/>
        <v>3840.9799999999991</v>
      </c>
      <c r="O175">
        <f t="shared" si="28"/>
        <v>147.80867707824464</v>
      </c>
      <c r="P175">
        <f t="shared" si="29"/>
        <v>-8.1366770782446736</v>
      </c>
      <c r="Q175">
        <f t="shared" si="30"/>
        <v>66.205513875632278</v>
      </c>
      <c r="R175">
        <f t="shared" si="31"/>
        <v>2.9374285481027704E-2</v>
      </c>
      <c r="S175">
        <f t="shared" si="32"/>
        <v>2.9374285481027704</v>
      </c>
    </row>
    <row r="176" spans="1:19" x14ac:dyDescent="0.3">
      <c r="A176" s="10" t="s">
        <v>237</v>
      </c>
      <c r="B176">
        <v>120.44</v>
      </c>
      <c r="G176" s="7" t="s">
        <v>20</v>
      </c>
      <c r="H176">
        <v>94.6</v>
      </c>
      <c r="J176" t="str">
        <f t="shared" si="35"/>
        <v>2014-Jun</v>
      </c>
      <c r="K176">
        <v>145.625</v>
      </c>
      <c r="L176">
        <v>28.5</v>
      </c>
      <c r="M176">
        <f t="shared" si="26"/>
        <v>812.25</v>
      </c>
      <c r="N176">
        <f t="shared" si="27"/>
        <v>4150.3125</v>
      </c>
      <c r="O176">
        <f t="shared" si="28"/>
        <v>148.52105831780361</v>
      </c>
      <c r="P176">
        <f t="shared" si="29"/>
        <v>-2.8960583178036075</v>
      </c>
      <c r="Q176">
        <f t="shared" si="30"/>
        <v>8.3871537801194602</v>
      </c>
      <c r="R176">
        <f t="shared" si="31"/>
        <v>1.0455084179796417E-2</v>
      </c>
      <c r="S176">
        <f t="shared" si="32"/>
        <v>1.0455084179796417</v>
      </c>
    </row>
    <row r="177" spans="1:19" x14ac:dyDescent="0.3">
      <c r="A177" s="10" t="s">
        <v>238</v>
      </c>
      <c r="B177">
        <v>118.2</v>
      </c>
      <c r="G177" s="7" t="s">
        <v>21</v>
      </c>
      <c r="H177">
        <v>97.77</v>
      </c>
      <c r="J177" t="str">
        <f t="shared" si="35"/>
        <v>2014-Jul</v>
      </c>
      <c r="K177">
        <v>151.995</v>
      </c>
      <c r="L177">
        <v>29.5</v>
      </c>
      <c r="M177">
        <f t="shared" si="26"/>
        <v>870.25</v>
      </c>
      <c r="N177">
        <f t="shared" si="27"/>
        <v>4483.8525</v>
      </c>
      <c r="O177">
        <f t="shared" si="28"/>
        <v>149.23343955736257</v>
      </c>
      <c r="P177">
        <f t="shared" si="29"/>
        <v>2.7615604426374318</v>
      </c>
      <c r="Q177">
        <f t="shared" si="30"/>
        <v>7.6262160783398487</v>
      </c>
      <c r="R177">
        <f t="shared" si="31"/>
        <v>9.9695322838896459E-3</v>
      </c>
      <c r="S177">
        <f t="shared" si="32"/>
        <v>0.99695322838896461</v>
      </c>
    </row>
    <row r="178" spans="1:19" x14ac:dyDescent="0.3">
      <c r="A178" s="10" t="s">
        <v>239</v>
      </c>
      <c r="B178">
        <v>123.06</v>
      </c>
      <c r="G178" s="7" t="s">
        <v>22</v>
      </c>
      <c r="H178">
        <v>98.484999999999985</v>
      </c>
      <c r="J178" t="str">
        <f t="shared" si="35"/>
        <v>2014-Aug</v>
      </c>
      <c r="K178">
        <v>148.13200000000001</v>
      </c>
      <c r="L178">
        <v>30.5</v>
      </c>
      <c r="M178">
        <f t="shared" si="26"/>
        <v>930.25</v>
      </c>
      <c r="N178">
        <f t="shared" si="27"/>
        <v>4518.0259999999998</v>
      </c>
      <c r="O178">
        <f t="shared" si="28"/>
        <v>149.94582079692154</v>
      </c>
      <c r="P178">
        <f t="shared" si="29"/>
        <v>-1.813820796921533</v>
      </c>
      <c r="Q178">
        <f t="shared" si="30"/>
        <v>3.289945883345065</v>
      </c>
      <c r="R178">
        <f t="shared" si="31"/>
        <v>6.5480895195723209E-3</v>
      </c>
      <c r="S178">
        <f t="shared" si="32"/>
        <v>0.6548089519572321</v>
      </c>
    </row>
    <row r="179" spans="1:19" x14ac:dyDescent="0.3">
      <c r="A179" s="10" t="s">
        <v>240</v>
      </c>
      <c r="B179">
        <v>124.85</v>
      </c>
      <c r="G179" s="7" t="s">
        <v>23</v>
      </c>
      <c r="H179">
        <v>103.465</v>
      </c>
      <c r="J179" t="str">
        <f t="shared" si="35"/>
        <v>2014-Sep</v>
      </c>
      <c r="K179">
        <v>156.29500000000002</v>
      </c>
      <c r="L179">
        <v>31.5</v>
      </c>
      <c r="M179">
        <f t="shared" si="26"/>
        <v>992.25</v>
      </c>
      <c r="N179">
        <f t="shared" si="27"/>
        <v>4923.2925000000005</v>
      </c>
      <c r="O179">
        <f t="shared" si="28"/>
        <v>150.65820203648053</v>
      </c>
      <c r="P179">
        <f t="shared" si="29"/>
        <v>5.6367979635194843</v>
      </c>
      <c r="Q179">
        <f t="shared" si="30"/>
        <v>31.773491281537407</v>
      </c>
      <c r="R179">
        <f t="shared" si="31"/>
        <v>2.0349451131839294E-2</v>
      </c>
      <c r="S179">
        <f t="shared" si="32"/>
        <v>2.0349451131839293</v>
      </c>
    </row>
    <row r="180" spans="1:19" x14ac:dyDescent="0.3">
      <c r="A180" s="10" t="s">
        <v>241</v>
      </c>
      <c r="B180">
        <v>122.29</v>
      </c>
      <c r="G180" s="7" t="s">
        <v>24</v>
      </c>
      <c r="H180">
        <v>108.82000000000001</v>
      </c>
      <c r="J180" t="str">
        <f t="shared" si="35"/>
        <v>2014-Oct</v>
      </c>
      <c r="K180">
        <v>160.97800000000001</v>
      </c>
      <c r="L180">
        <v>32.5</v>
      </c>
      <c r="M180">
        <f t="shared" si="26"/>
        <v>1056.25</v>
      </c>
      <c r="N180">
        <f t="shared" si="27"/>
        <v>5231.7849999999999</v>
      </c>
      <c r="O180">
        <f t="shared" si="28"/>
        <v>151.3705832760395</v>
      </c>
      <c r="P180">
        <f t="shared" si="29"/>
        <v>9.6074167239605117</v>
      </c>
      <c r="Q180">
        <f t="shared" si="30"/>
        <v>92.302456107836136</v>
      </c>
      <c r="R180">
        <f t="shared" si="31"/>
        <v>3.4683814887944087E-2</v>
      </c>
      <c r="S180">
        <f t="shared" si="32"/>
        <v>3.4683814887944084</v>
      </c>
    </row>
    <row r="181" spans="1:19" x14ac:dyDescent="0.3">
      <c r="A181" s="10" t="s">
        <v>242</v>
      </c>
      <c r="B181">
        <v>109.22</v>
      </c>
      <c r="G181" s="7" t="s">
        <v>25</v>
      </c>
      <c r="H181">
        <v>111.5</v>
      </c>
      <c r="J181" t="str">
        <f t="shared" si="35"/>
        <v>2014-Nov</v>
      </c>
      <c r="K181">
        <v>173.85500000000002</v>
      </c>
      <c r="L181">
        <v>33.5</v>
      </c>
      <c r="M181">
        <f t="shared" si="26"/>
        <v>1122.25</v>
      </c>
      <c r="N181">
        <f t="shared" si="27"/>
        <v>5824.1425000000008</v>
      </c>
      <c r="O181">
        <f t="shared" si="28"/>
        <v>152.08296451559846</v>
      </c>
      <c r="P181">
        <f t="shared" si="29"/>
        <v>21.772035484401556</v>
      </c>
      <c r="Q181">
        <f t="shared" si="30"/>
        <v>474.02152913404052</v>
      </c>
      <c r="R181">
        <f t="shared" si="31"/>
        <v>7.8599406080872042E-2</v>
      </c>
      <c r="S181">
        <f t="shared" si="32"/>
        <v>7.8599406080872045</v>
      </c>
    </row>
    <row r="182" spans="1:19" x14ac:dyDescent="0.3">
      <c r="A182" s="10" t="s">
        <v>243</v>
      </c>
      <c r="B182">
        <v>120.58</v>
      </c>
      <c r="G182" s="7" t="s">
        <v>26</v>
      </c>
      <c r="H182">
        <v>122.27500000000001</v>
      </c>
      <c r="J182" t="str">
        <f t="shared" si="35"/>
        <v>2014-Dec</v>
      </c>
      <c r="K182">
        <v>176.98499999999999</v>
      </c>
      <c r="L182">
        <v>34.5</v>
      </c>
      <c r="M182">
        <f t="shared" si="26"/>
        <v>1190.25</v>
      </c>
      <c r="N182">
        <f t="shared" si="27"/>
        <v>6105.9824999999992</v>
      </c>
      <c r="O182">
        <f t="shared" si="28"/>
        <v>152.79534575515743</v>
      </c>
      <c r="P182">
        <f t="shared" si="29"/>
        <v>24.189654244842558</v>
      </c>
      <c r="Q182">
        <f t="shared" si="30"/>
        <v>585.13937248502953</v>
      </c>
      <c r="R182">
        <f t="shared" si="31"/>
        <v>8.7327271642030899E-2</v>
      </c>
      <c r="S182">
        <f t="shared" si="32"/>
        <v>8.732727164203089</v>
      </c>
    </row>
    <row r="183" spans="1:19" x14ac:dyDescent="0.3">
      <c r="A183" s="10" t="s">
        <v>244</v>
      </c>
      <c r="B183">
        <v>111.06</v>
      </c>
      <c r="G183" s="7" t="s">
        <v>27</v>
      </c>
      <c r="H183">
        <v>136.328</v>
      </c>
      <c r="J183" t="str">
        <f>_xlfn.CONCAT($G$198,"-",G199)</f>
        <v>2015-Jan</v>
      </c>
      <c r="K183">
        <v>173.398</v>
      </c>
      <c r="L183">
        <v>35.5</v>
      </c>
      <c r="M183">
        <f t="shared" si="26"/>
        <v>1260.25</v>
      </c>
      <c r="N183">
        <f t="shared" si="27"/>
        <v>6155.6289999999999</v>
      </c>
      <c r="O183">
        <f t="shared" si="28"/>
        <v>153.50772699471639</v>
      </c>
      <c r="P183">
        <f t="shared" si="29"/>
        <v>19.890273005283603</v>
      </c>
      <c r="Q183">
        <f t="shared" si="30"/>
        <v>395.62296022471361</v>
      </c>
      <c r="R183">
        <f t="shared" si="31"/>
        <v>7.1806039730265711E-2</v>
      </c>
      <c r="S183">
        <f t="shared" si="32"/>
        <v>7.1806039730265709</v>
      </c>
    </row>
    <row r="184" spans="1:19" x14ac:dyDescent="0.3">
      <c r="A184" s="10" t="s">
        <v>245</v>
      </c>
      <c r="B184">
        <v>106.63</v>
      </c>
      <c r="G184" s="7" t="s">
        <v>28</v>
      </c>
      <c r="H184">
        <v>140.85749999999999</v>
      </c>
      <c r="J184" t="str">
        <f t="shared" ref="J184:J194" si="36">_xlfn.CONCAT($G$198,"-",G200)</f>
        <v>2015-Feb</v>
      </c>
      <c r="K184">
        <v>176.3</v>
      </c>
      <c r="L184">
        <v>36.5</v>
      </c>
      <c r="M184">
        <f t="shared" si="26"/>
        <v>1332.25</v>
      </c>
      <c r="N184">
        <f t="shared" si="27"/>
        <v>6434.9500000000007</v>
      </c>
      <c r="O184">
        <f t="shared" si="28"/>
        <v>154.22010823427536</v>
      </c>
      <c r="P184">
        <f t="shared" si="29"/>
        <v>22.079891765724653</v>
      </c>
      <c r="Q184">
        <f t="shared" si="30"/>
        <v>487.52162038611533</v>
      </c>
      <c r="R184">
        <f t="shared" si="31"/>
        <v>7.9710800598283948E-2</v>
      </c>
      <c r="S184">
        <f t="shared" si="32"/>
        <v>7.9710800598283953</v>
      </c>
    </row>
    <row r="185" spans="1:19" x14ac:dyDescent="0.3">
      <c r="A185" s="10" t="s">
        <v>246</v>
      </c>
      <c r="B185">
        <v>127.68</v>
      </c>
      <c r="G185" s="4" t="s">
        <v>52</v>
      </c>
      <c r="H185">
        <v>149.35115384615386</v>
      </c>
      <c r="J185" t="str">
        <f t="shared" si="36"/>
        <v>2015-Mar</v>
      </c>
      <c r="K185">
        <v>170.785</v>
      </c>
      <c r="L185">
        <v>37.5</v>
      </c>
      <c r="M185">
        <f t="shared" si="26"/>
        <v>1406.25</v>
      </c>
      <c r="N185">
        <f t="shared" si="27"/>
        <v>6404.4375</v>
      </c>
      <c r="O185">
        <f t="shared" si="28"/>
        <v>154.93248947383432</v>
      </c>
      <c r="P185">
        <f t="shared" si="29"/>
        <v>15.852510526165673</v>
      </c>
      <c r="Q185">
        <f t="shared" si="30"/>
        <v>251.30208998219348</v>
      </c>
      <c r="R185">
        <f t="shared" si="31"/>
        <v>5.7229279877854415E-2</v>
      </c>
      <c r="S185">
        <f t="shared" si="32"/>
        <v>5.7229279877854413</v>
      </c>
    </row>
    <row r="186" spans="1:19" x14ac:dyDescent="0.3">
      <c r="A186" s="10" t="s">
        <v>247</v>
      </c>
      <c r="B186">
        <v>141.16999999999999</v>
      </c>
      <c r="G186" s="7" t="s">
        <v>30</v>
      </c>
      <c r="H186">
        <v>138.21799999999999</v>
      </c>
      <c r="J186" t="str">
        <f t="shared" si="36"/>
        <v>2015-Apr</v>
      </c>
      <c r="K186">
        <v>169.63499999999999</v>
      </c>
      <c r="L186">
        <v>38.5</v>
      </c>
      <c r="M186">
        <f t="shared" si="26"/>
        <v>1482.25</v>
      </c>
      <c r="N186">
        <f t="shared" si="27"/>
        <v>6530.9474999999993</v>
      </c>
      <c r="O186">
        <f t="shared" si="28"/>
        <v>155.64487071339332</v>
      </c>
      <c r="P186">
        <f t="shared" si="29"/>
        <v>13.990129286606674</v>
      </c>
      <c r="Q186">
        <f t="shared" si="30"/>
        <v>195.72371745596976</v>
      </c>
      <c r="R186">
        <f t="shared" si="31"/>
        <v>5.0505881901107129E-2</v>
      </c>
      <c r="S186">
        <f t="shared" si="32"/>
        <v>5.0505881901107132</v>
      </c>
    </row>
    <row r="187" spans="1:19" x14ac:dyDescent="0.3">
      <c r="A187" s="10" t="s">
        <v>248</v>
      </c>
      <c r="B187">
        <v>163.25</v>
      </c>
      <c r="G187" s="7" t="s">
        <v>31</v>
      </c>
      <c r="H187">
        <v>133.47749999999999</v>
      </c>
      <c r="J187" t="str">
        <f t="shared" si="36"/>
        <v>2015-May</v>
      </c>
      <c r="K187">
        <v>173.72399999999999</v>
      </c>
      <c r="L187">
        <v>39.5</v>
      </c>
      <c r="M187">
        <f t="shared" si="26"/>
        <v>1560.25</v>
      </c>
      <c r="N187">
        <f t="shared" si="27"/>
        <v>6862.098</v>
      </c>
      <c r="O187">
        <f t="shared" si="28"/>
        <v>156.35725195295228</v>
      </c>
      <c r="P187">
        <f t="shared" si="29"/>
        <v>17.366748047047707</v>
      </c>
      <c r="Q187">
        <f t="shared" si="30"/>
        <v>301.60393772963533</v>
      </c>
      <c r="R187">
        <f t="shared" si="31"/>
        <v>6.2695841325081977E-2</v>
      </c>
      <c r="S187">
        <f t="shared" si="32"/>
        <v>6.2695841325081973</v>
      </c>
    </row>
    <row r="188" spans="1:19" x14ac:dyDescent="0.3">
      <c r="A188" s="10" t="s">
        <v>249</v>
      </c>
      <c r="B188">
        <v>158.62</v>
      </c>
      <c r="G188" s="7" t="s">
        <v>19</v>
      </c>
      <c r="H188">
        <v>135.7475</v>
      </c>
      <c r="J188" t="str">
        <f t="shared" si="36"/>
        <v>2015-Jun</v>
      </c>
      <c r="K188">
        <v>178.86750000000001</v>
      </c>
      <c r="L188">
        <v>40.5</v>
      </c>
      <c r="M188">
        <f t="shared" si="26"/>
        <v>1640.25</v>
      </c>
      <c r="N188">
        <f t="shared" si="27"/>
        <v>7244.13375</v>
      </c>
      <c r="O188">
        <f t="shared" si="28"/>
        <v>157.06963319251125</v>
      </c>
      <c r="P188">
        <f t="shared" si="29"/>
        <v>21.797866807488759</v>
      </c>
      <c r="Q188">
        <f t="shared" si="30"/>
        <v>475.14699735702021</v>
      </c>
      <c r="R188">
        <f t="shared" si="31"/>
        <v>7.8692659954833072E-2</v>
      </c>
      <c r="S188">
        <f t="shared" si="32"/>
        <v>7.8692659954833069</v>
      </c>
    </row>
    <row r="189" spans="1:19" x14ac:dyDescent="0.3">
      <c r="A189" s="10" t="s">
        <v>250</v>
      </c>
      <c r="B189">
        <v>155.66</v>
      </c>
      <c r="G189" s="7" t="s">
        <v>20</v>
      </c>
      <c r="H189">
        <v>133.83500000000001</v>
      </c>
      <c r="J189" t="str">
        <f t="shared" si="36"/>
        <v>2015-Jul</v>
      </c>
      <c r="K189">
        <v>169.07</v>
      </c>
      <c r="L189">
        <v>41.5</v>
      </c>
      <c r="M189">
        <f t="shared" si="26"/>
        <v>1722.25</v>
      </c>
      <c r="N189">
        <f t="shared" si="27"/>
        <v>7016.4049999999997</v>
      </c>
      <c r="O189">
        <f t="shared" si="28"/>
        <v>157.78201443207021</v>
      </c>
      <c r="P189">
        <f t="shared" si="29"/>
        <v>11.28798556792978</v>
      </c>
      <c r="Q189">
        <f t="shared" si="30"/>
        <v>127.418618181791</v>
      </c>
      <c r="R189">
        <f t="shared" si="31"/>
        <v>4.0750850425739282E-2</v>
      </c>
      <c r="S189">
        <f t="shared" si="32"/>
        <v>4.075085042573928</v>
      </c>
    </row>
    <row r="190" spans="1:19" x14ac:dyDescent="0.3">
      <c r="A190" s="10" t="s">
        <v>251</v>
      </c>
      <c r="B190">
        <v>144.63999999999999</v>
      </c>
      <c r="G190" s="7" t="s">
        <v>21</v>
      </c>
      <c r="H190">
        <v>139.67199999999997</v>
      </c>
      <c r="J190" t="str">
        <f t="shared" si="36"/>
        <v>2015-Aug</v>
      </c>
      <c r="K190">
        <v>160.08249999999998</v>
      </c>
      <c r="L190">
        <v>42.5</v>
      </c>
      <c r="M190">
        <f t="shared" si="26"/>
        <v>1806.25</v>
      </c>
      <c r="N190">
        <f t="shared" si="27"/>
        <v>6803.5062499999995</v>
      </c>
      <c r="O190">
        <f t="shared" si="28"/>
        <v>158.49439567162918</v>
      </c>
      <c r="P190">
        <f t="shared" si="29"/>
        <v>1.5881043283708038</v>
      </c>
      <c r="Q190">
        <f t="shared" si="30"/>
        <v>2.5220753577900821</v>
      </c>
      <c r="R190">
        <f t="shared" si="31"/>
        <v>5.7332286222772704E-3</v>
      </c>
      <c r="S190">
        <f t="shared" si="32"/>
        <v>0.57332286222772699</v>
      </c>
    </row>
    <row r="191" spans="1:19" x14ac:dyDescent="0.3">
      <c r="A191" s="10" t="s">
        <v>252</v>
      </c>
      <c r="B191">
        <v>154.07</v>
      </c>
      <c r="G191" s="7" t="s">
        <v>22</v>
      </c>
      <c r="H191">
        <v>145.625</v>
      </c>
      <c r="J191" t="str">
        <f t="shared" si="36"/>
        <v>2015-Sep</v>
      </c>
      <c r="K191">
        <v>147.36000000000001</v>
      </c>
      <c r="L191">
        <v>43.5</v>
      </c>
      <c r="M191">
        <f t="shared" si="26"/>
        <v>1892.25</v>
      </c>
      <c r="N191">
        <f t="shared" si="27"/>
        <v>6410.1600000000008</v>
      </c>
      <c r="O191">
        <f t="shared" si="28"/>
        <v>159.20677691118814</v>
      </c>
      <c r="P191">
        <f t="shared" si="29"/>
        <v>-11.84677691118813</v>
      </c>
      <c r="Q191">
        <f t="shared" si="30"/>
        <v>140.34612318346015</v>
      </c>
      <c r="R191">
        <f t="shared" si="31"/>
        <v>4.2768147693819959E-2</v>
      </c>
      <c r="S191">
        <f t="shared" si="32"/>
        <v>4.2768147693819962</v>
      </c>
    </row>
    <row r="192" spans="1:19" x14ac:dyDescent="0.3">
      <c r="A192" s="10" t="s">
        <v>253</v>
      </c>
      <c r="B192">
        <v>159.97999999999999</v>
      </c>
      <c r="G192" s="7" t="s">
        <v>23</v>
      </c>
      <c r="H192">
        <v>151.995</v>
      </c>
      <c r="J192" t="str">
        <f t="shared" si="36"/>
        <v>2015-Oct</v>
      </c>
      <c r="K192">
        <v>153.78000000000003</v>
      </c>
      <c r="L192">
        <v>44.5</v>
      </c>
      <c r="M192">
        <f t="shared" si="26"/>
        <v>1980.25</v>
      </c>
      <c r="N192">
        <f t="shared" si="27"/>
        <v>6843.2100000000009</v>
      </c>
      <c r="O192">
        <f t="shared" si="28"/>
        <v>159.91915815074711</v>
      </c>
      <c r="P192">
        <f t="shared" si="29"/>
        <v>-6.1391581507470789</v>
      </c>
      <c r="Q192">
        <f t="shared" si="30"/>
        <v>37.689262799884297</v>
      </c>
      <c r="R192">
        <f t="shared" si="31"/>
        <v>2.2163025814971406E-2</v>
      </c>
      <c r="S192">
        <f t="shared" si="32"/>
        <v>2.2163025814971404</v>
      </c>
    </row>
    <row r="193" spans="1:19" x14ac:dyDescent="0.3">
      <c r="A193" s="10" t="s">
        <v>254</v>
      </c>
      <c r="B193">
        <v>156.63</v>
      </c>
      <c r="G193" s="7" t="s">
        <v>24</v>
      </c>
      <c r="H193">
        <v>148.13200000000001</v>
      </c>
      <c r="J193" t="str">
        <f t="shared" si="36"/>
        <v>2015-Nov</v>
      </c>
      <c r="K193">
        <v>162.18</v>
      </c>
      <c r="L193">
        <v>45.5</v>
      </c>
      <c r="M193">
        <f t="shared" si="26"/>
        <v>2070.25</v>
      </c>
      <c r="N193">
        <f t="shared" si="27"/>
        <v>7379.1900000000005</v>
      </c>
      <c r="O193">
        <f t="shared" si="28"/>
        <v>160.6315393903061</v>
      </c>
      <c r="P193">
        <f t="shared" si="29"/>
        <v>1.5484606096939046</v>
      </c>
      <c r="Q193">
        <f t="shared" si="30"/>
        <v>2.3977302597736188</v>
      </c>
      <c r="R193">
        <f t="shared" si="31"/>
        <v>5.5901105043101255E-3</v>
      </c>
      <c r="S193">
        <f t="shared" si="32"/>
        <v>0.55901105043101251</v>
      </c>
    </row>
    <row r="194" spans="1:19" x14ac:dyDescent="0.3">
      <c r="A194" s="10" t="s">
        <v>255</v>
      </c>
      <c r="B194">
        <v>153.18</v>
      </c>
      <c r="G194" s="7" t="s">
        <v>25</v>
      </c>
      <c r="H194">
        <v>156.29500000000002</v>
      </c>
      <c r="J194" t="str">
        <f t="shared" si="36"/>
        <v>2015-Dec</v>
      </c>
      <c r="K194">
        <v>149.13249999999999</v>
      </c>
      <c r="L194">
        <v>46.5</v>
      </c>
      <c r="M194">
        <f t="shared" si="26"/>
        <v>2162.25</v>
      </c>
      <c r="N194">
        <f t="shared" si="27"/>
        <v>6934.6612500000001</v>
      </c>
      <c r="O194">
        <f t="shared" si="28"/>
        <v>161.34392062986507</v>
      </c>
      <c r="P194">
        <f t="shared" si="29"/>
        <v>-12.211420629865074</v>
      </c>
      <c r="Q194">
        <f t="shared" si="30"/>
        <v>149.11879379949434</v>
      </c>
      <c r="R194">
        <f t="shared" si="31"/>
        <v>4.4084551010343226E-2</v>
      </c>
      <c r="S194">
        <f t="shared" si="32"/>
        <v>4.4084551010343223</v>
      </c>
    </row>
    <row r="195" spans="1:19" x14ac:dyDescent="0.3">
      <c r="A195" s="10" t="s">
        <v>256</v>
      </c>
      <c r="B195">
        <v>152.53</v>
      </c>
      <c r="G195" s="7" t="s">
        <v>26</v>
      </c>
      <c r="H195">
        <v>160.97800000000001</v>
      </c>
      <c r="J195" t="str">
        <f>_xlfn.CONCAT($G$211,"-",G212)</f>
        <v>2016-Jan</v>
      </c>
      <c r="K195">
        <v>134.21200000000002</v>
      </c>
      <c r="L195">
        <v>47.5</v>
      </c>
      <c r="M195">
        <f t="shared" si="26"/>
        <v>2256.25</v>
      </c>
      <c r="N195">
        <f t="shared" si="27"/>
        <v>6375.0700000000006</v>
      </c>
      <c r="O195">
        <f t="shared" si="28"/>
        <v>162.05630186942403</v>
      </c>
      <c r="P195">
        <f t="shared" si="29"/>
        <v>-27.844301869424015</v>
      </c>
      <c r="Q195">
        <f t="shared" si="30"/>
        <v>775.3051465956097</v>
      </c>
      <c r="R195">
        <f t="shared" si="31"/>
        <v>0.100520945376982</v>
      </c>
      <c r="S195">
        <f t="shared" si="32"/>
        <v>10.052094537698201</v>
      </c>
    </row>
    <row r="196" spans="1:19" x14ac:dyDescent="0.3">
      <c r="A196" s="10" t="s">
        <v>257</v>
      </c>
      <c r="B196">
        <v>148.12</v>
      </c>
      <c r="G196" s="7" t="s">
        <v>27</v>
      </c>
      <c r="H196">
        <v>173.85500000000002</v>
      </c>
      <c r="J196" t="str">
        <f t="shared" ref="J196:J206" si="37">_xlfn.CONCAT($G$211,"-",G213)</f>
        <v>2016-Feb</v>
      </c>
      <c r="K196">
        <v>131.91249999999999</v>
      </c>
      <c r="L196">
        <v>48.5</v>
      </c>
      <c r="M196">
        <f t="shared" si="26"/>
        <v>2352.25</v>
      </c>
      <c r="N196">
        <f t="shared" si="27"/>
        <v>6397.7562499999995</v>
      </c>
      <c r="O196">
        <f t="shared" si="28"/>
        <v>162.768683108983</v>
      </c>
      <c r="P196">
        <f t="shared" si="29"/>
        <v>-30.856183108983004</v>
      </c>
      <c r="Q196">
        <f t="shared" si="30"/>
        <v>952.10403605508805</v>
      </c>
      <c r="R196">
        <f t="shared" si="31"/>
        <v>0.11139416284831409</v>
      </c>
      <c r="S196">
        <f t="shared" si="32"/>
        <v>11.139416284831409</v>
      </c>
    </row>
    <row r="197" spans="1:19" x14ac:dyDescent="0.3">
      <c r="A197" s="10" t="s">
        <v>258</v>
      </c>
      <c r="B197">
        <v>165.67</v>
      </c>
      <c r="G197" s="7" t="s">
        <v>28</v>
      </c>
      <c r="H197">
        <v>176.98499999999999</v>
      </c>
      <c r="J197" t="str">
        <f t="shared" si="37"/>
        <v>2016-Mar</v>
      </c>
      <c r="K197">
        <v>153.67249999999999</v>
      </c>
      <c r="L197">
        <v>49.5</v>
      </c>
      <c r="M197">
        <f t="shared" si="26"/>
        <v>2450.25</v>
      </c>
      <c r="N197">
        <f t="shared" si="27"/>
        <v>7606.7887499999997</v>
      </c>
      <c r="O197">
        <f t="shared" si="28"/>
        <v>163.48106434854196</v>
      </c>
      <c r="P197">
        <f t="shared" si="29"/>
        <v>-9.808564348541978</v>
      </c>
      <c r="Q197">
        <f t="shared" si="30"/>
        <v>96.207934579488722</v>
      </c>
      <c r="R197">
        <f t="shared" si="31"/>
        <v>3.5409979597624472E-2</v>
      </c>
      <c r="S197">
        <f t="shared" si="32"/>
        <v>3.5409979597624472</v>
      </c>
    </row>
    <row r="198" spans="1:19" x14ac:dyDescent="0.3">
      <c r="A198" s="10" t="s">
        <v>259</v>
      </c>
      <c r="B198">
        <v>156.61000000000001</v>
      </c>
      <c r="G198" s="4" t="s">
        <v>53</v>
      </c>
      <c r="H198">
        <v>165.52365384615379</v>
      </c>
      <c r="J198" t="str">
        <f t="shared" si="37"/>
        <v>2016-Apr</v>
      </c>
      <c r="K198">
        <v>164.88399999999999</v>
      </c>
      <c r="L198">
        <v>50.5</v>
      </c>
      <c r="M198">
        <f t="shared" si="26"/>
        <v>2550.25</v>
      </c>
      <c r="N198">
        <f t="shared" si="27"/>
        <v>8326.6419999999998</v>
      </c>
      <c r="O198">
        <f t="shared" si="28"/>
        <v>164.19344558810093</v>
      </c>
      <c r="P198">
        <f t="shared" si="29"/>
        <v>0.69055441189905764</v>
      </c>
      <c r="Q198">
        <f t="shared" si="30"/>
        <v>0.47686539579325338</v>
      </c>
      <c r="R198">
        <f t="shared" si="31"/>
        <v>2.4929762162420855E-3</v>
      </c>
      <c r="S198">
        <f t="shared" si="32"/>
        <v>0.24929762162420854</v>
      </c>
    </row>
    <row r="199" spans="1:19" x14ac:dyDescent="0.3">
      <c r="A199" s="10" t="s">
        <v>260</v>
      </c>
      <c r="B199">
        <v>160.05000000000001</v>
      </c>
      <c r="G199" s="7" t="s">
        <v>30</v>
      </c>
      <c r="H199">
        <v>173.398</v>
      </c>
      <c r="J199" t="str">
        <f t="shared" si="37"/>
        <v>2016-May</v>
      </c>
      <c r="K199">
        <v>161.2225</v>
      </c>
      <c r="L199">
        <v>51.5</v>
      </c>
      <c r="M199">
        <f t="shared" si="26"/>
        <v>2652.25</v>
      </c>
      <c r="N199">
        <f t="shared" si="27"/>
        <v>8302.9587499999998</v>
      </c>
      <c r="O199">
        <f t="shared" si="28"/>
        <v>164.90582682765989</v>
      </c>
      <c r="P199">
        <f t="shared" si="29"/>
        <v>-3.6833268276598972</v>
      </c>
      <c r="Q199">
        <f t="shared" si="30"/>
        <v>13.566896519359121</v>
      </c>
      <c r="R199">
        <f t="shared" si="31"/>
        <v>1.3297208764115153E-2</v>
      </c>
      <c r="S199">
        <f t="shared" si="32"/>
        <v>1.3297208764115154</v>
      </c>
    </row>
    <row r="200" spans="1:19" x14ac:dyDescent="0.3">
      <c r="A200" s="10" t="s">
        <v>261</v>
      </c>
      <c r="B200">
        <v>156.55000000000001</v>
      </c>
      <c r="G200" s="7" t="s">
        <v>31</v>
      </c>
      <c r="H200">
        <v>176.3</v>
      </c>
      <c r="J200" t="str">
        <f t="shared" si="37"/>
        <v>2016-Jun</v>
      </c>
      <c r="K200">
        <v>159.3775</v>
      </c>
      <c r="L200">
        <v>52.5</v>
      </c>
      <c r="M200">
        <f t="shared" si="26"/>
        <v>2756.25</v>
      </c>
      <c r="N200">
        <f t="shared" si="27"/>
        <v>8367.3187500000004</v>
      </c>
      <c r="O200">
        <f t="shared" si="28"/>
        <v>165.61820806721886</v>
      </c>
      <c r="P200">
        <f t="shared" si="29"/>
        <v>-6.2407080672188613</v>
      </c>
      <c r="Q200">
        <f t="shared" si="30"/>
        <v>38.946437180250577</v>
      </c>
      <c r="R200">
        <f t="shared" si="31"/>
        <v>2.2529632011620438E-2</v>
      </c>
      <c r="S200">
        <f t="shared" si="32"/>
        <v>2.2529632011620437</v>
      </c>
    </row>
    <row r="201" spans="1:19" x14ac:dyDescent="0.3">
      <c r="A201" s="10" t="s">
        <v>262</v>
      </c>
      <c r="B201">
        <v>158.33000000000001</v>
      </c>
      <c r="G201" s="7" t="s">
        <v>19</v>
      </c>
      <c r="H201">
        <v>170.785</v>
      </c>
      <c r="J201" t="str">
        <f t="shared" si="37"/>
        <v>2016-Jul</v>
      </c>
      <c r="K201">
        <v>158.66400000000002</v>
      </c>
      <c r="L201">
        <v>53.5</v>
      </c>
      <c r="M201">
        <f t="shared" si="26"/>
        <v>2862.25</v>
      </c>
      <c r="N201">
        <f t="shared" si="27"/>
        <v>8488.5240000000013</v>
      </c>
      <c r="O201">
        <f t="shared" si="28"/>
        <v>166.33058930677785</v>
      </c>
      <c r="P201">
        <f t="shared" si="29"/>
        <v>-7.666589306777837</v>
      </c>
      <c r="Q201">
        <f t="shared" si="30"/>
        <v>58.776591598800273</v>
      </c>
      <c r="R201">
        <f t="shared" si="31"/>
        <v>2.7677217713999412E-2</v>
      </c>
      <c r="S201">
        <f t="shared" si="32"/>
        <v>2.7677217713999411</v>
      </c>
    </row>
    <row r="202" spans="1:19" x14ac:dyDescent="0.3">
      <c r="A202" s="10" t="s">
        <v>263</v>
      </c>
      <c r="B202">
        <v>163.22</v>
      </c>
      <c r="G202" s="7" t="s">
        <v>20</v>
      </c>
      <c r="H202">
        <v>169.63499999999999</v>
      </c>
      <c r="J202" t="str">
        <f t="shared" si="37"/>
        <v>2016-Aug</v>
      </c>
      <c r="K202">
        <v>165.4975</v>
      </c>
      <c r="L202">
        <v>54.5</v>
      </c>
      <c r="M202">
        <f t="shared" ref="M202:M265" si="38">L202*L202</f>
        <v>2970.25</v>
      </c>
      <c r="N202">
        <f t="shared" ref="N202:N265" si="39">L202*K202</f>
        <v>9019.6137500000004</v>
      </c>
      <c r="O202">
        <f t="shared" ref="O202:O265" si="40">$I$2+$I$3*L202</f>
        <v>167.04297054633682</v>
      </c>
      <c r="P202">
        <f t="shared" ref="P202:P265" si="41">K202-O202</f>
        <v>-1.5454705463368157</v>
      </c>
      <c r="Q202">
        <f t="shared" ref="Q202:Q265" si="42">P202*P202</f>
        <v>2.3884792095946157</v>
      </c>
      <c r="R202">
        <f t="shared" ref="R202:R265" si="43">ABS(P202)/$J$1</f>
        <v>5.5793160517574577E-3</v>
      </c>
      <c r="S202">
        <f t="shared" ref="S202:S265" si="44">R202*100</f>
        <v>0.5579316051757458</v>
      </c>
    </row>
    <row r="203" spans="1:19" x14ac:dyDescent="0.3">
      <c r="A203" s="10" t="s">
        <v>264</v>
      </c>
      <c r="B203">
        <v>156.52000000000001</v>
      </c>
      <c r="G203" s="7" t="s">
        <v>21</v>
      </c>
      <c r="H203">
        <v>173.72399999999999</v>
      </c>
      <c r="J203" t="str">
        <f t="shared" si="37"/>
        <v>2016-Sep</v>
      </c>
      <c r="K203">
        <v>166.85999999999999</v>
      </c>
      <c r="L203">
        <v>55.5</v>
      </c>
      <c r="M203">
        <f t="shared" si="38"/>
        <v>3080.25</v>
      </c>
      <c r="N203">
        <f t="shared" si="39"/>
        <v>9260.73</v>
      </c>
      <c r="O203">
        <f t="shared" si="40"/>
        <v>167.75535178589578</v>
      </c>
      <c r="P203">
        <f t="shared" si="41"/>
        <v>-0.895351785895798</v>
      </c>
      <c r="Q203">
        <f t="shared" si="42"/>
        <v>0.80165482050679493</v>
      </c>
      <c r="R203">
        <f t="shared" si="43"/>
        <v>3.2323169165913287E-3</v>
      </c>
      <c r="S203">
        <f t="shared" si="44"/>
        <v>0.32323169165913285</v>
      </c>
    </row>
    <row r="204" spans="1:19" x14ac:dyDescent="0.3">
      <c r="A204" s="10" t="s">
        <v>265</v>
      </c>
      <c r="B204">
        <v>158.09</v>
      </c>
      <c r="G204" s="7" t="s">
        <v>22</v>
      </c>
      <c r="H204">
        <v>178.86750000000001</v>
      </c>
      <c r="J204" t="str">
        <f t="shared" si="37"/>
        <v>2016-Oct</v>
      </c>
      <c r="K204">
        <v>172.10999999999999</v>
      </c>
      <c r="L204">
        <v>56.5</v>
      </c>
      <c r="M204">
        <f t="shared" si="38"/>
        <v>3192.25</v>
      </c>
      <c r="N204">
        <f t="shared" si="39"/>
        <v>9724.2149999999983</v>
      </c>
      <c r="O204">
        <f t="shared" si="40"/>
        <v>168.46773302545475</v>
      </c>
      <c r="P204">
        <f t="shared" si="41"/>
        <v>3.6422669745452367</v>
      </c>
      <c r="Q204">
        <f t="shared" si="42"/>
        <v>13.266108713862913</v>
      </c>
      <c r="R204">
        <f t="shared" si="43"/>
        <v>1.3148978247455728E-2</v>
      </c>
      <c r="S204">
        <f t="shared" si="44"/>
        <v>1.3148978247455729</v>
      </c>
    </row>
    <row r="205" spans="1:19" x14ac:dyDescent="0.3">
      <c r="A205" s="10" t="s">
        <v>266</v>
      </c>
      <c r="B205">
        <v>149.91</v>
      </c>
      <c r="G205" s="7" t="s">
        <v>23</v>
      </c>
      <c r="H205">
        <v>169.07</v>
      </c>
      <c r="J205" t="str">
        <f t="shared" si="37"/>
        <v>2016-Nov</v>
      </c>
      <c r="K205">
        <v>184.32749999999999</v>
      </c>
      <c r="L205">
        <v>57.5</v>
      </c>
      <c r="M205">
        <f t="shared" si="38"/>
        <v>3306.25</v>
      </c>
      <c r="N205">
        <f t="shared" si="39"/>
        <v>10598.831249999999</v>
      </c>
      <c r="O205">
        <f t="shared" si="40"/>
        <v>169.18011426501371</v>
      </c>
      <c r="P205">
        <f t="shared" si="41"/>
        <v>15.147385734986273</v>
      </c>
      <c r="Q205">
        <f t="shared" si="42"/>
        <v>229.44329460446562</v>
      </c>
      <c r="R205">
        <f t="shared" si="43"/>
        <v>5.4683703014390878E-2</v>
      </c>
      <c r="S205">
        <f t="shared" si="44"/>
        <v>5.4683703014390881</v>
      </c>
    </row>
    <row r="206" spans="1:19" x14ac:dyDescent="0.3">
      <c r="A206" s="10" t="s">
        <v>267</v>
      </c>
      <c r="B206">
        <v>145.54</v>
      </c>
      <c r="G206" s="7" t="s">
        <v>24</v>
      </c>
      <c r="H206">
        <v>160.08249999999998</v>
      </c>
      <c r="J206" t="str">
        <f t="shared" si="37"/>
        <v>2016-Dec</v>
      </c>
      <c r="K206">
        <v>192.78800000000001</v>
      </c>
      <c r="L206">
        <v>58.5</v>
      </c>
      <c r="M206">
        <f t="shared" si="38"/>
        <v>3422.25</v>
      </c>
      <c r="N206">
        <f t="shared" si="39"/>
        <v>11278.098</v>
      </c>
      <c r="O206">
        <f t="shared" si="40"/>
        <v>169.89249550457271</v>
      </c>
      <c r="P206">
        <f t="shared" si="41"/>
        <v>22.895504495427303</v>
      </c>
      <c r="Q206">
        <f t="shared" si="42"/>
        <v>524.20412610013182</v>
      </c>
      <c r="R206">
        <f t="shared" si="43"/>
        <v>8.2655250886019146E-2</v>
      </c>
      <c r="S206">
        <f t="shared" si="44"/>
        <v>8.2655250886019154</v>
      </c>
    </row>
    <row r="207" spans="1:19" x14ac:dyDescent="0.3">
      <c r="A207" s="10" t="s">
        <v>268</v>
      </c>
      <c r="B207">
        <v>143</v>
      </c>
      <c r="G207" s="7" t="s">
        <v>25</v>
      </c>
      <c r="H207">
        <v>147.36000000000001</v>
      </c>
      <c r="J207" t="str">
        <f>_xlfn.CONCAT($G$224,"-",G225)</f>
        <v>2017-Jan</v>
      </c>
      <c r="K207">
        <v>189.72749999999999</v>
      </c>
      <c r="L207">
        <v>59.5</v>
      </c>
      <c r="M207">
        <f t="shared" si="38"/>
        <v>3540.25</v>
      </c>
      <c r="N207">
        <f t="shared" si="39"/>
        <v>11288.786249999999</v>
      </c>
      <c r="O207">
        <f t="shared" si="40"/>
        <v>170.60487674413167</v>
      </c>
      <c r="P207">
        <f t="shared" si="41"/>
        <v>19.122623255868319</v>
      </c>
      <c r="Q207">
        <f t="shared" si="42"/>
        <v>365.67472018587586</v>
      </c>
      <c r="R207">
        <f t="shared" si="43"/>
        <v>6.9034740995914515E-2</v>
      </c>
      <c r="S207">
        <f t="shared" si="44"/>
        <v>6.9034740995914516</v>
      </c>
    </row>
    <row r="208" spans="1:19" x14ac:dyDescent="0.3">
      <c r="A208" s="10" t="s">
        <v>269</v>
      </c>
      <c r="B208">
        <v>144.96</v>
      </c>
      <c r="G208" s="7" t="s">
        <v>26</v>
      </c>
      <c r="H208">
        <v>153.78000000000003</v>
      </c>
      <c r="J208" t="str">
        <f t="shared" ref="J208:J218" si="45">_xlfn.CONCAT($G$224,"-",G226)</f>
        <v>2017-Feb</v>
      </c>
      <c r="K208">
        <v>191.47000000000003</v>
      </c>
      <c r="L208">
        <v>60.5</v>
      </c>
      <c r="M208">
        <f t="shared" si="38"/>
        <v>3660.25</v>
      </c>
      <c r="N208">
        <f t="shared" si="39"/>
        <v>11583.935000000001</v>
      </c>
      <c r="O208">
        <f t="shared" si="40"/>
        <v>171.31725798369064</v>
      </c>
      <c r="P208">
        <f t="shared" si="41"/>
        <v>20.152742016309389</v>
      </c>
      <c r="Q208">
        <f t="shared" si="42"/>
        <v>406.13301077592183</v>
      </c>
      <c r="R208">
        <f t="shared" si="43"/>
        <v>7.2753581286315483E-2</v>
      </c>
      <c r="S208">
        <f t="shared" si="44"/>
        <v>7.2753581286315487</v>
      </c>
    </row>
    <row r="209" spans="1:19" x14ac:dyDescent="0.3">
      <c r="A209" s="10" t="s">
        <v>270</v>
      </c>
      <c r="B209">
        <v>148.78</v>
      </c>
      <c r="G209" s="7" t="s">
        <v>27</v>
      </c>
      <c r="H209">
        <v>162.18</v>
      </c>
      <c r="J209" t="str">
        <f t="shared" si="45"/>
        <v>2017-Mar</v>
      </c>
      <c r="K209">
        <v>192.87200000000001</v>
      </c>
      <c r="L209">
        <v>61.5</v>
      </c>
      <c r="M209">
        <f t="shared" si="38"/>
        <v>3782.25</v>
      </c>
      <c r="N209">
        <f t="shared" si="39"/>
        <v>11861.628000000001</v>
      </c>
      <c r="O209">
        <f t="shared" si="40"/>
        <v>172.0296392232496</v>
      </c>
      <c r="P209">
        <f t="shared" si="41"/>
        <v>20.842360776750411</v>
      </c>
      <c r="Q209">
        <f t="shared" si="42"/>
        <v>434.404002748224</v>
      </c>
      <c r="R209">
        <f t="shared" si="43"/>
        <v>7.5243179699459969E-2</v>
      </c>
      <c r="S209">
        <f t="shared" si="44"/>
        <v>7.5243179699459972</v>
      </c>
    </row>
    <row r="210" spans="1:19" x14ac:dyDescent="0.3">
      <c r="A210" s="10" t="s">
        <v>271</v>
      </c>
      <c r="B210">
        <v>174.1</v>
      </c>
      <c r="G210" s="7" t="s">
        <v>28</v>
      </c>
      <c r="H210">
        <v>149.13249999999999</v>
      </c>
      <c r="J210" t="str">
        <f t="shared" si="45"/>
        <v>2017-Apr</v>
      </c>
      <c r="K210">
        <v>188.59</v>
      </c>
      <c r="L210">
        <v>62.5</v>
      </c>
      <c r="M210">
        <f t="shared" si="38"/>
        <v>3906.25</v>
      </c>
      <c r="N210">
        <f t="shared" si="39"/>
        <v>11786.875</v>
      </c>
      <c r="O210">
        <f t="shared" si="40"/>
        <v>172.74202046280857</v>
      </c>
      <c r="P210">
        <f t="shared" si="41"/>
        <v>15.847979537191435</v>
      </c>
      <c r="Q210">
        <f t="shared" si="42"/>
        <v>251.15845541123844</v>
      </c>
      <c r="R210">
        <f t="shared" si="43"/>
        <v>5.721292251693659E-2</v>
      </c>
      <c r="S210">
        <f t="shared" si="44"/>
        <v>5.7212922516936588</v>
      </c>
    </row>
    <row r="211" spans="1:19" x14ac:dyDescent="0.3">
      <c r="A211" s="10" t="s">
        <v>272</v>
      </c>
      <c r="B211">
        <v>161.87</v>
      </c>
      <c r="G211" s="4" t="s">
        <v>54</v>
      </c>
      <c r="H211">
        <v>162.25509433962264</v>
      </c>
      <c r="J211" t="str">
        <f t="shared" si="45"/>
        <v>2017-May</v>
      </c>
      <c r="K211">
        <v>191.92749999999998</v>
      </c>
      <c r="L211">
        <v>63.5</v>
      </c>
      <c r="M211">
        <f t="shared" si="38"/>
        <v>4032.25</v>
      </c>
      <c r="N211">
        <f t="shared" si="39"/>
        <v>12187.396249999998</v>
      </c>
      <c r="O211">
        <f t="shared" si="40"/>
        <v>173.45440170236753</v>
      </c>
      <c r="P211">
        <f t="shared" si="41"/>
        <v>18.473098297632447</v>
      </c>
      <c r="Q211">
        <f t="shared" si="42"/>
        <v>341.2553607139908</v>
      </c>
      <c r="R211">
        <f t="shared" si="43"/>
        <v>6.6689885551019665E-2</v>
      </c>
      <c r="S211">
        <f t="shared" si="44"/>
        <v>6.6689885551019668</v>
      </c>
    </row>
    <row r="212" spans="1:19" x14ac:dyDescent="0.3">
      <c r="A212" s="10" t="s">
        <v>273</v>
      </c>
      <c r="B212">
        <v>158.61000000000001</v>
      </c>
      <c r="G212" s="7" t="s">
        <v>30</v>
      </c>
      <c r="H212">
        <v>134.21200000000002</v>
      </c>
      <c r="J212" t="str">
        <f t="shared" si="45"/>
        <v>2017-Jun</v>
      </c>
      <c r="K212">
        <v>210.53800000000001</v>
      </c>
      <c r="L212">
        <v>64.5</v>
      </c>
      <c r="M212">
        <f t="shared" si="38"/>
        <v>4160.25</v>
      </c>
      <c r="N212">
        <f t="shared" si="39"/>
        <v>13579.701000000001</v>
      </c>
      <c r="O212">
        <f t="shared" si="40"/>
        <v>174.1667829419265</v>
      </c>
      <c r="P212">
        <f t="shared" si="41"/>
        <v>36.371217058073512</v>
      </c>
      <c r="Q212">
        <f t="shared" si="42"/>
        <v>1322.8654302854977</v>
      </c>
      <c r="R212">
        <f t="shared" si="43"/>
        <v>0.13130403270062641</v>
      </c>
      <c r="S212">
        <f t="shared" si="44"/>
        <v>13.13040327006264</v>
      </c>
    </row>
    <row r="213" spans="1:19" x14ac:dyDescent="0.3">
      <c r="A213" s="10" t="s">
        <v>274</v>
      </c>
      <c r="B213">
        <v>151.97</v>
      </c>
      <c r="G213" s="7" t="s">
        <v>31</v>
      </c>
      <c r="H213">
        <v>131.91249999999999</v>
      </c>
      <c r="J213" t="str">
        <f t="shared" si="45"/>
        <v>2017-Jul</v>
      </c>
      <c r="K213">
        <v>214.52999999999997</v>
      </c>
      <c r="L213">
        <v>65.5</v>
      </c>
      <c r="M213">
        <f t="shared" si="38"/>
        <v>4290.25</v>
      </c>
      <c r="N213">
        <f t="shared" si="39"/>
        <v>14051.714999999998</v>
      </c>
      <c r="O213">
        <f t="shared" si="40"/>
        <v>174.87916418148546</v>
      </c>
      <c r="P213">
        <f t="shared" si="41"/>
        <v>39.650835818514508</v>
      </c>
      <c r="Q213">
        <f t="shared" si="42"/>
        <v>1572.1887811067932</v>
      </c>
      <c r="R213">
        <f t="shared" si="43"/>
        <v>0.14314381161918596</v>
      </c>
      <c r="S213">
        <f t="shared" si="44"/>
        <v>14.314381161918597</v>
      </c>
    </row>
    <row r="214" spans="1:19" x14ac:dyDescent="0.3">
      <c r="A214" s="10" t="s">
        <v>275</v>
      </c>
      <c r="B214">
        <v>156</v>
      </c>
      <c r="G214" s="7" t="s">
        <v>19</v>
      </c>
      <c r="H214">
        <v>153.67249999999999</v>
      </c>
      <c r="J214" t="str">
        <f t="shared" si="45"/>
        <v>2017-Aug</v>
      </c>
      <c r="K214">
        <v>206.98750000000001</v>
      </c>
      <c r="L214">
        <v>66.5</v>
      </c>
      <c r="M214">
        <f t="shared" si="38"/>
        <v>4422.25</v>
      </c>
      <c r="N214">
        <f t="shared" si="39"/>
        <v>13764.668750000001</v>
      </c>
      <c r="O214">
        <f t="shared" si="40"/>
        <v>175.59154542104443</v>
      </c>
      <c r="P214">
        <f t="shared" si="41"/>
        <v>31.395954578955582</v>
      </c>
      <c r="Q214">
        <f t="shared" si="42"/>
        <v>985.70596392384198</v>
      </c>
      <c r="R214">
        <f t="shared" si="43"/>
        <v>0.11334279631391907</v>
      </c>
      <c r="S214">
        <f t="shared" si="44"/>
        <v>11.334279631391906</v>
      </c>
    </row>
    <row r="215" spans="1:19" x14ac:dyDescent="0.3">
      <c r="A215" s="10" t="s">
        <v>276</v>
      </c>
      <c r="B215">
        <v>162.13</v>
      </c>
      <c r="G215" s="7" t="s">
        <v>20</v>
      </c>
      <c r="H215">
        <v>164.88399999999999</v>
      </c>
      <c r="J215" t="str">
        <f t="shared" si="45"/>
        <v>2017-Sep</v>
      </c>
      <c r="K215">
        <v>217.18800000000002</v>
      </c>
      <c r="L215">
        <v>67.5</v>
      </c>
      <c r="M215">
        <f t="shared" si="38"/>
        <v>4556.25</v>
      </c>
      <c r="N215">
        <f t="shared" si="39"/>
        <v>14660.19</v>
      </c>
      <c r="O215">
        <f t="shared" si="40"/>
        <v>176.30392666060342</v>
      </c>
      <c r="P215">
        <f t="shared" si="41"/>
        <v>40.884073339396593</v>
      </c>
      <c r="Q215">
        <f t="shared" si="42"/>
        <v>1671.5074528211594</v>
      </c>
      <c r="R215">
        <f t="shared" si="43"/>
        <v>0.1475959326332007</v>
      </c>
      <c r="S215">
        <f t="shared" si="44"/>
        <v>14.75959326332007</v>
      </c>
    </row>
    <row r="216" spans="1:19" x14ac:dyDescent="0.3">
      <c r="A216" s="10" t="s">
        <v>277</v>
      </c>
      <c r="B216">
        <v>163.72999999999999</v>
      </c>
      <c r="G216" s="7" t="s">
        <v>21</v>
      </c>
      <c r="H216">
        <v>161.2225</v>
      </c>
      <c r="J216" t="str">
        <f t="shared" si="45"/>
        <v>2017-Oct</v>
      </c>
      <c r="K216">
        <v>224.64</v>
      </c>
      <c r="L216">
        <v>68.5</v>
      </c>
      <c r="M216">
        <f t="shared" si="38"/>
        <v>4692.25</v>
      </c>
      <c r="N216">
        <f t="shared" si="39"/>
        <v>15387.839999999998</v>
      </c>
      <c r="O216">
        <f t="shared" si="40"/>
        <v>177.01630790016239</v>
      </c>
      <c r="P216">
        <f t="shared" si="41"/>
        <v>47.623692099837598</v>
      </c>
      <c r="Q216">
        <f t="shared" si="42"/>
        <v>2268.0160492201339</v>
      </c>
      <c r="R216">
        <f t="shared" si="43"/>
        <v>0.17192668628100216</v>
      </c>
      <c r="S216">
        <f t="shared" si="44"/>
        <v>17.192668628100215</v>
      </c>
    </row>
    <row r="217" spans="1:19" x14ac:dyDescent="0.3">
      <c r="A217" s="10" t="s">
        <v>278</v>
      </c>
      <c r="B217">
        <v>174.94</v>
      </c>
      <c r="G217" s="7" t="s">
        <v>22</v>
      </c>
      <c r="H217">
        <v>159.3775</v>
      </c>
      <c r="J217" t="str">
        <f t="shared" si="45"/>
        <v>2017-Nov</v>
      </c>
      <c r="K217">
        <v>218.8475</v>
      </c>
      <c r="L217">
        <v>69.5</v>
      </c>
      <c r="M217">
        <f t="shared" si="38"/>
        <v>4830.25</v>
      </c>
      <c r="N217">
        <f t="shared" si="39"/>
        <v>15209.901249999999</v>
      </c>
      <c r="O217">
        <f t="shared" si="40"/>
        <v>177.72868913972135</v>
      </c>
      <c r="P217">
        <f t="shared" si="41"/>
        <v>41.118810860278643</v>
      </c>
      <c r="Q217">
        <f t="shared" si="42"/>
        <v>1690.7566065633689</v>
      </c>
      <c r="R217">
        <f t="shared" si="43"/>
        <v>0.1484433605064211</v>
      </c>
      <c r="S217">
        <f t="shared" si="44"/>
        <v>14.844336050642109</v>
      </c>
    </row>
    <row r="218" spans="1:19" x14ac:dyDescent="0.3">
      <c r="A218" s="10" t="s">
        <v>279</v>
      </c>
      <c r="B218">
        <v>167.13</v>
      </c>
      <c r="G218" s="7" t="s">
        <v>23</v>
      </c>
      <c r="H218">
        <v>158.66400000000002</v>
      </c>
      <c r="J218" t="str">
        <f t="shared" si="45"/>
        <v>2017-Dec</v>
      </c>
      <c r="K218">
        <v>242.23600000000002</v>
      </c>
      <c r="L218">
        <v>70.5</v>
      </c>
      <c r="M218">
        <f t="shared" si="38"/>
        <v>4970.25</v>
      </c>
      <c r="N218">
        <f t="shared" si="39"/>
        <v>17077.638000000003</v>
      </c>
      <c r="O218">
        <f t="shared" si="40"/>
        <v>178.44107037928032</v>
      </c>
      <c r="P218">
        <f t="shared" si="41"/>
        <v>63.794929620719699</v>
      </c>
      <c r="Q218">
        <f t="shared" si="42"/>
        <v>4069.7930453125796</v>
      </c>
      <c r="R218">
        <f t="shared" si="43"/>
        <v>0.23030660512895199</v>
      </c>
      <c r="S218">
        <f t="shared" si="44"/>
        <v>23.030660512895199</v>
      </c>
    </row>
    <row r="219" spans="1:19" x14ac:dyDescent="0.3">
      <c r="A219" s="10" t="s">
        <v>280</v>
      </c>
      <c r="B219">
        <v>167.47</v>
      </c>
      <c r="G219" s="7" t="s">
        <v>24</v>
      </c>
      <c r="H219">
        <v>165.4975</v>
      </c>
      <c r="J219" t="str">
        <f>_xlfn.CONCAT($G$237,"-",G238)</f>
        <v>2018-Jan</v>
      </c>
      <c r="K219">
        <v>270.23500000000001</v>
      </c>
      <c r="L219">
        <v>71.5</v>
      </c>
      <c r="M219">
        <f t="shared" si="38"/>
        <v>5112.25</v>
      </c>
      <c r="N219">
        <f t="shared" si="39"/>
        <v>19321.802500000002</v>
      </c>
      <c r="O219">
        <f t="shared" si="40"/>
        <v>179.15345161883928</v>
      </c>
      <c r="P219">
        <f t="shared" si="41"/>
        <v>91.081548381160729</v>
      </c>
      <c r="Q219">
        <f t="shared" si="42"/>
        <v>8295.848455509722</v>
      </c>
      <c r="R219">
        <f t="shared" si="43"/>
        <v>0.32881425408361276</v>
      </c>
      <c r="S219">
        <f t="shared" si="44"/>
        <v>32.881425408361274</v>
      </c>
    </row>
    <row r="220" spans="1:19" x14ac:dyDescent="0.3">
      <c r="A220" s="10" t="s">
        <v>281</v>
      </c>
      <c r="B220">
        <v>161.97</v>
      </c>
      <c r="G220" s="7" t="s">
        <v>25</v>
      </c>
      <c r="H220">
        <v>166.85999999999999</v>
      </c>
      <c r="J220" t="str">
        <f t="shared" ref="J220:J230" si="46">_xlfn.CONCAT($G$237,"-",G239)</f>
        <v>2018-Feb</v>
      </c>
      <c r="K220">
        <v>246.9</v>
      </c>
      <c r="L220">
        <v>72.5</v>
      </c>
      <c r="M220">
        <f t="shared" si="38"/>
        <v>5256.25</v>
      </c>
      <c r="N220">
        <f t="shared" si="39"/>
        <v>17900.25</v>
      </c>
      <c r="O220">
        <f t="shared" si="40"/>
        <v>179.86583285839828</v>
      </c>
      <c r="P220">
        <f t="shared" si="41"/>
        <v>67.034167141601728</v>
      </c>
      <c r="Q220">
        <f t="shared" si="42"/>
        <v>4493.5795643681968</v>
      </c>
      <c r="R220">
        <f t="shared" si="43"/>
        <v>0.24200060339928423</v>
      </c>
      <c r="S220">
        <f t="shared" si="44"/>
        <v>24.200060339928424</v>
      </c>
    </row>
    <row r="221" spans="1:19" x14ac:dyDescent="0.3">
      <c r="A221" s="10" t="s">
        <v>282</v>
      </c>
      <c r="B221">
        <v>164.19</v>
      </c>
      <c r="G221" s="7" t="s">
        <v>26</v>
      </c>
      <c r="H221">
        <v>172.10999999999999</v>
      </c>
      <c r="J221" t="str">
        <f t="shared" si="46"/>
        <v>2018-Mar</v>
      </c>
      <c r="K221">
        <v>242.01</v>
      </c>
      <c r="L221">
        <v>73.5</v>
      </c>
      <c r="M221">
        <f t="shared" si="38"/>
        <v>5402.25</v>
      </c>
      <c r="N221">
        <f t="shared" si="39"/>
        <v>17787.735000000001</v>
      </c>
      <c r="O221">
        <f t="shared" si="40"/>
        <v>180.57821409795724</v>
      </c>
      <c r="P221">
        <f t="shared" si="41"/>
        <v>61.431785902042748</v>
      </c>
      <c r="Q221">
        <f t="shared" si="42"/>
        <v>3773.8643191144179</v>
      </c>
      <c r="R221">
        <f t="shared" si="43"/>
        <v>0.22177540036838536</v>
      </c>
      <c r="S221">
        <f t="shared" si="44"/>
        <v>22.177540036838536</v>
      </c>
    </row>
    <row r="222" spans="1:19" x14ac:dyDescent="0.3">
      <c r="A222" s="10" t="s">
        <v>283</v>
      </c>
      <c r="B222">
        <v>165.35</v>
      </c>
      <c r="G222" s="7" t="s">
        <v>27</v>
      </c>
      <c r="H222">
        <v>184.32749999999999</v>
      </c>
      <c r="J222" t="str">
        <f t="shared" si="46"/>
        <v>2018-Apr</v>
      </c>
      <c r="K222">
        <v>244.0575</v>
      </c>
      <c r="L222">
        <v>74.5</v>
      </c>
      <c r="M222">
        <f t="shared" si="38"/>
        <v>5550.25</v>
      </c>
      <c r="N222">
        <f t="shared" si="39"/>
        <v>18182.283749999999</v>
      </c>
      <c r="O222">
        <f t="shared" si="40"/>
        <v>181.29059533751621</v>
      </c>
      <c r="P222">
        <f t="shared" si="41"/>
        <v>62.766904662483796</v>
      </c>
      <c r="Q222">
        <f t="shared" si="42"/>
        <v>3939.6843209093299</v>
      </c>
      <c r="R222">
        <f t="shared" si="43"/>
        <v>0.22659532369127725</v>
      </c>
      <c r="S222">
        <f t="shared" si="44"/>
        <v>22.659532369127724</v>
      </c>
    </row>
    <row r="223" spans="1:19" x14ac:dyDescent="0.3">
      <c r="A223" s="10" t="s">
        <v>284</v>
      </c>
      <c r="B223">
        <v>164.55</v>
      </c>
      <c r="G223" s="7" t="s">
        <v>28</v>
      </c>
      <c r="H223">
        <v>192.78800000000001</v>
      </c>
      <c r="J223" t="str">
        <f t="shared" si="46"/>
        <v>2018-May</v>
      </c>
      <c r="K223">
        <v>249.19749999999999</v>
      </c>
      <c r="L223">
        <v>75.5</v>
      </c>
      <c r="M223">
        <f t="shared" si="38"/>
        <v>5700.25</v>
      </c>
      <c r="N223">
        <f t="shared" si="39"/>
        <v>18814.411250000001</v>
      </c>
      <c r="O223">
        <f t="shared" si="40"/>
        <v>182.00297657707517</v>
      </c>
      <c r="P223">
        <f t="shared" si="41"/>
        <v>67.194523422924817</v>
      </c>
      <c r="Q223">
        <f t="shared" si="42"/>
        <v>4515.1039780339916</v>
      </c>
      <c r="R223">
        <f t="shared" si="43"/>
        <v>0.24257950694196684</v>
      </c>
      <c r="S223">
        <f t="shared" si="44"/>
        <v>24.257950694196683</v>
      </c>
    </row>
    <row r="224" spans="1:19" x14ac:dyDescent="0.3">
      <c r="A224" s="10" t="s">
        <v>285</v>
      </c>
      <c r="B224">
        <v>158.02000000000001</v>
      </c>
      <c r="G224" s="4" t="s">
        <v>18</v>
      </c>
      <c r="H224">
        <v>208.09711538461536</v>
      </c>
      <c r="J224" t="str">
        <f t="shared" si="46"/>
        <v>2018-Jun</v>
      </c>
      <c r="K224">
        <v>249.42800000000003</v>
      </c>
      <c r="L224">
        <v>76.5</v>
      </c>
      <c r="M224">
        <f t="shared" si="38"/>
        <v>5852.25</v>
      </c>
      <c r="N224">
        <f t="shared" si="39"/>
        <v>19081.242000000002</v>
      </c>
      <c r="O224">
        <f t="shared" si="40"/>
        <v>182.71535781663414</v>
      </c>
      <c r="P224">
        <f t="shared" si="41"/>
        <v>66.712642183365887</v>
      </c>
      <c r="Q224">
        <f t="shared" si="42"/>
        <v>4450.5766270858094</v>
      </c>
      <c r="R224">
        <f t="shared" si="43"/>
        <v>0.24083986347785519</v>
      </c>
      <c r="S224">
        <f t="shared" si="44"/>
        <v>24.083986347785519</v>
      </c>
    </row>
    <row r="225" spans="1:19" x14ac:dyDescent="0.3">
      <c r="A225" s="10" t="s">
        <v>286</v>
      </c>
      <c r="B225">
        <v>154.28</v>
      </c>
      <c r="G225" s="7" t="s">
        <v>30</v>
      </c>
      <c r="H225">
        <v>189.72749999999999</v>
      </c>
      <c r="J225" t="str">
        <f t="shared" si="46"/>
        <v>2018-Jul</v>
      </c>
      <c r="K225">
        <v>234.44749999999999</v>
      </c>
      <c r="L225">
        <v>77.5</v>
      </c>
      <c r="M225">
        <f t="shared" si="38"/>
        <v>6006.25</v>
      </c>
      <c r="N225">
        <f t="shared" si="39"/>
        <v>18169.681249999998</v>
      </c>
      <c r="O225">
        <f t="shared" si="40"/>
        <v>183.4277390561931</v>
      </c>
      <c r="P225">
        <f t="shared" si="41"/>
        <v>51.019760943806887</v>
      </c>
      <c r="Q225">
        <f t="shared" si="42"/>
        <v>2603.0160067632028</v>
      </c>
      <c r="R225">
        <f t="shared" si="43"/>
        <v>0.18418686261302125</v>
      </c>
      <c r="S225">
        <f t="shared" si="44"/>
        <v>18.418686261302124</v>
      </c>
    </row>
    <row r="226" spans="1:19" x14ac:dyDescent="0.3">
      <c r="A226" s="10" t="s">
        <v>287</v>
      </c>
      <c r="B226">
        <v>159.93</v>
      </c>
      <c r="G226" s="7" t="s">
        <v>31</v>
      </c>
      <c r="H226">
        <v>191.47000000000003</v>
      </c>
      <c r="J226" t="str">
        <f t="shared" si="46"/>
        <v>2018-Aug</v>
      </c>
      <c r="K226">
        <v>244.19800000000001</v>
      </c>
      <c r="L226">
        <v>78.5</v>
      </c>
      <c r="M226">
        <f t="shared" si="38"/>
        <v>6162.25</v>
      </c>
      <c r="N226">
        <f t="shared" si="39"/>
        <v>19169.543000000001</v>
      </c>
      <c r="O226">
        <f t="shared" si="40"/>
        <v>184.14012029575207</v>
      </c>
      <c r="P226">
        <f t="shared" si="41"/>
        <v>60.057879704247938</v>
      </c>
      <c r="Q226">
        <f t="shared" si="42"/>
        <v>3606.9489145699163</v>
      </c>
      <c r="R226">
        <f t="shared" si="43"/>
        <v>0.21681545019584092</v>
      </c>
      <c r="S226">
        <f t="shared" si="44"/>
        <v>21.681545019584092</v>
      </c>
    </row>
    <row r="227" spans="1:19" x14ac:dyDescent="0.3">
      <c r="A227" s="10" t="s">
        <v>288</v>
      </c>
      <c r="B227">
        <v>169.92</v>
      </c>
      <c r="G227" s="7" t="s">
        <v>19</v>
      </c>
      <c r="H227">
        <v>192.87200000000001</v>
      </c>
      <c r="J227" t="str">
        <f t="shared" si="46"/>
        <v>2018-Sep</v>
      </c>
      <c r="K227">
        <v>247.38</v>
      </c>
      <c r="L227">
        <v>79.5</v>
      </c>
      <c r="M227">
        <f t="shared" si="38"/>
        <v>6320.25</v>
      </c>
      <c r="N227">
        <f t="shared" si="39"/>
        <v>19666.71</v>
      </c>
      <c r="O227">
        <f t="shared" si="40"/>
        <v>184.85250153531103</v>
      </c>
      <c r="P227">
        <f t="shared" si="41"/>
        <v>62.527498464688961</v>
      </c>
      <c r="Q227">
        <f t="shared" si="42"/>
        <v>3909.6880642516803</v>
      </c>
      <c r="R227">
        <f t="shared" si="43"/>
        <v>0.22573104138876882</v>
      </c>
      <c r="S227">
        <f t="shared" si="44"/>
        <v>22.573104138876882</v>
      </c>
    </row>
    <row r="228" spans="1:19" x14ac:dyDescent="0.3">
      <c r="A228" s="10" t="s">
        <v>289</v>
      </c>
      <c r="B228">
        <v>178</v>
      </c>
      <c r="G228" s="7" t="s">
        <v>20</v>
      </c>
      <c r="H228">
        <v>188.59</v>
      </c>
      <c r="J228" t="str">
        <f t="shared" si="46"/>
        <v>2018-Oct</v>
      </c>
      <c r="K228">
        <v>221.84750000000003</v>
      </c>
      <c r="L228">
        <v>80.5</v>
      </c>
      <c r="M228">
        <f t="shared" si="38"/>
        <v>6480.25</v>
      </c>
      <c r="N228">
        <f t="shared" si="39"/>
        <v>17858.723750000001</v>
      </c>
      <c r="O228">
        <f t="shared" si="40"/>
        <v>185.56488277487003</v>
      </c>
      <c r="P228">
        <f t="shared" si="41"/>
        <v>36.282617225129997</v>
      </c>
      <c r="Q228">
        <f t="shared" si="42"/>
        <v>1316.4283127053</v>
      </c>
      <c r="R228">
        <f t="shared" si="43"/>
        <v>0.13098417770805054</v>
      </c>
      <c r="S228">
        <f t="shared" si="44"/>
        <v>13.098417770805055</v>
      </c>
    </row>
    <row r="229" spans="1:19" x14ac:dyDescent="0.3">
      <c r="A229" s="10" t="s">
        <v>290</v>
      </c>
      <c r="B229">
        <v>188.06</v>
      </c>
      <c r="G229" s="7" t="s">
        <v>21</v>
      </c>
      <c r="H229">
        <v>191.92749999999998</v>
      </c>
      <c r="J229" t="str">
        <f t="shared" si="46"/>
        <v>2018-Nov</v>
      </c>
      <c r="K229">
        <v>225.02999999999997</v>
      </c>
      <c r="L229">
        <v>81.5</v>
      </c>
      <c r="M229">
        <f t="shared" si="38"/>
        <v>6642.25</v>
      </c>
      <c r="N229">
        <f t="shared" si="39"/>
        <v>18339.944999999996</v>
      </c>
      <c r="O229">
        <f t="shared" si="40"/>
        <v>186.27726401442899</v>
      </c>
      <c r="P229">
        <f t="shared" si="41"/>
        <v>38.752735985570979</v>
      </c>
      <c r="Q229">
        <f t="shared" si="42"/>
        <v>1501.774546367368</v>
      </c>
      <c r="R229">
        <f t="shared" si="43"/>
        <v>0.13990157395512989</v>
      </c>
      <c r="S229">
        <f t="shared" si="44"/>
        <v>13.990157395512989</v>
      </c>
    </row>
    <row r="230" spans="1:19" x14ac:dyDescent="0.3">
      <c r="A230" s="10" t="s">
        <v>291</v>
      </c>
      <c r="B230">
        <v>184.04</v>
      </c>
      <c r="G230" s="7" t="s">
        <v>22</v>
      </c>
      <c r="H230">
        <v>210.53800000000001</v>
      </c>
      <c r="J230" t="str">
        <f t="shared" si="46"/>
        <v>2018-Dec</v>
      </c>
      <c r="K230">
        <v>175.62</v>
      </c>
      <c r="L230">
        <v>82.5</v>
      </c>
      <c r="M230">
        <f t="shared" si="38"/>
        <v>6806.25</v>
      </c>
      <c r="N230">
        <f t="shared" si="39"/>
        <v>14488.65</v>
      </c>
      <c r="O230">
        <f t="shared" si="40"/>
        <v>186.98964525398796</v>
      </c>
      <c r="P230">
        <f t="shared" si="41"/>
        <v>-11.369645253987954</v>
      </c>
      <c r="Q230">
        <f t="shared" si="42"/>
        <v>129.26883320153081</v>
      </c>
      <c r="R230">
        <f t="shared" si="43"/>
        <v>4.104565073641861E-2</v>
      </c>
      <c r="S230">
        <f t="shared" si="44"/>
        <v>4.1045650736418606</v>
      </c>
    </row>
    <row r="231" spans="1:19" x14ac:dyDescent="0.3">
      <c r="A231" s="10" t="s">
        <v>292</v>
      </c>
      <c r="B231">
        <v>198.15</v>
      </c>
      <c r="G231" s="7" t="s">
        <v>23</v>
      </c>
      <c r="H231">
        <v>214.52999999999997</v>
      </c>
      <c r="J231" t="str">
        <f>_xlfn.CONCAT($G$250,"-",G251)</f>
        <v>2019-Jan</v>
      </c>
      <c r="K231">
        <v>171.92250000000001</v>
      </c>
      <c r="L231">
        <v>83.5</v>
      </c>
      <c r="M231">
        <f t="shared" si="38"/>
        <v>6972.25</v>
      </c>
      <c r="N231">
        <f t="shared" si="39"/>
        <v>14355.528750000001</v>
      </c>
      <c r="O231">
        <f t="shared" si="40"/>
        <v>187.70202649354692</v>
      </c>
      <c r="P231">
        <f t="shared" si="41"/>
        <v>-15.779526493546911</v>
      </c>
      <c r="Q231">
        <f t="shared" si="42"/>
        <v>248.99345636054886</v>
      </c>
      <c r="R231">
        <f t="shared" si="43"/>
        <v>5.6965799615692821E-2</v>
      </c>
      <c r="S231">
        <f t="shared" si="44"/>
        <v>5.6965799615692818</v>
      </c>
    </row>
    <row r="232" spans="1:19" x14ac:dyDescent="0.3">
      <c r="A232" s="10" t="s">
        <v>293</v>
      </c>
      <c r="B232">
        <v>196.95</v>
      </c>
      <c r="G232" s="7" t="s">
        <v>24</v>
      </c>
      <c r="H232">
        <v>206.98750000000001</v>
      </c>
      <c r="J232" t="str">
        <f t="shared" ref="J232:J242" si="47">_xlfn.CONCAT($G$250,"-",G252)</f>
        <v>2019-Feb</v>
      </c>
      <c r="K232">
        <v>179.08499999999998</v>
      </c>
      <c r="L232">
        <v>84.5</v>
      </c>
      <c r="M232">
        <f t="shared" si="38"/>
        <v>7140.25</v>
      </c>
      <c r="N232">
        <f t="shared" si="39"/>
        <v>15132.682499999999</v>
      </c>
      <c r="O232">
        <f t="shared" si="40"/>
        <v>188.41440773310589</v>
      </c>
      <c r="P232">
        <f t="shared" si="41"/>
        <v>-9.32940773310591</v>
      </c>
      <c r="Q232">
        <f t="shared" si="42"/>
        <v>87.037848650536361</v>
      </c>
      <c r="R232">
        <f t="shared" si="43"/>
        <v>3.3680172321681988E-2</v>
      </c>
      <c r="S232">
        <f t="shared" si="44"/>
        <v>3.3680172321681989</v>
      </c>
    </row>
    <row r="233" spans="1:19" x14ac:dyDescent="0.3">
      <c r="A233" s="10" t="s">
        <v>294</v>
      </c>
      <c r="B233">
        <v>189.9</v>
      </c>
      <c r="G233" s="7" t="s">
        <v>25</v>
      </c>
      <c r="H233">
        <v>217.18800000000002</v>
      </c>
      <c r="J233" t="str">
        <f t="shared" si="47"/>
        <v>2019-Mar</v>
      </c>
      <c r="K233">
        <v>177.59200000000001</v>
      </c>
      <c r="L233">
        <v>85.5</v>
      </c>
      <c r="M233">
        <f t="shared" si="38"/>
        <v>7310.25</v>
      </c>
      <c r="N233">
        <f t="shared" si="39"/>
        <v>15184.116000000002</v>
      </c>
      <c r="O233">
        <f t="shared" si="40"/>
        <v>189.12678897266485</v>
      </c>
      <c r="P233">
        <f t="shared" si="41"/>
        <v>-11.534788972664842</v>
      </c>
      <c r="Q233">
        <f t="shared" si="42"/>
        <v>133.05135664391042</v>
      </c>
      <c r="R233">
        <f t="shared" si="43"/>
        <v>4.1641837446443473E-2</v>
      </c>
      <c r="S233">
        <f t="shared" si="44"/>
        <v>4.1641837446443475</v>
      </c>
    </row>
    <row r="234" spans="1:19" x14ac:dyDescent="0.3">
      <c r="A234" s="10" t="s">
        <v>295</v>
      </c>
      <c r="B234">
        <v>181.41</v>
      </c>
      <c r="G234" s="7" t="s">
        <v>26</v>
      </c>
      <c r="H234">
        <v>224.64</v>
      </c>
      <c r="J234" t="str">
        <f t="shared" si="47"/>
        <v>2019-Apr</v>
      </c>
      <c r="K234">
        <v>192.26</v>
      </c>
      <c r="L234">
        <v>86.5</v>
      </c>
      <c r="M234">
        <f t="shared" si="38"/>
        <v>7482.25</v>
      </c>
      <c r="N234">
        <f t="shared" si="39"/>
        <v>16630.489999999998</v>
      </c>
      <c r="O234">
        <f t="shared" si="40"/>
        <v>189.83917021222385</v>
      </c>
      <c r="P234">
        <f t="shared" si="41"/>
        <v>2.4208297877761424</v>
      </c>
      <c r="Q234">
        <f t="shared" si="42"/>
        <v>5.8604168613842829</v>
      </c>
      <c r="R234">
        <f t="shared" si="43"/>
        <v>8.7394577176034029E-3</v>
      </c>
      <c r="S234">
        <f t="shared" si="44"/>
        <v>0.87394577176034027</v>
      </c>
    </row>
    <row r="235" spans="1:19" x14ac:dyDescent="0.3">
      <c r="A235" s="10" t="s">
        <v>296</v>
      </c>
      <c r="B235">
        <v>173.99</v>
      </c>
      <c r="G235" s="7" t="s">
        <v>27</v>
      </c>
      <c r="H235">
        <v>218.8475</v>
      </c>
      <c r="J235" t="str">
        <f t="shared" si="47"/>
        <v>2019-May</v>
      </c>
      <c r="K235">
        <v>170.03800000000001</v>
      </c>
      <c r="L235">
        <v>87.5</v>
      </c>
      <c r="M235">
        <f t="shared" si="38"/>
        <v>7656.25</v>
      </c>
      <c r="N235">
        <f t="shared" si="39"/>
        <v>14878.325000000001</v>
      </c>
      <c r="O235">
        <f t="shared" si="40"/>
        <v>190.55155145178281</v>
      </c>
      <c r="P235">
        <f t="shared" si="41"/>
        <v>-20.513551451782803</v>
      </c>
      <c r="Q235">
        <f t="shared" si="42"/>
        <v>420.80579316494033</v>
      </c>
      <c r="R235">
        <f t="shared" si="43"/>
        <v>7.4056142425208679E-2</v>
      </c>
      <c r="S235">
        <f t="shared" si="44"/>
        <v>7.4056142425208682</v>
      </c>
    </row>
    <row r="236" spans="1:19" x14ac:dyDescent="0.3">
      <c r="A236" s="10" t="s">
        <v>297</v>
      </c>
      <c r="B236">
        <v>177.98</v>
      </c>
      <c r="G236" s="7" t="s">
        <v>28</v>
      </c>
      <c r="H236">
        <v>242.23600000000002</v>
      </c>
      <c r="J236" t="str">
        <f t="shared" si="47"/>
        <v>2019-Jun</v>
      </c>
      <c r="K236">
        <v>163.0275</v>
      </c>
      <c r="L236">
        <v>88.5</v>
      </c>
      <c r="M236">
        <f t="shared" si="38"/>
        <v>7832.25</v>
      </c>
      <c r="N236">
        <f t="shared" si="39"/>
        <v>14427.93375</v>
      </c>
      <c r="O236">
        <f t="shared" si="40"/>
        <v>191.26393269134178</v>
      </c>
      <c r="P236">
        <f t="shared" si="41"/>
        <v>-28.236432691341776</v>
      </c>
      <c r="Q236">
        <f t="shared" si="42"/>
        <v>797.29613113267453</v>
      </c>
      <c r="R236">
        <f t="shared" si="43"/>
        <v>0.1019365801131472</v>
      </c>
      <c r="S236">
        <f t="shared" si="44"/>
        <v>10.193658011314719</v>
      </c>
    </row>
    <row r="237" spans="1:19" x14ac:dyDescent="0.3">
      <c r="A237" s="10" t="s">
        <v>298</v>
      </c>
      <c r="B237">
        <v>171.78</v>
      </c>
      <c r="G237" s="4" t="s">
        <v>29</v>
      </c>
      <c r="H237">
        <v>237.73211538461538</v>
      </c>
      <c r="J237" t="str">
        <f t="shared" si="47"/>
        <v>2019-Jul</v>
      </c>
      <c r="K237">
        <v>167.8775</v>
      </c>
      <c r="L237">
        <v>89.5</v>
      </c>
      <c r="M237">
        <f t="shared" si="38"/>
        <v>8010.25</v>
      </c>
      <c r="N237">
        <f t="shared" si="39"/>
        <v>15025.036249999999</v>
      </c>
      <c r="O237">
        <f t="shared" si="40"/>
        <v>191.97631393090074</v>
      </c>
      <c r="P237">
        <f t="shared" si="41"/>
        <v>-24.098813930900747</v>
      </c>
      <c r="Q237">
        <f t="shared" si="42"/>
        <v>580.75283287617594</v>
      </c>
      <c r="R237">
        <f t="shared" si="43"/>
        <v>8.6999328270399801E-2</v>
      </c>
      <c r="S237">
        <f t="shared" si="44"/>
        <v>8.6999328270399801</v>
      </c>
    </row>
    <row r="238" spans="1:19" x14ac:dyDescent="0.3">
      <c r="A238" s="10" t="s">
        <v>299</v>
      </c>
      <c r="B238">
        <v>182.8</v>
      </c>
      <c r="G238" s="7" t="s">
        <v>30</v>
      </c>
      <c r="H238">
        <v>270.23500000000001</v>
      </c>
      <c r="J238" t="str">
        <f t="shared" si="47"/>
        <v>2019-Aug</v>
      </c>
      <c r="K238">
        <v>158.488</v>
      </c>
      <c r="L238">
        <v>90.5</v>
      </c>
      <c r="M238">
        <f t="shared" si="38"/>
        <v>8190.25</v>
      </c>
      <c r="N238">
        <f t="shared" si="39"/>
        <v>14343.164000000001</v>
      </c>
      <c r="O238">
        <f t="shared" si="40"/>
        <v>192.68869517045971</v>
      </c>
      <c r="P238">
        <f t="shared" si="41"/>
        <v>-34.20069517045971</v>
      </c>
      <c r="Q238">
        <f t="shared" si="42"/>
        <v>1169.6875501427062</v>
      </c>
      <c r="R238">
        <f t="shared" si="43"/>
        <v>0.12346821361176791</v>
      </c>
      <c r="S238">
        <f t="shared" si="44"/>
        <v>12.34682136117679</v>
      </c>
    </row>
    <row r="239" spans="1:19" x14ac:dyDescent="0.3">
      <c r="A239" s="10" t="s">
        <v>300</v>
      </c>
      <c r="B239">
        <v>180.49</v>
      </c>
      <c r="G239" s="7" t="s">
        <v>31</v>
      </c>
      <c r="H239">
        <v>246.9</v>
      </c>
      <c r="J239" t="str">
        <f t="shared" si="47"/>
        <v>2019-Sep</v>
      </c>
      <c r="K239">
        <v>157.42750000000001</v>
      </c>
      <c r="L239">
        <v>91.5</v>
      </c>
      <c r="M239">
        <f t="shared" si="38"/>
        <v>8372.25</v>
      </c>
      <c r="N239">
        <f t="shared" si="39"/>
        <v>14404.616250000001</v>
      </c>
      <c r="O239">
        <f t="shared" si="40"/>
        <v>193.40107641001867</v>
      </c>
      <c r="P239">
        <f t="shared" si="41"/>
        <v>-35.973576410018666</v>
      </c>
      <c r="Q239">
        <f t="shared" si="42"/>
        <v>1294.0981997274514</v>
      </c>
      <c r="R239">
        <f t="shared" si="43"/>
        <v>0.12986850689537424</v>
      </c>
      <c r="S239">
        <f t="shared" si="44"/>
        <v>12.986850689537425</v>
      </c>
    </row>
    <row r="240" spans="1:19" x14ac:dyDescent="0.3">
      <c r="A240" s="10" t="s">
        <v>301</v>
      </c>
      <c r="B240">
        <v>179.3</v>
      </c>
      <c r="G240" s="7" t="s">
        <v>19</v>
      </c>
      <c r="H240">
        <v>242.01</v>
      </c>
      <c r="J240" t="str">
        <f t="shared" si="47"/>
        <v>2019-Oct</v>
      </c>
      <c r="K240">
        <v>149.13499999999999</v>
      </c>
      <c r="L240">
        <v>92.5</v>
      </c>
      <c r="M240">
        <f t="shared" si="38"/>
        <v>8556.25</v>
      </c>
      <c r="N240">
        <f t="shared" si="39"/>
        <v>13794.987499999999</v>
      </c>
      <c r="O240">
        <f t="shared" si="40"/>
        <v>194.11345764957764</v>
      </c>
      <c r="P240">
        <f t="shared" si="41"/>
        <v>-44.978457649577649</v>
      </c>
      <c r="Q240">
        <f t="shared" si="42"/>
        <v>2023.0616525348501</v>
      </c>
      <c r="R240">
        <f t="shared" si="43"/>
        <v>0.16237710342807815</v>
      </c>
      <c r="S240">
        <f t="shared" si="44"/>
        <v>16.237710342807816</v>
      </c>
    </row>
    <row r="241" spans="1:19" x14ac:dyDescent="0.3">
      <c r="A241" s="10" t="s">
        <v>302</v>
      </c>
      <c r="B241">
        <v>177.24</v>
      </c>
      <c r="G241" s="7" t="s">
        <v>20</v>
      </c>
      <c r="H241">
        <v>244.0575</v>
      </c>
      <c r="J241" t="str">
        <f t="shared" si="47"/>
        <v>2019-Nov</v>
      </c>
      <c r="K241">
        <v>158.93400000000003</v>
      </c>
      <c r="L241">
        <v>93.5</v>
      </c>
      <c r="M241">
        <f t="shared" si="38"/>
        <v>8742.25</v>
      </c>
      <c r="N241">
        <f t="shared" si="39"/>
        <v>14860.329000000002</v>
      </c>
      <c r="O241">
        <f t="shared" si="40"/>
        <v>194.82583888913661</v>
      </c>
      <c r="P241">
        <f t="shared" si="41"/>
        <v>-35.891838889136579</v>
      </c>
      <c r="Q241">
        <f t="shared" si="42"/>
        <v>1288.224098843737</v>
      </c>
      <c r="R241">
        <f t="shared" si="43"/>
        <v>0.12957342559255083</v>
      </c>
      <c r="S241">
        <f t="shared" si="44"/>
        <v>12.957342559255084</v>
      </c>
    </row>
    <row r="242" spans="1:19" x14ac:dyDescent="0.3">
      <c r="A242" s="10" t="s">
        <v>303</v>
      </c>
      <c r="B242">
        <v>179.31</v>
      </c>
      <c r="G242" s="7" t="s">
        <v>21</v>
      </c>
      <c r="H242">
        <v>249.19749999999999</v>
      </c>
      <c r="J242" t="str">
        <f t="shared" si="47"/>
        <v>2019-Dec</v>
      </c>
      <c r="K242">
        <v>155.73249999999999</v>
      </c>
      <c r="L242">
        <v>94.5</v>
      </c>
      <c r="M242">
        <f t="shared" si="38"/>
        <v>8930.25</v>
      </c>
      <c r="N242">
        <f t="shared" si="39"/>
        <v>14716.721249999999</v>
      </c>
      <c r="O242">
        <f t="shared" si="40"/>
        <v>195.53822012869557</v>
      </c>
      <c r="P242">
        <f t="shared" si="41"/>
        <v>-39.805720128695583</v>
      </c>
      <c r="Q242">
        <f t="shared" si="42"/>
        <v>1584.4953549640406</v>
      </c>
      <c r="R242">
        <f t="shared" si="43"/>
        <v>0.14370296075341366</v>
      </c>
      <c r="S242">
        <f t="shared" si="44"/>
        <v>14.370296075341365</v>
      </c>
    </row>
    <row r="243" spans="1:19" x14ac:dyDescent="0.3">
      <c r="A243" s="10" t="s">
        <v>304</v>
      </c>
      <c r="B243">
        <v>175.36</v>
      </c>
      <c r="G243" s="7" t="s">
        <v>22</v>
      </c>
      <c r="H243">
        <v>249.42800000000003</v>
      </c>
      <c r="J243" t="str">
        <f>_xlfn.CONCAT($G$263,"-",G264)</f>
        <v>2020-Jan</v>
      </c>
      <c r="K243">
        <v>153.69999999999999</v>
      </c>
      <c r="L243">
        <v>95.5</v>
      </c>
      <c r="M243">
        <f t="shared" si="38"/>
        <v>9120.25</v>
      </c>
      <c r="N243">
        <f t="shared" si="39"/>
        <v>14678.349999999999</v>
      </c>
      <c r="O243">
        <f t="shared" si="40"/>
        <v>196.25060136825456</v>
      </c>
      <c r="P243">
        <f t="shared" si="41"/>
        <v>-42.550601368254576</v>
      </c>
      <c r="Q243">
        <f t="shared" si="42"/>
        <v>1810.5536768001082</v>
      </c>
      <c r="R243">
        <f t="shared" si="43"/>
        <v>0.15361227930777824</v>
      </c>
      <c r="S243">
        <f t="shared" si="44"/>
        <v>15.361227930777824</v>
      </c>
    </row>
    <row r="244" spans="1:19" x14ac:dyDescent="0.3">
      <c r="A244" s="10" t="s">
        <v>305</v>
      </c>
      <c r="B244">
        <v>176.91</v>
      </c>
      <c r="G244" s="7" t="s">
        <v>23</v>
      </c>
      <c r="H244">
        <v>234.44749999999999</v>
      </c>
      <c r="J244" t="str">
        <f t="shared" ref="J244:J254" si="48">_xlfn.CONCAT($G$263,"-",G265)</f>
        <v>2020-Feb</v>
      </c>
      <c r="K244">
        <v>154.67499999999998</v>
      </c>
      <c r="L244">
        <v>96.5</v>
      </c>
      <c r="M244">
        <f t="shared" si="38"/>
        <v>9312.25</v>
      </c>
      <c r="N244">
        <f t="shared" si="39"/>
        <v>14926.137499999999</v>
      </c>
      <c r="O244">
        <f t="shared" si="40"/>
        <v>196.96298260781353</v>
      </c>
      <c r="P244">
        <f t="shared" si="41"/>
        <v>-42.287982607813547</v>
      </c>
      <c r="Q244">
        <f t="shared" si="42"/>
        <v>1788.273473038741</v>
      </c>
      <c r="R244">
        <f t="shared" si="43"/>
        <v>0.15266419714012111</v>
      </c>
      <c r="S244">
        <f t="shared" si="44"/>
        <v>15.266419714012111</v>
      </c>
    </row>
    <row r="245" spans="1:19" x14ac:dyDescent="0.3">
      <c r="A245" s="10" t="s">
        <v>306</v>
      </c>
      <c r="B245">
        <v>170.99</v>
      </c>
      <c r="G245" s="7" t="s">
        <v>24</v>
      </c>
      <c r="H245">
        <v>244.19800000000001</v>
      </c>
      <c r="J245" t="str">
        <f t="shared" si="48"/>
        <v>2020-Mar</v>
      </c>
      <c r="K245">
        <v>116.4875</v>
      </c>
      <c r="L245">
        <v>97.5</v>
      </c>
      <c r="M245">
        <f t="shared" si="38"/>
        <v>9506.25</v>
      </c>
      <c r="N245">
        <f t="shared" si="39"/>
        <v>11357.53125</v>
      </c>
      <c r="O245">
        <f t="shared" si="40"/>
        <v>197.67536384737249</v>
      </c>
      <c r="P245">
        <f t="shared" si="41"/>
        <v>-81.187863847372498</v>
      </c>
      <c r="Q245">
        <f t="shared" si="42"/>
        <v>6591.4692360994941</v>
      </c>
      <c r="R245">
        <f t="shared" si="43"/>
        <v>0.29309698139845669</v>
      </c>
      <c r="S245">
        <f t="shared" si="44"/>
        <v>29.309698139845668</v>
      </c>
    </row>
    <row r="246" spans="1:19" x14ac:dyDescent="0.3">
      <c r="A246" s="10" t="s">
        <v>307</v>
      </c>
      <c r="B246">
        <v>164.43</v>
      </c>
      <c r="G246" s="7" t="s">
        <v>25</v>
      </c>
      <c r="H246">
        <v>247.38</v>
      </c>
      <c r="J246" t="str">
        <f t="shared" si="48"/>
        <v>2020-Apr</v>
      </c>
      <c r="K246">
        <v>119.85499999999999</v>
      </c>
      <c r="L246">
        <v>98.5</v>
      </c>
      <c r="M246">
        <f t="shared" si="38"/>
        <v>9702.25</v>
      </c>
      <c r="N246">
        <f t="shared" si="39"/>
        <v>11805.717499999999</v>
      </c>
      <c r="O246">
        <f t="shared" si="40"/>
        <v>198.38774508693146</v>
      </c>
      <c r="P246">
        <f t="shared" si="41"/>
        <v>-78.53274508693147</v>
      </c>
      <c r="Q246">
        <f t="shared" si="42"/>
        <v>6167.3920508889587</v>
      </c>
      <c r="R246">
        <f t="shared" si="43"/>
        <v>0.28351171511527606</v>
      </c>
      <c r="S246">
        <f t="shared" si="44"/>
        <v>28.351171511527607</v>
      </c>
    </row>
    <row r="247" spans="1:19" x14ac:dyDescent="0.3">
      <c r="A247" s="10" t="s">
        <v>308</v>
      </c>
      <c r="B247">
        <v>158.97999999999999</v>
      </c>
      <c r="G247" s="7" t="s">
        <v>26</v>
      </c>
      <c r="H247">
        <v>221.84750000000003</v>
      </c>
      <c r="J247" t="str">
        <f t="shared" si="48"/>
        <v>2020-May</v>
      </c>
      <c r="K247">
        <v>118.744</v>
      </c>
      <c r="L247">
        <v>99.5</v>
      </c>
      <c r="M247">
        <f t="shared" si="38"/>
        <v>9900.25</v>
      </c>
      <c r="N247">
        <f t="shared" si="39"/>
        <v>11815.028</v>
      </c>
      <c r="O247">
        <f t="shared" si="40"/>
        <v>199.10012632649045</v>
      </c>
      <c r="P247">
        <f t="shared" si="41"/>
        <v>-80.356126326490454</v>
      </c>
      <c r="Q247">
        <f t="shared" si="42"/>
        <v>6457.107038198892</v>
      </c>
      <c r="R247">
        <f t="shared" si="43"/>
        <v>0.29009431886819659</v>
      </c>
      <c r="S247">
        <f t="shared" si="44"/>
        <v>29.009431886819659</v>
      </c>
    </row>
    <row r="248" spans="1:19" x14ac:dyDescent="0.3">
      <c r="A248" s="10" t="s">
        <v>309</v>
      </c>
      <c r="B248">
        <v>158</v>
      </c>
      <c r="G248" s="7" t="s">
        <v>27</v>
      </c>
      <c r="H248">
        <v>225.02999999999997</v>
      </c>
      <c r="J248" t="str">
        <f t="shared" si="48"/>
        <v>2020-Jun</v>
      </c>
      <c r="K248">
        <v>135.66000000000003</v>
      </c>
      <c r="L248">
        <v>100.5</v>
      </c>
      <c r="M248">
        <f t="shared" si="38"/>
        <v>10100.25</v>
      </c>
      <c r="N248">
        <f t="shared" si="39"/>
        <v>13633.830000000002</v>
      </c>
      <c r="O248">
        <f t="shared" si="40"/>
        <v>199.81250756604942</v>
      </c>
      <c r="P248">
        <f t="shared" si="41"/>
        <v>-64.152507566049394</v>
      </c>
      <c r="Q248">
        <f t="shared" si="42"/>
        <v>4115.5442270120247</v>
      </c>
      <c r="R248">
        <f t="shared" si="43"/>
        <v>0.23159750023844547</v>
      </c>
      <c r="S248">
        <f t="shared" si="44"/>
        <v>23.159750023844548</v>
      </c>
    </row>
    <row r="249" spans="1:19" x14ac:dyDescent="0.3">
      <c r="A249" s="10" t="s">
        <v>310</v>
      </c>
      <c r="B249">
        <v>184.11</v>
      </c>
      <c r="G249" s="7" t="s">
        <v>28</v>
      </c>
      <c r="H249">
        <v>175.62</v>
      </c>
      <c r="J249" t="str">
        <f t="shared" si="48"/>
        <v>2020-Jul</v>
      </c>
      <c r="K249">
        <v>162.69800000000001</v>
      </c>
      <c r="L249">
        <v>101.5</v>
      </c>
      <c r="M249">
        <f t="shared" si="38"/>
        <v>10302.25</v>
      </c>
      <c r="N249">
        <f t="shared" si="39"/>
        <v>16513.847000000002</v>
      </c>
      <c r="O249">
        <f t="shared" si="40"/>
        <v>200.52488880560838</v>
      </c>
      <c r="P249">
        <f t="shared" si="41"/>
        <v>-37.826888805608377</v>
      </c>
      <c r="Q249">
        <f t="shared" si="42"/>
        <v>1430.8735167118602</v>
      </c>
      <c r="R249">
        <f t="shared" si="43"/>
        <v>0.13655916536320714</v>
      </c>
      <c r="S249">
        <f t="shared" si="44"/>
        <v>13.655916536320714</v>
      </c>
    </row>
    <row r="250" spans="1:19" x14ac:dyDescent="0.3">
      <c r="A250" s="10" t="s">
        <v>311</v>
      </c>
      <c r="B250">
        <v>201.39</v>
      </c>
      <c r="G250" s="4" t="s">
        <v>32</v>
      </c>
      <c r="H250">
        <v>166.75250000000005</v>
      </c>
      <c r="J250" t="str">
        <f t="shared" si="48"/>
        <v>2020-Aug</v>
      </c>
      <c r="K250">
        <v>206.13</v>
      </c>
      <c r="L250">
        <v>102.5</v>
      </c>
      <c r="M250">
        <f t="shared" si="38"/>
        <v>10506.25</v>
      </c>
      <c r="N250">
        <f t="shared" si="39"/>
        <v>21128.325000000001</v>
      </c>
      <c r="O250">
        <f t="shared" si="40"/>
        <v>201.23727004516735</v>
      </c>
      <c r="P250">
        <f t="shared" si="41"/>
        <v>4.8927299548326459</v>
      </c>
      <c r="Q250">
        <f t="shared" si="42"/>
        <v>23.938806410916666</v>
      </c>
      <c r="R250">
        <f t="shared" si="43"/>
        <v>1.7663285035496915E-2</v>
      </c>
      <c r="S250">
        <f t="shared" si="44"/>
        <v>1.7663285035496916</v>
      </c>
    </row>
    <row r="251" spans="1:19" x14ac:dyDescent="0.3">
      <c r="A251" s="10" t="s">
        <v>312</v>
      </c>
      <c r="B251">
        <v>229</v>
      </c>
      <c r="G251" s="7" t="s">
        <v>30</v>
      </c>
      <c r="H251">
        <v>171.92250000000001</v>
      </c>
      <c r="J251" t="str">
        <f t="shared" si="48"/>
        <v>2020-Sep</v>
      </c>
      <c r="K251">
        <v>237.965</v>
      </c>
      <c r="L251">
        <v>103.5</v>
      </c>
      <c r="M251">
        <f t="shared" si="38"/>
        <v>10712.25</v>
      </c>
      <c r="N251">
        <f t="shared" si="39"/>
        <v>24629.377499999999</v>
      </c>
      <c r="O251">
        <f t="shared" si="40"/>
        <v>201.94965128472631</v>
      </c>
      <c r="P251">
        <f t="shared" si="41"/>
        <v>36.015348715273689</v>
      </c>
      <c r="Q251">
        <f t="shared" si="42"/>
        <v>1297.1053430827662</v>
      </c>
      <c r="R251">
        <f t="shared" si="43"/>
        <v>0.13001930944142126</v>
      </c>
      <c r="S251">
        <f t="shared" si="44"/>
        <v>13.001930944142126</v>
      </c>
    </row>
    <row r="252" spans="1:19" x14ac:dyDescent="0.3">
      <c r="A252" s="10" t="s">
        <v>313</v>
      </c>
      <c r="B252">
        <v>223.4</v>
      </c>
      <c r="G252" s="7" t="s">
        <v>31</v>
      </c>
      <c r="H252">
        <v>179.08499999999998</v>
      </c>
      <c r="J252" t="str">
        <f t="shared" si="48"/>
        <v>2020-Oct</v>
      </c>
      <c r="K252">
        <v>270.73</v>
      </c>
      <c r="L252">
        <v>104.5</v>
      </c>
      <c r="M252">
        <f t="shared" si="38"/>
        <v>10920.25</v>
      </c>
      <c r="N252">
        <f t="shared" si="39"/>
        <v>28291.285000000003</v>
      </c>
      <c r="O252">
        <f t="shared" si="40"/>
        <v>202.66203252428528</v>
      </c>
      <c r="P252">
        <f t="shared" si="41"/>
        <v>68.067967475714738</v>
      </c>
      <c r="Q252">
        <f t="shared" si="42"/>
        <v>4633.2481962749598</v>
      </c>
      <c r="R252">
        <f t="shared" si="43"/>
        <v>0.24573273456936728</v>
      </c>
      <c r="S252">
        <f t="shared" si="44"/>
        <v>24.573273456936729</v>
      </c>
    </row>
    <row r="253" spans="1:19" x14ac:dyDescent="0.3">
      <c r="A253" s="10" t="s">
        <v>314</v>
      </c>
      <c r="B253">
        <v>226.69</v>
      </c>
      <c r="G253" s="7" t="s">
        <v>19</v>
      </c>
      <c r="H253">
        <v>177.59200000000001</v>
      </c>
      <c r="J253" t="str">
        <f t="shared" si="48"/>
        <v>2020-Nov</v>
      </c>
      <c r="K253">
        <v>278.94499999999999</v>
      </c>
      <c r="L253">
        <v>105.5</v>
      </c>
      <c r="M253">
        <f t="shared" si="38"/>
        <v>11130.25</v>
      </c>
      <c r="N253">
        <f t="shared" si="39"/>
        <v>29428.697499999998</v>
      </c>
      <c r="O253">
        <f t="shared" si="40"/>
        <v>203.37441376384425</v>
      </c>
      <c r="P253">
        <f t="shared" si="41"/>
        <v>75.570586236155748</v>
      </c>
      <c r="Q253">
        <f t="shared" si="42"/>
        <v>5710.9135040762521</v>
      </c>
      <c r="R253">
        <f t="shared" si="43"/>
        <v>0.27281800085254782</v>
      </c>
      <c r="S253">
        <f t="shared" si="44"/>
        <v>27.28180008525478</v>
      </c>
    </row>
    <row r="254" spans="1:19" x14ac:dyDescent="0.3">
      <c r="A254" s="10" t="s">
        <v>315</v>
      </c>
      <c r="B254">
        <v>224.4</v>
      </c>
      <c r="G254" s="7" t="s">
        <v>20</v>
      </c>
      <c r="H254">
        <v>192.26</v>
      </c>
      <c r="J254" t="str">
        <f t="shared" si="48"/>
        <v>2020-Dec</v>
      </c>
      <c r="K254">
        <v>282.185</v>
      </c>
      <c r="L254">
        <v>106.5</v>
      </c>
      <c r="M254">
        <f t="shared" si="38"/>
        <v>11342.25</v>
      </c>
      <c r="N254">
        <f t="shared" si="39"/>
        <v>30052.702499999999</v>
      </c>
      <c r="O254">
        <f t="shared" si="40"/>
        <v>204.08679500340321</v>
      </c>
      <c r="P254">
        <f t="shared" si="41"/>
        <v>78.098204996596792</v>
      </c>
      <c r="Q254">
        <f t="shared" si="42"/>
        <v>6099.3296236904562</v>
      </c>
      <c r="R254">
        <f t="shared" si="43"/>
        <v>0.28194297832706422</v>
      </c>
      <c r="S254">
        <f t="shared" si="44"/>
        <v>28.194297832706422</v>
      </c>
    </row>
    <row r="255" spans="1:19" x14ac:dyDescent="0.3">
      <c r="A255" s="10" t="s">
        <v>316</v>
      </c>
      <c r="B255">
        <v>221.66</v>
      </c>
      <c r="G255" s="7" t="s">
        <v>21</v>
      </c>
      <c r="H255">
        <v>170.03800000000001</v>
      </c>
      <c r="J255" t="str">
        <f>_xlfn.CONCAT($G$276,"-",G277)</f>
        <v>2021-Jan</v>
      </c>
      <c r="K255">
        <v>249.31199999999998</v>
      </c>
      <c r="L255">
        <v>107.5</v>
      </c>
      <c r="M255">
        <f t="shared" si="38"/>
        <v>11556.25</v>
      </c>
      <c r="N255">
        <f t="shared" si="39"/>
        <v>26801.039999999997</v>
      </c>
      <c r="O255">
        <f t="shared" si="40"/>
        <v>204.79917624296218</v>
      </c>
      <c r="P255">
        <f t="shared" si="41"/>
        <v>44.512823757037808</v>
      </c>
      <c r="Q255">
        <f t="shared" si="42"/>
        <v>1981.3914788251095</v>
      </c>
      <c r="R255">
        <f t="shared" si="43"/>
        <v>0.16069611464634587</v>
      </c>
      <c r="S255">
        <f t="shared" si="44"/>
        <v>16.069611464634587</v>
      </c>
    </row>
    <row r="256" spans="1:19" x14ac:dyDescent="0.3">
      <c r="A256" s="10" t="s">
        <v>317</v>
      </c>
      <c r="B256">
        <v>210.53</v>
      </c>
      <c r="G256" s="7" t="s">
        <v>22</v>
      </c>
      <c r="H256">
        <v>163.0275</v>
      </c>
      <c r="J256" t="str">
        <f t="shared" ref="J256:J266" si="49">_xlfn.CONCAT($G$276,"-",G278)</f>
        <v>2021-Feb</v>
      </c>
      <c r="K256">
        <v>256.78750000000002</v>
      </c>
      <c r="L256">
        <v>108.5</v>
      </c>
      <c r="M256">
        <f t="shared" si="38"/>
        <v>11772.25</v>
      </c>
      <c r="N256">
        <f t="shared" si="39"/>
        <v>27861.443750000002</v>
      </c>
      <c r="O256">
        <f t="shared" si="40"/>
        <v>205.51155748252114</v>
      </c>
      <c r="P256">
        <f t="shared" si="41"/>
        <v>51.275942517478882</v>
      </c>
      <c r="Q256">
        <f t="shared" si="42"/>
        <v>2629.2222810557987</v>
      </c>
      <c r="R256">
        <f t="shared" si="43"/>
        <v>0.18511170583927394</v>
      </c>
      <c r="S256">
        <f t="shared" si="44"/>
        <v>18.511170583927395</v>
      </c>
    </row>
    <row r="257" spans="1:19" x14ac:dyDescent="0.3">
      <c r="A257" s="10" t="s">
        <v>318</v>
      </c>
      <c r="B257">
        <v>219.8</v>
      </c>
      <c r="G257" s="7" t="s">
        <v>23</v>
      </c>
      <c r="H257">
        <v>167.8775</v>
      </c>
      <c r="J257" t="str">
        <f t="shared" si="49"/>
        <v>2021-Mar</v>
      </c>
      <c r="K257">
        <v>272.10249999999996</v>
      </c>
      <c r="L257">
        <v>109.5</v>
      </c>
      <c r="M257">
        <f t="shared" si="38"/>
        <v>11990.25</v>
      </c>
      <c r="N257">
        <f t="shared" si="39"/>
        <v>29795.223749999997</v>
      </c>
      <c r="O257">
        <f t="shared" si="40"/>
        <v>206.22393872208013</v>
      </c>
      <c r="P257">
        <f t="shared" si="41"/>
        <v>65.878561277919829</v>
      </c>
      <c r="Q257">
        <f t="shared" si="42"/>
        <v>4339.9848360486376</v>
      </c>
      <c r="R257">
        <f t="shared" si="43"/>
        <v>0.23782874107552285</v>
      </c>
      <c r="S257">
        <f t="shared" si="44"/>
        <v>23.782874107552285</v>
      </c>
    </row>
    <row r="258" spans="1:19" x14ac:dyDescent="0.3">
      <c r="A258" s="10" t="s">
        <v>319</v>
      </c>
      <c r="B258">
        <v>221</v>
      </c>
      <c r="G258" s="7" t="s">
        <v>24</v>
      </c>
      <c r="H258">
        <v>158.488</v>
      </c>
      <c r="J258" t="str">
        <f t="shared" si="49"/>
        <v>2021-Apr</v>
      </c>
      <c r="K258">
        <v>285.15199999999993</v>
      </c>
      <c r="L258">
        <v>110.5</v>
      </c>
      <c r="M258">
        <f t="shared" si="38"/>
        <v>12210.25</v>
      </c>
      <c r="N258">
        <f t="shared" si="39"/>
        <v>31509.295999999991</v>
      </c>
      <c r="O258">
        <f t="shared" si="40"/>
        <v>206.9363199616391</v>
      </c>
      <c r="P258">
        <f t="shared" si="41"/>
        <v>78.21568003836083</v>
      </c>
      <c r="Q258">
        <f t="shared" si="42"/>
        <v>6117.6926038632364</v>
      </c>
      <c r="R258">
        <f t="shared" si="43"/>
        <v>0.2823670759507611</v>
      </c>
      <c r="S258">
        <f t="shared" si="44"/>
        <v>28.236707595076112</v>
      </c>
    </row>
    <row r="259" spans="1:19" x14ac:dyDescent="0.3">
      <c r="A259" s="10" t="s">
        <v>320</v>
      </c>
      <c r="B259">
        <v>236.06</v>
      </c>
      <c r="G259" s="7" t="s">
        <v>25</v>
      </c>
      <c r="H259">
        <v>157.42750000000001</v>
      </c>
      <c r="J259" t="str">
        <f t="shared" si="49"/>
        <v>2021-May</v>
      </c>
      <c r="K259">
        <v>312.13250000000005</v>
      </c>
      <c r="L259">
        <v>111.5</v>
      </c>
      <c r="M259">
        <f t="shared" si="38"/>
        <v>12432.25</v>
      </c>
      <c r="N259">
        <f t="shared" si="39"/>
        <v>34802.773750000008</v>
      </c>
      <c r="O259">
        <f t="shared" si="40"/>
        <v>207.64870120119807</v>
      </c>
      <c r="P259">
        <f t="shared" si="41"/>
        <v>104.48379879880198</v>
      </c>
      <c r="Q259">
        <f t="shared" si="42"/>
        <v>10916.864211428536</v>
      </c>
      <c r="R259">
        <f t="shared" si="43"/>
        <v>0.37719782959856313</v>
      </c>
      <c r="S259">
        <f t="shared" si="44"/>
        <v>37.71978295985631</v>
      </c>
    </row>
    <row r="260" spans="1:19" x14ac:dyDescent="0.3">
      <c r="A260" s="10" t="s">
        <v>321</v>
      </c>
      <c r="B260">
        <v>240.79</v>
      </c>
      <c r="G260" s="7" t="s">
        <v>26</v>
      </c>
      <c r="H260">
        <v>149.13499999999999</v>
      </c>
      <c r="J260" t="str">
        <f t="shared" si="49"/>
        <v>2021-Jun</v>
      </c>
      <c r="K260">
        <v>293.87</v>
      </c>
      <c r="L260">
        <v>112.5</v>
      </c>
      <c r="M260">
        <f t="shared" si="38"/>
        <v>12656.25</v>
      </c>
      <c r="N260">
        <f t="shared" si="39"/>
        <v>33060.375</v>
      </c>
      <c r="O260">
        <f t="shared" si="40"/>
        <v>208.36108244075706</v>
      </c>
      <c r="P260">
        <f t="shared" si="41"/>
        <v>85.508917559242946</v>
      </c>
      <c r="Q260">
        <f t="shared" si="42"/>
        <v>7311.7749821534062</v>
      </c>
      <c r="R260">
        <f t="shared" si="43"/>
        <v>0.30869645328246553</v>
      </c>
      <c r="S260">
        <f t="shared" si="44"/>
        <v>30.869645328246552</v>
      </c>
    </row>
    <row r="261" spans="1:19" x14ac:dyDescent="0.3">
      <c r="A261" s="10" t="s">
        <v>322</v>
      </c>
      <c r="B261">
        <v>247.32</v>
      </c>
      <c r="G261" s="7" t="s">
        <v>27</v>
      </c>
      <c r="H261">
        <v>158.93400000000003</v>
      </c>
      <c r="J261" t="str">
        <f t="shared" si="49"/>
        <v>2021-Jul</v>
      </c>
      <c r="K261">
        <v>293.05799999999999</v>
      </c>
      <c r="L261">
        <v>113.5</v>
      </c>
      <c r="M261">
        <f t="shared" si="38"/>
        <v>12882.25</v>
      </c>
      <c r="N261">
        <f t="shared" si="39"/>
        <v>33262.082999999999</v>
      </c>
      <c r="O261">
        <f t="shared" si="40"/>
        <v>209.07346368031602</v>
      </c>
      <c r="P261">
        <f t="shared" si="41"/>
        <v>83.984536319683968</v>
      </c>
      <c r="Q261">
        <f t="shared" si="42"/>
        <v>7053.4023408323155</v>
      </c>
      <c r="R261">
        <f t="shared" si="43"/>
        <v>0.30319327191221651</v>
      </c>
      <c r="S261">
        <f t="shared" si="44"/>
        <v>30.31932719122165</v>
      </c>
    </row>
    <row r="262" spans="1:19" x14ac:dyDescent="0.3">
      <c r="A262" s="10" t="s">
        <v>323</v>
      </c>
      <c r="B262">
        <v>255.44</v>
      </c>
      <c r="G262" s="7" t="s">
        <v>28</v>
      </c>
      <c r="H262">
        <v>155.73249999999999</v>
      </c>
      <c r="J262" t="str">
        <f t="shared" si="49"/>
        <v>2021-Aug</v>
      </c>
      <c r="K262">
        <v>271.97500000000002</v>
      </c>
      <c r="L262">
        <v>114.5</v>
      </c>
      <c r="M262">
        <f t="shared" si="38"/>
        <v>13110.25</v>
      </c>
      <c r="N262">
        <f t="shared" si="39"/>
        <v>31141.137500000004</v>
      </c>
      <c r="O262">
        <f t="shared" si="40"/>
        <v>209.78584491987499</v>
      </c>
      <c r="P262">
        <f t="shared" si="41"/>
        <v>62.189155080125033</v>
      </c>
      <c r="Q262">
        <f t="shared" si="42"/>
        <v>3867.4910095798414</v>
      </c>
      <c r="R262">
        <f t="shared" si="43"/>
        <v>0.22450958512680516</v>
      </c>
      <c r="S262">
        <f t="shared" si="44"/>
        <v>22.450958512680515</v>
      </c>
    </row>
    <row r="263" spans="1:19" x14ac:dyDescent="0.3">
      <c r="A263" s="10" t="s">
        <v>324</v>
      </c>
      <c r="B263">
        <v>245.97</v>
      </c>
      <c r="G263" s="4" t="s">
        <v>33</v>
      </c>
      <c r="H263">
        <v>185.7109615384615</v>
      </c>
      <c r="J263" t="str">
        <f t="shared" si="49"/>
        <v>2021-Sep</v>
      </c>
      <c r="K263">
        <v>251.36250000000001</v>
      </c>
      <c r="L263">
        <v>115.5</v>
      </c>
      <c r="M263">
        <f t="shared" si="38"/>
        <v>13340.25</v>
      </c>
      <c r="N263">
        <f t="shared" si="39"/>
        <v>29032.368750000001</v>
      </c>
      <c r="O263">
        <f t="shared" si="40"/>
        <v>210.49822615943395</v>
      </c>
      <c r="P263">
        <f t="shared" si="41"/>
        <v>40.864273840566057</v>
      </c>
      <c r="Q263">
        <f t="shared" si="42"/>
        <v>1669.8888765167712</v>
      </c>
      <c r="R263">
        <f t="shared" si="43"/>
        <v>0.1475244542980724</v>
      </c>
      <c r="S263">
        <f t="shared" si="44"/>
        <v>14.75244542980724</v>
      </c>
    </row>
    <row r="264" spans="1:19" x14ac:dyDescent="0.3">
      <c r="A264" s="10" t="s">
        <v>325</v>
      </c>
      <c r="B264">
        <v>243.95</v>
      </c>
      <c r="G264" s="7" t="s">
        <v>30</v>
      </c>
      <c r="H264">
        <v>153.69999999999999</v>
      </c>
      <c r="J264" t="str">
        <f t="shared" si="49"/>
        <v>2021-Oct</v>
      </c>
      <c r="K264">
        <v>228.71999999999997</v>
      </c>
      <c r="L264">
        <v>116.5</v>
      </c>
      <c r="M264">
        <f t="shared" si="38"/>
        <v>13572.25</v>
      </c>
      <c r="N264">
        <f t="shared" si="39"/>
        <v>26645.879999999997</v>
      </c>
      <c r="O264">
        <f t="shared" si="40"/>
        <v>211.21060739899292</v>
      </c>
      <c r="P264">
        <f t="shared" si="41"/>
        <v>17.50939260100705</v>
      </c>
      <c r="Q264">
        <f t="shared" si="42"/>
        <v>306.57882925620044</v>
      </c>
      <c r="R264">
        <f t="shared" si="43"/>
        <v>6.3210803613743871E-2</v>
      </c>
      <c r="S264">
        <f t="shared" si="44"/>
        <v>6.3210803613743867</v>
      </c>
    </row>
    <row r="265" spans="1:19" x14ac:dyDescent="0.3">
      <c r="A265" s="10" t="s">
        <v>326</v>
      </c>
      <c r="B265">
        <v>245.02</v>
      </c>
      <c r="G265" s="7" t="s">
        <v>31</v>
      </c>
      <c r="H265">
        <v>154.67499999999998</v>
      </c>
      <c r="J265" t="str">
        <f t="shared" si="49"/>
        <v>2021-Nov</v>
      </c>
      <c r="K265">
        <v>244.3725</v>
      </c>
      <c r="L265">
        <v>117.5</v>
      </c>
      <c r="M265">
        <f t="shared" si="38"/>
        <v>13806.25</v>
      </c>
      <c r="N265">
        <f t="shared" si="39"/>
        <v>28713.768749999999</v>
      </c>
      <c r="O265">
        <f t="shared" si="40"/>
        <v>211.92298863855189</v>
      </c>
      <c r="P265">
        <f t="shared" si="41"/>
        <v>32.449511361448117</v>
      </c>
      <c r="Q265">
        <f t="shared" si="42"/>
        <v>1052.9707875967504</v>
      </c>
      <c r="R265">
        <f t="shared" si="43"/>
        <v>0.11714625040233977</v>
      </c>
      <c r="S265">
        <f t="shared" si="44"/>
        <v>11.714625040233976</v>
      </c>
    </row>
    <row r="266" spans="1:19" x14ac:dyDescent="0.3">
      <c r="A266" s="10" t="s">
        <v>327</v>
      </c>
      <c r="B266">
        <v>246.94</v>
      </c>
      <c r="G266" s="7" t="s">
        <v>19</v>
      </c>
      <c r="H266">
        <v>116.4875</v>
      </c>
      <c r="J266" t="str">
        <f t="shared" si="49"/>
        <v>2021-Dec</v>
      </c>
      <c r="K266">
        <v>249.97999999999996</v>
      </c>
      <c r="L266">
        <v>118.5</v>
      </c>
      <c r="M266">
        <f t="shared" ref="M266:M285" si="50">L266*L266</f>
        <v>14042.25</v>
      </c>
      <c r="N266">
        <f t="shared" ref="N266:N285" si="51">L266*K266</f>
        <v>29622.629999999994</v>
      </c>
      <c r="O266">
        <f t="shared" ref="O266:O285" si="52">$I$2+$I$3*L266</f>
        <v>212.63536987811085</v>
      </c>
      <c r="P266">
        <f t="shared" ref="P266:P285" si="53">K266-O266</f>
        <v>37.344630121889111</v>
      </c>
      <c r="Q266">
        <f t="shared" ref="Q266:Q285" si="54">P266*P266</f>
        <v>1394.6213989407074</v>
      </c>
      <c r="R266">
        <f t="shared" ref="R266:R285" si="55">ABS(P266)/$J$1</f>
        <v>0.13481815928479823</v>
      </c>
      <c r="S266">
        <f t="shared" ref="S266:S285" si="56">R266*100</f>
        <v>13.481815928479824</v>
      </c>
    </row>
    <row r="267" spans="1:19" x14ac:dyDescent="0.3">
      <c r="A267" s="10" t="s">
        <v>328</v>
      </c>
      <c r="B267">
        <v>241.76</v>
      </c>
      <c r="G267" s="7" t="s">
        <v>20</v>
      </c>
      <c r="H267">
        <v>119.85499999999999</v>
      </c>
      <c r="J267" t="str">
        <f>_xlfn.CONCAT($G$289,"-",G290)</f>
        <v>2022-Jan</v>
      </c>
      <c r="K267">
        <v>252.47500000000002</v>
      </c>
      <c r="L267">
        <v>119.5</v>
      </c>
      <c r="M267">
        <f t="shared" si="50"/>
        <v>14280.25</v>
      </c>
      <c r="N267">
        <f t="shared" si="51"/>
        <v>30170.762500000004</v>
      </c>
      <c r="O267">
        <f t="shared" si="52"/>
        <v>213.34775111766982</v>
      </c>
      <c r="P267">
        <f t="shared" si="53"/>
        <v>39.127248882330207</v>
      </c>
      <c r="Q267">
        <f t="shared" si="54"/>
        <v>1530.9416050998104</v>
      </c>
      <c r="R267">
        <f t="shared" si="55"/>
        <v>0.14125360607339424</v>
      </c>
      <c r="S267">
        <f t="shared" si="56"/>
        <v>14.125360607339424</v>
      </c>
    </row>
    <row r="268" spans="1:19" x14ac:dyDescent="0.3">
      <c r="A268" s="10" t="s">
        <v>329</v>
      </c>
      <c r="B268">
        <v>243.32</v>
      </c>
      <c r="G268" s="7" t="s">
        <v>21</v>
      </c>
      <c r="H268">
        <v>118.744</v>
      </c>
      <c r="J268" t="str">
        <f t="shared" ref="J268:J278" si="57">_xlfn.CONCAT($G$289,"-",G291)</f>
        <v>2022-Feb</v>
      </c>
      <c r="K268">
        <v>229.8175</v>
      </c>
      <c r="L268">
        <v>120.5</v>
      </c>
      <c r="M268">
        <f t="shared" si="50"/>
        <v>14520.25</v>
      </c>
      <c r="N268">
        <f t="shared" si="51"/>
        <v>27693.008750000001</v>
      </c>
      <c r="O268">
        <f t="shared" si="52"/>
        <v>214.06013235722878</v>
      </c>
      <c r="P268">
        <f t="shared" si="53"/>
        <v>15.757367642771214</v>
      </c>
      <c r="Q268">
        <f t="shared" si="54"/>
        <v>248.29463502945325</v>
      </c>
      <c r="R268">
        <f t="shared" si="55"/>
        <v>5.6885803764517018E-2</v>
      </c>
      <c r="S268">
        <f t="shared" si="56"/>
        <v>5.6885803764517018</v>
      </c>
    </row>
    <row r="269" spans="1:19" x14ac:dyDescent="0.3">
      <c r="A269" s="10" t="s">
        <v>330</v>
      </c>
      <c r="B269">
        <v>240.84</v>
      </c>
      <c r="G269" s="7" t="s">
        <v>22</v>
      </c>
      <c r="H269">
        <v>135.66000000000003</v>
      </c>
      <c r="J269" t="str">
        <f t="shared" si="57"/>
        <v>2022-Mar</v>
      </c>
      <c r="K269">
        <v>218.29750000000001</v>
      </c>
      <c r="L269">
        <v>121.5</v>
      </c>
      <c r="M269">
        <f t="shared" si="50"/>
        <v>14762.25</v>
      </c>
      <c r="N269">
        <f t="shared" si="51"/>
        <v>26523.146250000002</v>
      </c>
      <c r="O269">
        <f t="shared" si="52"/>
        <v>214.77251359678775</v>
      </c>
      <c r="P269">
        <f t="shared" si="53"/>
        <v>3.5249864032122673</v>
      </c>
      <c r="Q269">
        <f t="shared" si="54"/>
        <v>12.425529142831357</v>
      </c>
      <c r="R269">
        <f t="shared" si="55"/>
        <v>1.2725582683076777E-2</v>
      </c>
      <c r="S269">
        <f t="shared" si="56"/>
        <v>1.2725582683076777</v>
      </c>
    </row>
    <row r="270" spans="1:19" x14ac:dyDescent="0.3">
      <c r="A270" s="10" t="s">
        <v>331</v>
      </c>
      <c r="B270">
        <v>234.93</v>
      </c>
      <c r="G270" s="7" t="s">
        <v>23</v>
      </c>
      <c r="H270">
        <v>162.69800000000001</v>
      </c>
      <c r="J270" t="str">
        <f t="shared" si="57"/>
        <v>2022-Apr</v>
      </c>
      <c r="K270">
        <v>206.49200000000002</v>
      </c>
      <c r="L270">
        <v>122.5</v>
      </c>
      <c r="M270">
        <f t="shared" si="50"/>
        <v>15006.25</v>
      </c>
      <c r="N270">
        <f t="shared" si="51"/>
        <v>25295.270000000004</v>
      </c>
      <c r="O270">
        <f t="shared" si="52"/>
        <v>215.48489483634671</v>
      </c>
      <c r="P270">
        <f t="shared" si="53"/>
        <v>-8.992894836346693</v>
      </c>
      <c r="Q270">
        <f t="shared" si="54"/>
        <v>80.872157537591008</v>
      </c>
      <c r="R270">
        <f t="shared" si="55"/>
        <v>3.2465324318941127E-2</v>
      </c>
      <c r="S270">
        <f t="shared" si="56"/>
        <v>3.2465324318941127</v>
      </c>
    </row>
    <row r="271" spans="1:19" x14ac:dyDescent="0.3">
      <c r="A271" s="10" t="s">
        <v>332</v>
      </c>
      <c r="B271">
        <v>233.75</v>
      </c>
      <c r="G271" s="7" t="s">
        <v>24</v>
      </c>
      <c r="H271">
        <v>206.13</v>
      </c>
      <c r="J271" t="str">
        <f t="shared" si="57"/>
        <v>2022-May</v>
      </c>
      <c r="K271">
        <v>210.51750000000001</v>
      </c>
      <c r="L271">
        <v>123.5</v>
      </c>
      <c r="M271">
        <f t="shared" si="50"/>
        <v>15252.25</v>
      </c>
      <c r="N271">
        <f t="shared" si="51"/>
        <v>25998.911250000001</v>
      </c>
      <c r="O271">
        <f t="shared" si="52"/>
        <v>216.19727607590571</v>
      </c>
      <c r="P271">
        <f t="shared" si="53"/>
        <v>-5.6797760759056928</v>
      </c>
      <c r="Q271">
        <f t="shared" si="54"/>
        <v>32.259856272430667</v>
      </c>
      <c r="R271">
        <f t="shared" si="55"/>
        <v>2.0504606772222718E-2</v>
      </c>
      <c r="S271">
        <f t="shared" si="56"/>
        <v>2.0504606772222718</v>
      </c>
    </row>
    <row r="272" spans="1:19" x14ac:dyDescent="0.3">
      <c r="A272" s="10" t="s">
        <v>333</v>
      </c>
      <c r="B272">
        <v>228.27</v>
      </c>
      <c r="G272" s="7" t="s">
        <v>25</v>
      </c>
      <c r="H272">
        <v>237.965</v>
      </c>
      <c r="J272" t="str">
        <f t="shared" si="57"/>
        <v>2022-Jun</v>
      </c>
      <c r="K272">
        <v>224.65249999999997</v>
      </c>
      <c r="L272">
        <v>124.5</v>
      </c>
      <c r="M272">
        <f t="shared" si="50"/>
        <v>15500.25</v>
      </c>
      <c r="N272">
        <f t="shared" si="51"/>
        <v>27969.236249999998</v>
      </c>
      <c r="O272">
        <f t="shared" si="52"/>
        <v>216.90965731546467</v>
      </c>
      <c r="P272">
        <f t="shared" si="53"/>
        <v>7.7428426845353044</v>
      </c>
      <c r="Q272">
        <f t="shared" si="54"/>
        <v>59.95161283746188</v>
      </c>
      <c r="R272">
        <f t="shared" si="55"/>
        <v>2.7952500666192436E-2</v>
      </c>
      <c r="S272">
        <f t="shared" si="56"/>
        <v>2.7952500666192437</v>
      </c>
    </row>
    <row r="273" spans="1:19" x14ac:dyDescent="0.3">
      <c r="A273" s="10" t="s">
        <v>334</v>
      </c>
      <c r="B273">
        <v>227.06</v>
      </c>
      <c r="G273" s="7" t="s">
        <v>26</v>
      </c>
      <c r="H273">
        <v>270.73</v>
      </c>
      <c r="J273" t="str">
        <f t="shared" si="57"/>
        <v>2022-Jul</v>
      </c>
      <c r="K273">
        <v>226.46400000000003</v>
      </c>
      <c r="L273">
        <v>125.5</v>
      </c>
      <c r="M273">
        <f t="shared" si="50"/>
        <v>15750.25</v>
      </c>
      <c r="N273">
        <f t="shared" si="51"/>
        <v>28421.232000000004</v>
      </c>
      <c r="O273">
        <f t="shared" si="52"/>
        <v>217.62203855502364</v>
      </c>
      <c r="P273">
        <f t="shared" si="53"/>
        <v>8.8419614449763912</v>
      </c>
      <c r="Q273">
        <f t="shared" si="54"/>
        <v>78.180282194448992</v>
      </c>
      <c r="R273">
        <f t="shared" si="55"/>
        <v>3.192043842951766E-2</v>
      </c>
      <c r="S273">
        <f t="shared" si="56"/>
        <v>3.1920438429517661</v>
      </c>
    </row>
    <row r="274" spans="1:19" x14ac:dyDescent="0.3">
      <c r="A274" s="10" t="s">
        <v>335</v>
      </c>
      <c r="B274">
        <v>241.77</v>
      </c>
      <c r="G274" s="7" t="s">
        <v>27</v>
      </c>
      <c r="H274">
        <v>278.94499999999999</v>
      </c>
      <c r="J274" t="str">
        <f t="shared" si="57"/>
        <v>2022-Aug</v>
      </c>
      <c r="K274">
        <v>228.86499999999998</v>
      </c>
      <c r="L274">
        <v>126.5</v>
      </c>
      <c r="M274">
        <f t="shared" si="50"/>
        <v>16002.25</v>
      </c>
      <c r="N274">
        <f t="shared" si="51"/>
        <v>28951.422499999997</v>
      </c>
      <c r="O274">
        <f t="shared" si="52"/>
        <v>218.33441979458263</v>
      </c>
      <c r="P274">
        <f t="shared" si="53"/>
        <v>10.530580205417351</v>
      </c>
      <c r="Q274">
        <f t="shared" si="54"/>
        <v>110.89311946272774</v>
      </c>
      <c r="R274">
        <f t="shared" si="55"/>
        <v>3.8016535037607768E-2</v>
      </c>
      <c r="S274">
        <f t="shared" si="56"/>
        <v>3.801653503760777</v>
      </c>
    </row>
    <row r="275" spans="1:19" x14ac:dyDescent="0.3">
      <c r="A275" s="10" t="s">
        <v>336</v>
      </c>
      <c r="B275">
        <v>264.56</v>
      </c>
      <c r="G275" s="7" t="s">
        <v>28</v>
      </c>
      <c r="H275">
        <v>282.185</v>
      </c>
      <c r="J275" t="str">
        <f t="shared" si="57"/>
        <v>2022-Sep</v>
      </c>
      <c r="K275">
        <v>175.32200000000003</v>
      </c>
      <c r="L275">
        <v>127.5</v>
      </c>
      <c r="M275">
        <f t="shared" si="50"/>
        <v>16256.25</v>
      </c>
      <c r="N275">
        <f t="shared" si="51"/>
        <v>22353.555000000004</v>
      </c>
      <c r="O275">
        <f t="shared" si="52"/>
        <v>219.04680103414159</v>
      </c>
      <c r="P275">
        <f t="shared" si="53"/>
        <v>-43.724801034141564</v>
      </c>
      <c r="Q275">
        <f t="shared" si="54"/>
        <v>1911.8582254752671</v>
      </c>
      <c r="R275">
        <f t="shared" si="55"/>
        <v>0.15785126727126919</v>
      </c>
      <c r="S275">
        <f t="shared" si="56"/>
        <v>15.785126727126919</v>
      </c>
    </row>
    <row r="276" spans="1:19" x14ac:dyDescent="0.3">
      <c r="A276" s="10" t="s">
        <v>337</v>
      </c>
      <c r="B276">
        <v>260.14999999999998</v>
      </c>
      <c r="G276" s="4" t="s">
        <v>34</v>
      </c>
      <c r="H276">
        <v>266.82113207547167</v>
      </c>
      <c r="J276" t="str">
        <f t="shared" si="57"/>
        <v>2022-Oct</v>
      </c>
      <c r="K276">
        <v>156.24250000000001</v>
      </c>
      <c r="L276">
        <v>128.5</v>
      </c>
      <c r="M276">
        <f t="shared" si="50"/>
        <v>16512.25</v>
      </c>
      <c r="N276">
        <f t="shared" si="51"/>
        <v>20077.161250000001</v>
      </c>
      <c r="O276">
        <f t="shared" si="52"/>
        <v>219.75918227370056</v>
      </c>
      <c r="P276">
        <f t="shared" si="53"/>
        <v>-63.516682273700553</v>
      </c>
      <c r="Q276">
        <f t="shared" si="54"/>
        <v>4034.3689270582263</v>
      </c>
      <c r="R276">
        <f t="shared" si="55"/>
        <v>0.22930210207112114</v>
      </c>
      <c r="S276">
        <f t="shared" si="56"/>
        <v>22.930210207112115</v>
      </c>
    </row>
    <row r="277" spans="1:19" x14ac:dyDescent="0.3">
      <c r="A277" s="10" t="s">
        <v>338</v>
      </c>
      <c r="B277">
        <v>253.6</v>
      </c>
      <c r="G277" s="7" t="s">
        <v>30</v>
      </c>
      <c r="H277">
        <v>249.31199999999998</v>
      </c>
      <c r="J277" t="str">
        <f t="shared" si="57"/>
        <v>2022-Nov</v>
      </c>
      <c r="K277">
        <v>170.92249999999999</v>
      </c>
      <c r="L277">
        <v>129.5</v>
      </c>
      <c r="M277">
        <f t="shared" si="50"/>
        <v>16770.25</v>
      </c>
      <c r="N277">
        <f t="shared" si="51"/>
        <v>22134.463749999999</v>
      </c>
      <c r="O277">
        <f t="shared" si="52"/>
        <v>220.47156351325953</v>
      </c>
      <c r="P277">
        <f t="shared" si="53"/>
        <v>-49.54906351325954</v>
      </c>
      <c r="Q277">
        <f t="shared" si="54"/>
        <v>2455.1096950410279</v>
      </c>
      <c r="R277">
        <f t="shared" si="55"/>
        <v>0.17887748560743516</v>
      </c>
      <c r="S277">
        <f t="shared" si="56"/>
        <v>17.887748560743518</v>
      </c>
    </row>
    <row r="278" spans="1:19" x14ac:dyDescent="0.3">
      <c r="A278" s="10" t="s">
        <v>339</v>
      </c>
      <c r="B278">
        <v>251.5</v>
      </c>
      <c r="G278" s="7" t="s">
        <v>31</v>
      </c>
      <c r="H278">
        <v>256.78750000000002</v>
      </c>
      <c r="J278" t="str">
        <f t="shared" si="57"/>
        <v>2022-Dec</v>
      </c>
      <c r="K278">
        <v>174.91800000000001</v>
      </c>
      <c r="L278">
        <v>130.5</v>
      </c>
      <c r="M278">
        <f t="shared" si="50"/>
        <v>17030.25</v>
      </c>
      <c r="N278">
        <f t="shared" si="51"/>
        <v>22826.798999999999</v>
      </c>
      <c r="O278">
        <f t="shared" si="52"/>
        <v>221.18394475281849</v>
      </c>
      <c r="P278">
        <f t="shared" si="53"/>
        <v>-46.265944752818484</v>
      </c>
      <c r="Q278">
        <f t="shared" si="54"/>
        <v>2140.5376438708522</v>
      </c>
      <c r="R278">
        <f t="shared" si="55"/>
        <v>0.16702507130981403</v>
      </c>
      <c r="S278">
        <f t="shared" si="56"/>
        <v>16.702507130981402</v>
      </c>
    </row>
    <row r="279" spans="1:19" x14ac:dyDescent="0.3">
      <c r="A279" s="10" t="s">
        <v>340</v>
      </c>
      <c r="B279">
        <v>249.45</v>
      </c>
      <c r="G279" s="7" t="s">
        <v>19</v>
      </c>
      <c r="H279">
        <v>272.10249999999996</v>
      </c>
      <c r="J279" t="str">
        <f>_xlfn.CONCAT($G$302,"-",G303)</f>
        <v>2023-Jan</v>
      </c>
      <c r="K279">
        <v>187.95999999999998</v>
      </c>
      <c r="L279">
        <v>131.5</v>
      </c>
      <c r="M279">
        <f t="shared" si="50"/>
        <v>17292.25</v>
      </c>
      <c r="N279">
        <f t="shared" si="51"/>
        <v>24716.739999999998</v>
      </c>
      <c r="O279">
        <f t="shared" si="52"/>
        <v>221.89632599237746</v>
      </c>
      <c r="P279">
        <f t="shared" si="53"/>
        <v>-33.936325992377476</v>
      </c>
      <c r="Q279">
        <f t="shared" si="54"/>
        <v>1151.6742218609152</v>
      </c>
      <c r="R279">
        <f t="shared" si="55"/>
        <v>0.1225138122468501</v>
      </c>
      <c r="S279">
        <f t="shared" si="56"/>
        <v>12.251381224685009</v>
      </c>
    </row>
    <row r="280" spans="1:19" x14ac:dyDescent="0.3">
      <c r="A280" s="10" t="s">
        <v>341</v>
      </c>
      <c r="B280">
        <v>250.9</v>
      </c>
      <c r="G280" s="7" t="s">
        <v>20</v>
      </c>
      <c r="H280">
        <v>285.15199999999993</v>
      </c>
      <c r="J280" t="str">
        <f t="shared" ref="J280:J285" si="58">_xlfn.CONCAT($G$302,"-",G304)</f>
        <v>2023-Feb</v>
      </c>
      <c r="K280">
        <v>209.405</v>
      </c>
      <c r="L280">
        <v>132.5</v>
      </c>
      <c r="M280">
        <f t="shared" si="50"/>
        <v>17556.25</v>
      </c>
      <c r="N280">
        <f t="shared" si="51"/>
        <v>27746.162499999999</v>
      </c>
      <c r="O280">
        <f t="shared" si="52"/>
        <v>222.60870723193642</v>
      </c>
      <c r="P280">
        <f t="shared" si="53"/>
        <v>-13.20370723193642</v>
      </c>
      <c r="Q280">
        <f t="shared" si="54"/>
        <v>174.33788466669012</v>
      </c>
      <c r="R280">
        <f t="shared" si="55"/>
        <v>4.7666813111683824E-2</v>
      </c>
      <c r="S280">
        <f t="shared" si="56"/>
        <v>4.7666813111683828</v>
      </c>
    </row>
    <row r="281" spans="1:19" x14ac:dyDescent="0.3">
      <c r="A281" s="10" t="s">
        <v>342</v>
      </c>
      <c r="B281">
        <v>244.94</v>
      </c>
      <c r="G281" s="7" t="s">
        <v>21</v>
      </c>
      <c r="H281">
        <v>312.13250000000005</v>
      </c>
      <c r="J281" t="str">
        <f t="shared" si="58"/>
        <v>2023-Mar</v>
      </c>
      <c r="K281">
        <v>215.334</v>
      </c>
      <c r="L281">
        <v>133.5</v>
      </c>
      <c r="M281">
        <f t="shared" si="50"/>
        <v>17822.25</v>
      </c>
      <c r="N281">
        <f t="shared" si="51"/>
        <v>28747.089</v>
      </c>
      <c r="O281">
        <f t="shared" si="52"/>
        <v>223.32108847149539</v>
      </c>
      <c r="P281">
        <f t="shared" si="53"/>
        <v>-7.9870884714953831</v>
      </c>
      <c r="Q281">
        <f t="shared" si="54"/>
        <v>63.793582251494456</v>
      </c>
      <c r="R281">
        <f t="shared" si="55"/>
        <v>2.8834254409730625E-2</v>
      </c>
      <c r="S281">
        <f t="shared" si="56"/>
        <v>2.8834254409730624</v>
      </c>
    </row>
    <row r="282" spans="1:19" x14ac:dyDescent="0.3">
      <c r="A282" s="10" t="s">
        <v>343</v>
      </c>
      <c r="B282">
        <v>250.33</v>
      </c>
      <c r="G282" s="7" t="s">
        <v>22</v>
      </c>
      <c r="H282">
        <v>293.87</v>
      </c>
      <c r="J282" t="str">
        <f t="shared" si="58"/>
        <v>2023-Apr</v>
      </c>
      <c r="K282">
        <v>230.25250000000003</v>
      </c>
      <c r="L282">
        <v>134.5</v>
      </c>
      <c r="M282">
        <f t="shared" si="50"/>
        <v>18090.25</v>
      </c>
      <c r="N282">
        <f t="shared" si="51"/>
        <v>30968.961250000004</v>
      </c>
      <c r="O282">
        <f t="shared" si="52"/>
        <v>224.03346971105435</v>
      </c>
      <c r="P282">
        <f t="shared" si="53"/>
        <v>6.2190302889456746</v>
      </c>
      <c r="Q282">
        <f t="shared" si="54"/>
        <v>38.676337734823719</v>
      </c>
      <c r="R282">
        <f t="shared" si="55"/>
        <v>2.2451372884280413E-2</v>
      </c>
      <c r="S282">
        <f t="shared" si="56"/>
        <v>2.2451372884280412</v>
      </c>
    </row>
    <row r="283" spans="1:19" x14ac:dyDescent="0.3">
      <c r="A283" s="10" t="s">
        <v>344</v>
      </c>
      <c r="B283">
        <v>247.12</v>
      </c>
      <c r="G283" s="7" t="s">
        <v>23</v>
      </c>
      <c r="H283">
        <v>293.05799999999999</v>
      </c>
      <c r="J283" t="str">
        <f t="shared" si="58"/>
        <v>2023-May</v>
      </c>
      <c r="K283">
        <v>226.36500000000001</v>
      </c>
      <c r="L283">
        <v>135.5</v>
      </c>
      <c r="M283">
        <f t="shared" si="50"/>
        <v>18360.25</v>
      </c>
      <c r="N283">
        <f t="shared" si="51"/>
        <v>30672.4575</v>
      </c>
      <c r="O283">
        <f t="shared" si="52"/>
        <v>224.74585095061332</v>
      </c>
      <c r="P283">
        <f t="shared" si="53"/>
        <v>1.6191490493866922</v>
      </c>
      <c r="Q283">
        <f t="shared" si="54"/>
        <v>2.6216436441298292</v>
      </c>
      <c r="R283">
        <f t="shared" si="55"/>
        <v>5.8453034273887802E-3</v>
      </c>
      <c r="S283">
        <f t="shared" si="56"/>
        <v>0.58453034273887805</v>
      </c>
    </row>
    <row r="284" spans="1:19" x14ac:dyDescent="0.3">
      <c r="A284" s="10" t="s">
        <v>345</v>
      </c>
      <c r="B284">
        <v>244.49</v>
      </c>
      <c r="G284" s="7" t="s">
        <v>24</v>
      </c>
      <c r="H284">
        <v>271.97500000000002</v>
      </c>
      <c r="J284" t="str">
        <f t="shared" si="58"/>
        <v>2023-Jun</v>
      </c>
      <c r="K284">
        <v>231.84</v>
      </c>
      <c r="L284">
        <v>136.5</v>
      </c>
      <c r="M284">
        <f t="shared" si="50"/>
        <v>18632.25</v>
      </c>
      <c r="N284">
        <f t="shared" si="51"/>
        <v>31646.16</v>
      </c>
      <c r="O284">
        <f t="shared" si="52"/>
        <v>225.45823219017228</v>
      </c>
      <c r="P284">
        <f t="shared" si="53"/>
        <v>6.3817678098277213</v>
      </c>
      <c r="Q284">
        <f t="shared" si="54"/>
        <v>40.726960378553308</v>
      </c>
      <c r="R284">
        <f t="shared" si="55"/>
        <v>2.3038872959666865E-2</v>
      </c>
      <c r="S284">
        <f t="shared" si="56"/>
        <v>2.3038872959666867</v>
      </c>
    </row>
    <row r="285" spans="1:19" x14ac:dyDescent="0.3">
      <c r="A285" s="10" t="s">
        <v>346</v>
      </c>
      <c r="B285">
        <v>234.29</v>
      </c>
      <c r="G285" s="7" t="s">
        <v>25</v>
      </c>
      <c r="H285">
        <v>251.36250000000001</v>
      </c>
      <c r="J285" t="str">
        <f t="shared" si="58"/>
        <v>2023-Jul</v>
      </c>
      <c r="K285">
        <v>256.12333333333333</v>
      </c>
      <c r="L285">
        <v>137.5</v>
      </c>
      <c r="M285">
        <f t="shared" si="50"/>
        <v>18906.25</v>
      </c>
      <c r="N285">
        <f t="shared" si="51"/>
        <v>35216.958333333336</v>
      </c>
      <c r="O285">
        <f t="shared" si="52"/>
        <v>226.17061342973128</v>
      </c>
      <c r="P285">
        <f t="shared" si="53"/>
        <v>29.952719903602059</v>
      </c>
      <c r="Q285">
        <f t="shared" si="54"/>
        <v>897.16542962363894</v>
      </c>
      <c r="R285">
        <f t="shared" si="55"/>
        <v>0.10813256282888831</v>
      </c>
      <c r="S285">
        <f t="shared" si="56"/>
        <v>10.813256282888831</v>
      </c>
    </row>
    <row r="286" spans="1:19" x14ac:dyDescent="0.3">
      <c r="A286" s="10" t="s">
        <v>347</v>
      </c>
      <c r="B286">
        <v>240.11</v>
      </c>
      <c r="G286" s="7" t="s">
        <v>26</v>
      </c>
      <c r="H286">
        <v>228.71999999999997</v>
      </c>
    </row>
    <row r="287" spans="1:19" x14ac:dyDescent="0.3">
      <c r="A287" s="10" t="s">
        <v>348</v>
      </c>
      <c r="B287">
        <v>229.48</v>
      </c>
      <c r="G287" s="7" t="s">
        <v>27</v>
      </c>
      <c r="H287">
        <v>244.3725</v>
      </c>
    </row>
    <row r="288" spans="1:19" x14ac:dyDescent="0.3">
      <c r="A288" s="10" t="s">
        <v>349</v>
      </c>
      <c r="B288">
        <v>252.03</v>
      </c>
      <c r="G288" s="7" t="s">
        <v>28</v>
      </c>
      <c r="H288">
        <v>249.97999999999996</v>
      </c>
    </row>
    <row r="289" spans="1:8" x14ac:dyDescent="0.3">
      <c r="A289" s="10" t="s">
        <v>350</v>
      </c>
      <c r="B289">
        <v>247.12</v>
      </c>
      <c r="G289" s="4" t="s">
        <v>35</v>
      </c>
      <c r="H289">
        <v>205.44499999999999</v>
      </c>
    </row>
    <row r="290" spans="1:8" x14ac:dyDescent="0.3">
      <c r="A290" s="10" t="s">
        <v>351</v>
      </c>
      <c r="B290">
        <v>241.31</v>
      </c>
      <c r="G290" s="7" t="s">
        <v>30</v>
      </c>
      <c r="H290">
        <v>252.47500000000002</v>
      </c>
    </row>
    <row r="291" spans="1:8" x14ac:dyDescent="0.3">
      <c r="A291" s="10" t="s">
        <v>352</v>
      </c>
      <c r="B291">
        <v>252.22</v>
      </c>
      <c r="G291" s="7" t="s">
        <v>31</v>
      </c>
      <c r="H291">
        <v>229.8175</v>
      </c>
    </row>
    <row r="292" spans="1:8" x14ac:dyDescent="0.3">
      <c r="A292" s="10" t="s">
        <v>353</v>
      </c>
      <c r="B292">
        <v>244.19</v>
      </c>
      <c r="G292" s="7" t="s">
        <v>19</v>
      </c>
      <c r="H292">
        <v>218.29750000000001</v>
      </c>
    </row>
    <row r="293" spans="1:8" x14ac:dyDescent="0.3">
      <c r="A293" s="10" t="s">
        <v>354</v>
      </c>
      <c r="B293">
        <v>235.32</v>
      </c>
      <c r="G293" s="7" t="s">
        <v>20</v>
      </c>
      <c r="H293">
        <v>206.49200000000002</v>
      </c>
    </row>
    <row r="294" spans="1:8" x14ac:dyDescent="0.3">
      <c r="A294" s="10" t="s">
        <v>355</v>
      </c>
      <c r="B294">
        <v>255.87</v>
      </c>
      <c r="G294" s="7" t="s">
        <v>21</v>
      </c>
      <c r="H294">
        <v>210.51750000000001</v>
      </c>
    </row>
    <row r="295" spans="1:8" x14ac:dyDescent="0.3">
      <c r="A295" s="10" t="s">
        <v>356</v>
      </c>
      <c r="B295">
        <v>268.85000000000002</v>
      </c>
      <c r="G295" s="7" t="s">
        <v>22</v>
      </c>
      <c r="H295">
        <v>224.65249999999997</v>
      </c>
    </row>
    <row r="296" spans="1:8" x14ac:dyDescent="0.3">
      <c r="A296" s="10" t="s">
        <v>357</v>
      </c>
      <c r="B296">
        <v>274.32</v>
      </c>
      <c r="G296" s="7" t="s">
        <v>23</v>
      </c>
      <c r="H296">
        <v>226.46400000000003</v>
      </c>
    </row>
    <row r="297" spans="1:8" x14ac:dyDescent="0.3">
      <c r="A297" s="10" t="s">
        <v>358</v>
      </c>
      <c r="B297">
        <v>271.85000000000002</v>
      </c>
      <c r="G297" s="7" t="s">
        <v>24</v>
      </c>
      <c r="H297">
        <v>228.86499999999998</v>
      </c>
    </row>
    <row r="298" spans="1:8" x14ac:dyDescent="0.3">
      <c r="A298" s="10" t="s">
        <v>359</v>
      </c>
      <c r="B298">
        <v>265.92</v>
      </c>
      <c r="G298" s="7" t="s">
        <v>25</v>
      </c>
      <c r="H298">
        <v>175.32200000000003</v>
      </c>
    </row>
    <row r="299" spans="1:8" x14ac:dyDescent="0.3">
      <c r="A299" s="10" t="s">
        <v>360</v>
      </c>
      <c r="B299">
        <v>249.54</v>
      </c>
      <c r="G299" s="7" t="s">
        <v>26</v>
      </c>
      <c r="H299">
        <v>156.24250000000001</v>
      </c>
    </row>
    <row r="300" spans="1:8" x14ac:dyDescent="0.3">
      <c r="A300" s="10" t="s">
        <v>361</v>
      </c>
      <c r="B300">
        <v>250.02</v>
      </c>
      <c r="G300" s="7" t="s">
        <v>27</v>
      </c>
      <c r="H300">
        <v>170.92249999999999</v>
      </c>
    </row>
    <row r="301" spans="1:8" x14ac:dyDescent="0.3">
      <c r="A301" s="10" t="s">
        <v>362</v>
      </c>
      <c r="B301">
        <v>240.05</v>
      </c>
      <c r="G301" s="7" t="s">
        <v>28</v>
      </c>
      <c r="H301">
        <v>174.91800000000001</v>
      </c>
    </row>
    <row r="302" spans="1:8" x14ac:dyDescent="0.3">
      <c r="A302" s="10" t="s">
        <v>363</v>
      </c>
      <c r="B302">
        <v>240.73</v>
      </c>
      <c r="G302" s="4" t="s">
        <v>36</v>
      </c>
      <c r="H302">
        <v>221.3851724137931</v>
      </c>
    </row>
    <row r="303" spans="1:8" x14ac:dyDescent="0.3">
      <c r="A303" s="10" t="s">
        <v>364</v>
      </c>
      <c r="B303">
        <v>230.84</v>
      </c>
      <c r="G303" s="7" t="s">
        <v>30</v>
      </c>
      <c r="H303">
        <v>187.95999999999998</v>
      </c>
    </row>
    <row r="304" spans="1:8" x14ac:dyDescent="0.3">
      <c r="A304" s="10" t="s">
        <v>365</v>
      </c>
      <c r="B304">
        <v>217</v>
      </c>
      <c r="G304" s="7" t="s">
        <v>31</v>
      </c>
      <c r="H304">
        <v>209.405</v>
      </c>
    </row>
    <row r="305" spans="1:8" x14ac:dyDescent="0.3">
      <c r="A305" s="10" t="s">
        <v>366</v>
      </c>
      <c r="B305">
        <v>216</v>
      </c>
      <c r="G305" s="7" t="s">
        <v>19</v>
      </c>
      <c r="H305">
        <v>215.334</v>
      </c>
    </row>
    <row r="306" spans="1:8" x14ac:dyDescent="0.3">
      <c r="A306" s="10" t="s">
        <v>367</v>
      </c>
      <c r="B306">
        <v>218.15</v>
      </c>
      <c r="G306" s="7" t="s">
        <v>20</v>
      </c>
      <c r="H306">
        <v>230.25250000000003</v>
      </c>
    </row>
    <row r="307" spans="1:8" x14ac:dyDescent="0.3">
      <c r="A307" s="10" t="s">
        <v>368</v>
      </c>
      <c r="B307">
        <v>224.24</v>
      </c>
      <c r="G307" s="7" t="s">
        <v>21</v>
      </c>
      <c r="H307">
        <v>226.36500000000001</v>
      </c>
    </row>
    <row r="308" spans="1:8" x14ac:dyDescent="0.3">
      <c r="A308" s="10" t="s">
        <v>369</v>
      </c>
      <c r="B308">
        <v>230.47</v>
      </c>
      <c r="G308" s="7" t="s">
        <v>22</v>
      </c>
      <c r="H308">
        <v>231.84</v>
      </c>
    </row>
    <row r="309" spans="1:8" x14ac:dyDescent="0.3">
      <c r="A309" s="10" t="s">
        <v>370</v>
      </c>
      <c r="B309">
        <v>225.07</v>
      </c>
      <c r="G309" s="7" t="s">
        <v>23</v>
      </c>
      <c r="H309">
        <v>256.12333333333333</v>
      </c>
    </row>
    <row r="310" spans="1:8" x14ac:dyDescent="0.3">
      <c r="A310" s="10" t="s">
        <v>371</v>
      </c>
      <c r="B310">
        <v>222.22</v>
      </c>
      <c r="G310" s="4" t="s">
        <v>13</v>
      </c>
      <c r="H310">
        <v>128.11860556940974</v>
      </c>
    </row>
    <row r="311" spans="1:8" x14ac:dyDescent="0.3">
      <c r="A311" s="10" t="s">
        <v>372</v>
      </c>
      <c r="B311">
        <v>220.8</v>
      </c>
    </row>
    <row r="312" spans="1:8" x14ac:dyDescent="0.3">
      <c r="A312" s="10" t="s">
        <v>373</v>
      </c>
      <c r="B312">
        <v>225.58</v>
      </c>
    </row>
    <row r="313" spans="1:8" x14ac:dyDescent="0.3">
      <c r="A313" s="10" t="s">
        <v>374</v>
      </c>
      <c r="B313">
        <v>220</v>
      </c>
    </row>
    <row r="314" spans="1:8" x14ac:dyDescent="0.3">
      <c r="A314" s="10" t="s">
        <v>375</v>
      </c>
      <c r="B314">
        <v>214.83</v>
      </c>
    </row>
    <row r="315" spans="1:8" x14ac:dyDescent="0.3">
      <c r="A315" s="10" t="s">
        <v>376</v>
      </c>
      <c r="B315">
        <v>210.48</v>
      </c>
    </row>
    <row r="316" spans="1:8" x14ac:dyDescent="0.3">
      <c r="A316" s="10" t="s">
        <v>377</v>
      </c>
      <c r="B316">
        <v>215.05</v>
      </c>
    </row>
    <row r="317" spans="1:8" x14ac:dyDescent="0.3">
      <c r="A317" s="10" t="s">
        <v>378</v>
      </c>
      <c r="B317">
        <v>207.76</v>
      </c>
    </row>
    <row r="318" spans="1:8" x14ac:dyDescent="0.3">
      <c r="A318" s="10" t="s">
        <v>379</v>
      </c>
      <c r="B318">
        <v>206</v>
      </c>
    </row>
    <row r="319" spans="1:8" x14ac:dyDescent="0.3">
      <c r="A319" s="10" t="s">
        <v>380</v>
      </c>
      <c r="B319">
        <v>204.87</v>
      </c>
    </row>
    <row r="320" spans="1:8" x14ac:dyDescent="0.3">
      <c r="A320" s="10" t="s">
        <v>381</v>
      </c>
      <c r="B320">
        <v>209.32</v>
      </c>
    </row>
    <row r="321" spans="1:2" x14ac:dyDescent="0.3">
      <c r="A321" s="10" t="s">
        <v>382</v>
      </c>
      <c r="B321">
        <v>208.04</v>
      </c>
    </row>
    <row r="322" spans="1:2" x14ac:dyDescent="0.3">
      <c r="A322" s="10" t="s">
        <v>383</v>
      </c>
      <c r="B322">
        <v>212.51</v>
      </c>
    </row>
    <row r="323" spans="1:2" x14ac:dyDescent="0.3">
      <c r="A323" s="10" t="s">
        <v>384</v>
      </c>
      <c r="B323">
        <v>219.06</v>
      </c>
    </row>
    <row r="324" spans="1:2" x14ac:dyDescent="0.3">
      <c r="A324" s="10" t="s">
        <v>385</v>
      </c>
      <c r="B324">
        <v>218.51</v>
      </c>
    </row>
    <row r="325" spans="1:2" x14ac:dyDescent="0.3">
      <c r="A325" s="10" t="s">
        <v>386</v>
      </c>
      <c r="B325">
        <v>217.33</v>
      </c>
    </row>
    <row r="326" spans="1:2" x14ac:dyDescent="0.3">
      <c r="A326" s="10" t="s">
        <v>387</v>
      </c>
      <c r="B326">
        <v>215.35</v>
      </c>
    </row>
    <row r="327" spans="1:2" x14ac:dyDescent="0.3">
      <c r="A327" s="10" t="s">
        <v>388</v>
      </c>
      <c r="B327">
        <v>210.5</v>
      </c>
    </row>
    <row r="328" spans="1:2" x14ac:dyDescent="0.3">
      <c r="A328" s="10" t="s">
        <v>389</v>
      </c>
      <c r="B328">
        <v>206.4</v>
      </c>
    </row>
    <row r="329" spans="1:2" x14ac:dyDescent="0.3">
      <c r="A329" s="10" t="s">
        <v>390</v>
      </c>
      <c r="B329">
        <v>203.11</v>
      </c>
    </row>
    <row r="330" spans="1:2" x14ac:dyDescent="0.3">
      <c r="A330" s="10" t="s">
        <v>391</v>
      </c>
      <c r="B330">
        <v>194.26</v>
      </c>
    </row>
    <row r="331" spans="1:2" x14ac:dyDescent="0.3">
      <c r="A331" s="10" t="s">
        <v>392</v>
      </c>
      <c r="B331">
        <v>189.37</v>
      </c>
    </row>
    <row r="332" spans="1:2" x14ac:dyDescent="0.3">
      <c r="A332" s="10" t="s">
        <v>393</v>
      </c>
      <c r="B332">
        <v>191.66</v>
      </c>
    </row>
    <row r="333" spans="1:2" x14ac:dyDescent="0.3">
      <c r="A333" s="10" t="s">
        <v>394</v>
      </c>
      <c r="B333">
        <v>192.42</v>
      </c>
    </row>
    <row r="334" spans="1:2" x14ac:dyDescent="0.3">
      <c r="A334" s="10" t="s">
        <v>395</v>
      </c>
      <c r="B334">
        <v>189.7</v>
      </c>
    </row>
    <row r="335" spans="1:2" x14ac:dyDescent="0.3">
      <c r="A335" s="10" t="s">
        <v>396</v>
      </c>
      <c r="B335">
        <v>185.28</v>
      </c>
    </row>
    <row r="336" spans="1:2" x14ac:dyDescent="0.3">
      <c r="A336" s="10" t="s">
        <v>397</v>
      </c>
      <c r="B336">
        <v>183.73</v>
      </c>
    </row>
    <row r="337" spans="1:2" x14ac:dyDescent="0.3">
      <c r="A337" s="10" t="s">
        <v>398</v>
      </c>
      <c r="B337">
        <v>195.65</v>
      </c>
    </row>
    <row r="338" spans="1:2" x14ac:dyDescent="0.3">
      <c r="A338" s="10" t="s">
        <v>399</v>
      </c>
      <c r="B338">
        <v>195.15</v>
      </c>
    </row>
    <row r="339" spans="1:2" x14ac:dyDescent="0.3">
      <c r="A339" s="10" t="s">
        <v>400</v>
      </c>
      <c r="B339">
        <v>188.12</v>
      </c>
    </row>
    <row r="340" spans="1:2" x14ac:dyDescent="0.3">
      <c r="A340" s="10" t="s">
        <v>401</v>
      </c>
      <c r="B340">
        <v>194.59</v>
      </c>
    </row>
    <row r="341" spans="1:2" x14ac:dyDescent="0.3">
      <c r="A341" s="10" t="s">
        <v>402</v>
      </c>
      <c r="B341">
        <v>192.15</v>
      </c>
    </row>
    <row r="342" spans="1:2" x14ac:dyDescent="0.3">
      <c r="A342" s="10" t="s">
        <v>403</v>
      </c>
      <c r="B342">
        <v>194.35</v>
      </c>
    </row>
    <row r="343" spans="1:2" x14ac:dyDescent="0.3">
      <c r="A343" s="10" t="s">
        <v>404</v>
      </c>
      <c r="B343">
        <v>193.11</v>
      </c>
    </row>
    <row r="344" spans="1:2" x14ac:dyDescent="0.3">
      <c r="A344" s="10" t="s">
        <v>405</v>
      </c>
      <c r="B344">
        <v>193.7</v>
      </c>
    </row>
    <row r="345" spans="1:2" x14ac:dyDescent="0.3">
      <c r="A345" s="10" t="s">
        <v>406</v>
      </c>
      <c r="B345">
        <v>190.86</v>
      </c>
    </row>
    <row r="346" spans="1:2" x14ac:dyDescent="0.3">
      <c r="A346" s="10" t="s">
        <v>407</v>
      </c>
      <c r="B346">
        <v>188.21</v>
      </c>
    </row>
    <row r="347" spans="1:2" x14ac:dyDescent="0.3">
      <c r="A347" s="10" t="s">
        <v>408</v>
      </c>
      <c r="B347">
        <v>195.92</v>
      </c>
    </row>
    <row r="348" spans="1:2" x14ac:dyDescent="0.3">
      <c r="A348" s="10" t="s">
        <v>409</v>
      </c>
      <c r="B348">
        <v>185.73</v>
      </c>
    </row>
    <row r="349" spans="1:2" x14ac:dyDescent="0.3">
      <c r="A349" s="10" t="s">
        <v>410</v>
      </c>
      <c r="B349">
        <v>187.01</v>
      </c>
    </row>
    <row r="350" spans="1:2" x14ac:dyDescent="0.3">
      <c r="A350" s="10" t="s">
        <v>411</v>
      </c>
      <c r="B350">
        <v>190.25</v>
      </c>
    </row>
    <row r="351" spans="1:2" x14ac:dyDescent="0.3">
      <c r="A351" s="10" t="s">
        <v>412</v>
      </c>
      <c r="B351">
        <v>186.2</v>
      </c>
    </row>
    <row r="352" spans="1:2" x14ac:dyDescent="0.3">
      <c r="A352" s="10" t="s">
        <v>413</v>
      </c>
      <c r="B352">
        <v>191.86</v>
      </c>
    </row>
    <row r="353" spans="1:2" x14ac:dyDescent="0.3">
      <c r="A353" s="10" t="s">
        <v>414</v>
      </c>
      <c r="B353">
        <v>196.48</v>
      </c>
    </row>
    <row r="354" spans="1:2" x14ac:dyDescent="0.3">
      <c r="A354" s="10" t="s">
        <v>415</v>
      </c>
      <c r="B354">
        <v>196.6</v>
      </c>
    </row>
    <row r="355" spans="1:2" x14ac:dyDescent="0.3">
      <c r="A355" s="10" t="s">
        <v>416</v>
      </c>
      <c r="B355">
        <v>192.8</v>
      </c>
    </row>
    <row r="356" spans="1:2" x14ac:dyDescent="0.3">
      <c r="A356" s="10" t="s">
        <v>417</v>
      </c>
      <c r="B356">
        <v>191.53</v>
      </c>
    </row>
    <row r="357" spans="1:2" x14ac:dyDescent="0.3">
      <c r="A357" s="10" t="s">
        <v>418</v>
      </c>
      <c r="B357">
        <v>187.29</v>
      </c>
    </row>
    <row r="358" spans="1:2" x14ac:dyDescent="0.3">
      <c r="A358" s="10" t="s">
        <v>419</v>
      </c>
      <c r="B358">
        <v>183.69</v>
      </c>
    </row>
    <row r="359" spans="1:2" x14ac:dyDescent="0.3">
      <c r="A359" s="10" t="s">
        <v>420</v>
      </c>
      <c r="B359">
        <v>174.8</v>
      </c>
    </row>
    <row r="360" spans="1:2" x14ac:dyDescent="0.3">
      <c r="A360" s="10" t="s">
        <v>421</v>
      </c>
      <c r="B360">
        <v>174.25</v>
      </c>
    </row>
    <row r="361" spans="1:2" x14ac:dyDescent="0.3">
      <c r="A361" s="10" t="s">
        <v>422</v>
      </c>
      <c r="B361">
        <v>170.2</v>
      </c>
    </row>
    <row r="362" spans="1:2" x14ac:dyDescent="0.3">
      <c r="A362" s="10" t="s">
        <v>423</v>
      </c>
      <c r="B362">
        <v>170.98</v>
      </c>
    </row>
    <row r="363" spans="1:2" x14ac:dyDescent="0.3">
      <c r="A363" s="10" t="s">
        <v>424</v>
      </c>
      <c r="B363">
        <v>173.01</v>
      </c>
    </row>
    <row r="364" spans="1:2" x14ac:dyDescent="0.3">
      <c r="A364" s="10" t="s">
        <v>425</v>
      </c>
      <c r="B364">
        <v>174.68</v>
      </c>
    </row>
    <row r="365" spans="1:2" x14ac:dyDescent="0.3">
      <c r="A365" s="10" t="s">
        <v>426</v>
      </c>
      <c r="B365">
        <v>174.39</v>
      </c>
    </row>
    <row r="366" spans="1:2" x14ac:dyDescent="0.3">
      <c r="A366" s="10" t="s">
        <v>427</v>
      </c>
      <c r="B366">
        <v>158.88999999999999</v>
      </c>
    </row>
    <row r="367" spans="1:2" x14ac:dyDescent="0.3">
      <c r="A367" s="10" t="s">
        <v>428</v>
      </c>
      <c r="B367">
        <v>160.85</v>
      </c>
    </row>
    <row r="368" spans="1:2" x14ac:dyDescent="0.3">
      <c r="A368" s="10" t="s">
        <v>429</v>
      </c>
      <c r="B368">
        <v>165.49</v>
      </c>
    </row>
    <row r="369" spans="1:2" x14ac:dyDescent="0.3">
      <c r="A369" s="10" t="s">
        <v>430</v>
      </c>
      <c r="B369">
        <v>164.95</v>
      </c>
    </row>
    <row r="370" spans="1:2" x14ac:dyDescent="0.3">
      <c r="A370" s="10" t="s">
        <v>431</v>
      </c>
      <c r="B370">
        <v>168.63</v>
      </c>
    </row>
    <row r="371" spans="1:2" x14ac:dyDescent="0.3">
      <c r="A371" s="10" t="s">
        <v>432</v>
      </c>
      <c r="B371">
        <v>165.5</v>
      </c>
    </row>
    <row r="372" spans="1:2" x14ac:dyDescent="0.3">
      <c r="A372" s="10" t="s">
        <v>433</v>
      </c>
      <c r="B372">
        <v>162.91</v>
      </c>
    </row>
    <row r="373" spans="1:2" x14ac:dyDescent="0.3">
      <c r="A373" s="10" t="s">
        <v>434</v>
      </c>
      <c r="B373">
        <v>161.9</v>
      </c>
    </row>
    <row r="374" spans="1:2" x14ac:dyDescent="0.3">
      <c r="A374" s="10" t="s">
        <v>435</v>
      </c>
      <c r="B374">
        <v>160.77000000000001</v>
      </c>
    </row>
    <row r="375" spans="1:2" x14ac:dyDescent="0.3">
      <c r="A375" s="10" t="s">
        <v>436</v>
      </c>
      <c r="B375">
        <v>160.59</v>
      </c>
    </row>
    <row r="376" spans="1:2" x14ac:dyDescent="0.3">
      <c r="A376" s="10" t="s">
        <v>437</v>
      </c>
      <c r="B376">
        <v>156.22</v>
      </c>
    </row>
    <row r="377" spans="1:2" x14ac:dyDescent="0.3">
      <c r="A377" s="10" t="s">
        <v>438</v>
      </c>
      <c r="B377">
        <v>153.84</v>
      </c>
    </row>
    <row r="378" spans="1:2" x14ac:dyDescent="0.3">
      <c r="A378" s="10" t="s">
        <v>439</v>
      </c>
      <c r="B378">
        <v>150.57</v>
      </c>
    </row>
    <row r="379" spans="1:2" x14ac:dyDescent="0.3">
      <c r="A379" s="10" t="s">
        <v>440</v>
      </c>
      <c r="B379">
        <v>162.25</v>
      </c>
    </row>
    <row r="380" spans="1:2" x14ac:dyDescent="0.3">
      <c r="A380" s="10" t="s">
        <v>441</v>
      </c>
      <c r="B380">
        <v>160.87</v>
      </c>
    </row>
    <row r="381" spans="1:2" x14ac:dyDescent="0.3">
      <c r="A381" s="10" t="s">
        <v>442</v>
      </c>
      <c r="B381">
        <v>163.82</v>
      </c>
    </row>
    <row r="382" spans="1:2" x14ac:dyDescent="0.3">
      <c r="A382" s="10" t="s">
        <v>443</v>
      </c>
      <c r="B382">
        <v>164.47</v>
      </c>
    </row>
    <row r="383" spans="1:2" x14ac:dyDescent="0.3">
      <c r="A383" s="10" t="s">
        <v>444</v>
      </c>
      <c r="B383">
        <v>161.63</v>
      </c>
    </row>
    <row r="384" spans="1:2" x14ac:dyDescent="0.3">
      <c r="A384" s="10" t="s">
        <v>445</v>
      </c>
      <c r="B384">
        <v>157.76</v>
      </c>
    </row>
    <row r="385" spans="1:2" x14ac:dyDescent="0.3">
      <c r="A385" s="10" t="s">
        <v>446</v>
      </c>
      <c r="B385">
        <v>161.03</v>
      </c>
    </row>
    <row r="386" spans="1:2" x14ac:dyDescent="0.3">
      <c r="A386" s="10" t="s">
        <v>447</v>
      </c>
      <c r="B386">
        <v>165.11</v>
      </c>
    </row>
    <row r="387" spans="1:2" x14ac:dyDescent="0.3">
      <c r="A387" s="10" t="s">
        <v>448</v>
      </c>
      <c r="B387">
        <v>166.32</v>
      </c>
    </row>
    <row r="388" spans="1:2" x14ac:dyDescent="0.3">
      <c r="A388" s="10" t="s">
        <v>449</v>
      </c>
      <c r="B388">
        <v>165.9</v>
      </c>
    </row>
    <row r="389" spans="1:2" x14ac:dyDescent="0.3">
      <c r="A389" s="10" t="s">
        <v>450</v>
      </c>
      <c r="B389">
        <v>163.41999999999999</v>
      </c>
    </row>
    <row r="390" spans="1:2" x14ac:dyDescent="0.3">
      <c r="A390" s="10" t="s">
        <v>451</v>
      </c>
      <c r="B390">
        <v>163.66999999999999</v>
      </c>
    </row>
    <row r="391" spans="1:2" x14ac:dyDescent="0.3">
      <c r="A391" s="10" t="s">
        <v>452</v>
      </c>
      <c r="B391">
        <v>162.65</v>
      </c>
    </row>
    <row r="392" spans="1:2" x14ac:dyDescent="0.3">
      <c r="A392" s="10" t="s">
        <v>453</v>
      </c>
      <c r="B392">
        <v>163.71</v>
      </c>
    </row>
    <row r="393" spans="1:2" x14ac:dyDescent="0.3">
      <c r="A393" s="10" t="s">
        <v>454</v>
      </c>
      <c r="B393">
        <v>144.41999999999999</v>
      </c>
    </row>
    <row r="394" spans="1:2" x14ac:dyDescent="0.3">
      <c r="A394" s="10" t="s">
        <v>455</v>
      </c>
      <c r="B394">
        <v>143.91</v>
      </c>
    </row>
    <row r="395" spans="1:2" x14ac:dyDescent="0.3">
      <c r="A395" s="10" t="s">
        <v>456</v>
      </c>
      <c r="B395">
        <v>137.38</v>
      </c>
    </row>
    <row r="396" spans="1:2" x14ac:dyDescent="0.3">
      <c r="A396" s="10" t="s">
        <v>457</v>
      </c>
      <c r="B396">
        <v>129.76</v>
      </c>
    </row>
    <row r="397" spans="1:2" x14ac:dyDescent="0.3">
      <c r="A397" s="10" t="s">
        <v>458</v>
      </c>
      <c r="B397">
        <v>128.6</v>
      </c>
    </row>
    <row r="398" spans="1:2" x14ac:dyDescent="0.3">
      <c r="A398" s="10" t="s">
        <v>459</v>
      </c>
      <c r="B398">
        <v>131.91</v>
      </c>
    </row>
    <row r="399" spans="1:2" x14ac:dyDescent="0.3">
      <c r="A399" s="10" t="s">
        <v>460</v>
      </c>
      <c r="B399">
        <v>132.88</v>
      </c>
    </row>
    <row r="400" spans="1:2" x14ac:dyDescent="0.3">
      <c r="A400" s="10" t="s">
        <v>461</v>
      </c>
      <c r="B400">
        <v>127.56</v>
      </c>
    </row>
    <row r="401" spans="1:2" x14ac:dyDescent="0.3">
      <c r="A401" s="10" t="s">
        <v>462</v>
      </c>
      <c r="B401">
        <v>126.92</v>
      </c>
    </row>
    <row r="402" spans="1:2" x14ac:dyDescent="0.3">
      <c r="A402" s="10" t="s">
        <v>463</v>
      </c>
      <c r="B402">
        <v>134.71</v>
      </c>
    </row>
    <row r="403" spans="1:2" x14ac:dyDescent="0.3">
      <c r="A403" s="10" t="s">
        <v>464</v>
      </c>
      <c r="B403">
        <v>148.99</v>
      </c>
    </row>
    <row r="404" spans="1:2" x14ac:dyDescent="0.3">
      <c r="A404" s="10" t="s">
        <v>465</v>
      </c>
      <c r="B404">
        <v>149.65</v>
      </c>
    </row>
    <row r="405" spans="1:2" x14ac:dyDescent="0.3">
      <c r="A405" s="10" t="s">
        <v>466</v>
      </c>
      <c r="B405">
        <v>147.15</v>
      </c>
    </row>
    <row r="406" spans="1:2" x14ac:dyDescent="0.3">
      <c r="A406" s="10" t="s">
        <v>467</v>
      </c>
      <c r="B406">
        <v>144.26</v>
      </c>
    </row>
    <row r="407" spans="1:2" x14ac:dyDescent="0.3">
      <c r="A407" s="10" t="s">
        <v>468</v>
      </c>
      <c r="B407">
        <v>155.47</v>
      </c>
    </row>
    <row r="408" spans="1:2" x14ac:dyDescent="0.3">
      <c r="A408" s="10" t="s">
        <v>469</v>
      </c>
      <c r="B408">
        <v>164.09</v>
      </c>
    </row>
    <row r="409" spans="1:2" x14ac:dyDescent="0.3">
      <c r="A409" s="10" t="s">
        <v>470</v>
      </c>
      <c r="B409">
        <v>164.14</v>
      </c>
    </row>
    <row r="410" spans="1:2" x14ac:dyDescent="0.3">
      <c r="A410" s="10" t="s">
        <v>471</v>
      </c>
      <c r="B410">
        <v>158.11000000000001</v>
      </c>
    </row>
    <row r="411" spans="1:2" x14ac:dyDescent="0.3">
      <c r="A411" s="10" t="s">
        <v>472</v>
      </c>
      <c r="B411">
        <v>162.38</v>
      </c>
    </row>
    <row r="412" spans="1:2" x14ac:dyDescent="0.3">
      <c r="A412" s="10" t="s">
        <v>473</v>
      </c>
      <c r="B412">
        <v>156.05000000000001</v>
      </c>
    </row>
    <row r="413" spans="1:2" x14ac:dyDescent="0.3">
      <c r="A413" s="10" t="s">
        <v>474</v>
      </c>
      <c r="B413">
        <v>159.52000000000001</v>
      </c>
    </row>
    <row r="414" spans="1:2" x14ac:dyDescent="0.3">
      <c r="A414" s="10" t="s">
        <v>475</v>
      </c>
      <c r="B414">
        <v>152.47999999999999</v>
      </c>
    </row>
    <row r="415" spans="1:2" x14ac:dyDescent="0.3">
      <c r="A415" s="10" t="s">
        <v>476</v>
      </c>
      <c r="B415">
        <v>155.33000000000001</v>
      </c>
    </row>
    <row r="416" spans="1:2" x14ac:dyDescent="0.3">
      <c r="A416" s="10" t="s">
        <v>477</v>
      </c>
      <c r="B416">
        <v>145.52000000000001</v>
      </c>
    </row>
    <row r="417" spans="1:2" x14ac:dyDescent="0.3">
      <c r="A417" s="10" t="s">
        <v>478</v>
      </c>
      <c r="B417">
        <v>144.44999999999999</v>
      </c>
    </row>
    <row r="418" spans="1:2" x14ac:dyDescent="0.3">
      <c r="A418" s="10" t="s">
        <v>479</v>
      </c>
      <c r="B418">
        <v>145.30000000000001</v>
      </c>
    </row>
    <row r="419" spans="1:2" x14ac:dyDescent="0.3">
      <c r="A419" s="10" t="s">
        <v>480</v>
      </c>
      <c r="B419">
        <v>151.08000000000001</v>
      </c>
    </row>
    <row r="420" spans="1:2" x14ac:dyDescent="0.3">
      <c r="A420" s="10" t="s">
        <v>481</v>
      </c>
      <c r="B420">
        <v>148.61000000000001</v>
      </c>
    </row>
    <row r="421" spans="1:2" x14ac:dyDescent="0.3">
      <c r="A421" s="10" t="s">
        <v>482</v>
      </c>
      <c r="B421">
        <v>152.5</v>
      </c>
    </row>
    <row r="422" spans="1:2" x14ac:dyDescent="0.3">
      <c r="A422" s="10" t="s">
        <v>483</v>
      </c>
      <c r="B422">
        <v>156.03</v>
      </c>
    </row>
    <row r="423" spans="1:2" x14ac:dyDescent="0.3">
      <c r="A423" s="10" t="s">
        <v>484</v>
      </c>
      <c r="B423">
        <v>164.81</v>
      </c>
    </row>
    <row r="424" spans="1:2" x14ac:dyDescent="0.3">
      <c r="A424" s="10" t="s">
        <v>485</v>
      </c>
      <c r="B424">
        <v>166.99</v>
      </c>
    </row>
    <row r="425" spans="1:2" x14ac:dyDescent="0.3">
      <c r="A425" s="10" t="s">
        <v>486</v>
      </c>
      <c r="B425">
        <v>171.42</v>
      </c>
    </row>
    <row r="426" spans="1:2" x14ac:dyDescent="0.3">
      <c r="A426" s="10" t="s">
        <v>487</v>
      </c>
      <c r="B426">
        <v>164.11</v>
      </c>
    </row>
    <row r="427" spans="1:2" x14ac:dyDescent="0.3">
      <c r="A427" s="10" t="s">
        <v>488</v>
      </c>
      <c r="B427">
        <v>170.23</v>
      </c>
    </row>
    <row r="428" spans="1:2" x14ac:dyDescent="0.3">
      <c r="A428" s="10" t="s">
        <v>489</v>
      </c>
      <c r="B428">
        <v>168.46</v>
      </c>
    </row>
    <row r="429" spans="1:2" x14ac:dyDescent="0.3">
      <c r="A429" s="10" t="s">
        <v>490</v>
      </c>
      <c r="B429">
        <v>171.13</v>
      </c>
    </row>
    <row r="430" spans="1:2" x14ac:dyDescent="0.3">
      <c r="A430" s="10" t="s">
        <v>491</v>
      </c>
      <c r="B430">
        <v>173.66</v>
      </c>
    </row>
    <row r="431" spans="1:2" x14ac:dyDescent="0.3">
      <c r="A431" s="10" t="s">
        <v>492</v>
      </c>
      <c r="B431">
        <v>175.94</v>
      </c>
    </row>
    <row r="432" spans="1:2" x14ac:dyDescent="0.3">
      <c r="A432" s="10" t="s">
        <v>493</v>
      </c>
      <c r="B432">
        <v>183.63</v>
      </c>
    </row>
    <row r="433" spans="1:2" x14ac:dyDescent="0.3">
      <c r="A433" s="10" t="s">
        <v>494</v>
      </c>
      <c r="B433">
        <v>182.24</v>
      </c>
    </row>
    <row r="434" spans="1:2" x14ac:dyDescent="0.3">
      <c r="A434" s="10" t="s">
        <v>495</v>
      </c>
      <c r="B434">
        <v>173.22</v>
      </c>
    </row>
    <row r="435" spans="1:2" x14ac:dyDescent="0.3">
      <c r="A435" s="10" t="s">
        <v>496</v>
      </c>
      <c r="B435">
        <v>175.18</v>
      </c>
    </row>
    <row r="436" spans="1:2" x14ac:dyDescent="0.3">
      <c r="A436" s="10" t="s">
        <v>497</v>
      </c>
      <c r="B436">
        <v>175.14</v>
      </c>
    </row>
    <row r="437" spans="1:2" x14ac:dyDescent="0.3">
      <c r="A437" s="10" t="s">
        <v>498</v>
      </c>
      <c r="B437">
        <v>173.35</v>
      </c>
    </row>
    <row r="438" spans="1:2" x14ac:dyDescent="0.3">
      <c r="A438" s="10" t="s">
        <v>499</v>
      </c>
      <c r="B438">
        <v>171.73</v>
      </c>
    </row>
    <row r="439" spans="1:2" x14ac:dyDescent="0.3">
      <c r="A439" s="10" t="s">
        <v>500</v>
      </c>
      <c r="B439">
        <v>169.95</v>
      </c>
    </row>
    <row r="440" spans="1:2" x14ac:dyDescent="0.3">
      <c r="A440" s="10" t="s">
        <v>501</v>
      </c>
      <c r="B440">
        <v>168</v>
      </c>
    </row>
    <row r="441" spans="1:2" x14ac:dyDescent="0.3">
      <c r="A441" s="10" t="s">
        <v>502</v>
      </c>
      <c r="B441">
        <v>174.37</v>
      </c>
    </row>
    <row r="442" spans="1:2" x14ac:dyDescent="0.3">
      <c r="A442" s="10" t="s">
        <v>503</v>
      </c>
      <c r="B442">
        <v>166.22</v>
      </c>
    </row>
    <row r="443" spans="1:2" x14ac:dyDescent="0.3">
      <c r="A443" s="10" t="s">
        <v>504</v>
      </c>
      <c r="B443">
        <v>164.59</v>
      </c>
    </row>
    <row r="444" spans="1:2" x14ac:dyDescent="0.3">
      <c r="A444" s="10" t="s">
        <v>505</v>
      </c>
      <c r="B444">
        <v>172.04</v>
      </c>
    </row>
    <row r="445" spans="1:2" x14ac:dyDescent="0.3">
      <c r="A445" s="10" t="s">
        <v>506</v>
      </c>
      <c r="B445">
        <v>173.32</v>
      </c>
    </row>
    <row r="446" spans="1:2" x14ac:dyDescent="0.3">
      <c r="A446" s="10" t="s">
        <v>507</v>
      </c>
      <c r="B446">
        <v>173.19</v>
      </c>
    </row>
    <row r="447" spans="1:2" x14ac:dyDescent="0.3">
      <c r="A447" s="10" t="s">
        <v>508</v>
      </c>
      <c r="B447">
        <v>176.98</v>
      </c>
    </row>
    <row r="448" spans="1:2" x14ac:dyDescent="0.3">
      <c r="A448" s="10" t="s">
        <v>509</v>
      </c>
      <c r="B448">
        <v>178.5</v>
      </c>
    </row>
    <row r="449" spans="1:2" x14ac:dyDescent="0.3">
      <c r="A449" s="10" t="s">
        <v>510</v>
      </c>
      <c r="B449">
        <v>176.47</v>
      </c>
    </row>
    <row r="450" spans="1:2" x14ac:dyDescent="0.3">
      <c r="A450" s="10" t="s">
        <v>511</v>
      </c>
      <c r="B450">
        <v>173.25</v>
      </c>
    </row>
    <row r="451" spans="1:2" x14ac:dyDescent="0.3">
      <c r="A451" s="10" t="s">
        <v>512</v>
      </c>
      <c r="B451">
        <v>169.11</v>
      </c>
    </row>
    <row r="452" spans="1:2" x14ac:dyDescent="0.3">
      <c r="A452" s="10" t="s">
        <v>513</v>
      </c>
      <c r="B452">
        <v>176.01</v>
      </c>
    </row>
    <row r="453" spans="1:2" x14ac:dyDescent="0.3">
      <c r="A453" s="10" t="s">
        <v>514</v>
      </c>
      <c r="B453">
        <v>176.76</v>
      </c>
    </row>
    <row r="454" spans="1:2" x14ac:dyDescent="0.3">
      <c r="A454" s="10" t="s">
        <v>515</v>
      </c>
      <c r="B454">
        <v>172.66</v>
      </c>
    </row>
    <row r="455" spans="1:2" x14ac:dyDescent="0.3">
      <c r="A455" s="10" t="s">
        <v>516</v>
      </c>
      <c r="B455">
        <v>172.45</v>
      </c>
    </row>
    <row r="456" spans="1:2" x14ac:dyDescent="0.3">
      <c r="A456" s="10" t="s">
        <v>517</v>
      </c>
      <c r="B456">
        <v>175.9</v>
      </c>
    </row>
    <row r="457" spans="1:2" x14ac:dyDescent="0.3">
      <c r="A457" s="10" t="s">
        <v>518</v>
      </c>
      <c r="B457">
        <v>174.22</v>
      </c>
    </row>
    <row r="458" spans="1:2" x14ac:dyDescent="0.3">
      <c r="A458" s="10" t="s">
        <v>519</v>
      </c>
      <c r="B458">
        <v>175.79</v>
      </c>
    </row>
    <row r="459" spans="1:2" x14ac:dyDescent="0.3">
      <c r="A459" s="10" t="s">
        <v>520</v>
      </c>
      <c r="B459">
        <v>182.03</v>
      </c>
    </row>
    <row r="460" spans="1:2" x14ac:dyDescent="0.3">
      <c r="A460" s="10" t="s">
        <v>521</v>
      </c>
      <c r="B460">
        <v>178.18</v>
      </c>
    </row>
    <row r="461" spans="1:2" x14ac:dyDescent="0.3">
      <c r="A461" s="10" t="s">
        <v>522</v>
      </c>
      <c r="B461">
        <v>174.46</v>
      </c>
    </row>
    <row r="462" spans="1:2" x14ac:dyDescent="0.3">
      <c r="A462" s="10" t="s">
        <v>523</v>
      </c>
      <c r="B462">
        <v>171.56</v>
      </c>
    </row>
    <row r="463" spans="1:2" x14ac:dyDescent="0.3">
      <c r="A463" s="10" t="s">
        <v>524</v>
      </c>
      <c r="B463">
        <v>171.22</v>
      </c>
    </row>
    <row r="464" spans="1:2" x14ac:dyDescent="0.3">
      <c r="A464" s="10" t="s">
        <v>525</v>
      </c>
      <c r="B464">
        <v>167.4</v>
      </c>
    </row>
    <row r="465" spans="1:2" x14ac:dyDescent="0.3">
      <c r="A465" s="10" t="s">
        <v>526</v>
      </c>
      <c r="B465">
        <v>163.88</v>
      </c>
    </row>
    <row r="466" spans="1:2" x14ac:dyDescent="0.3">
      <c r="A466" s="10" t="s">
        <v>527</v>
      </c>
      <c r="B466">
        <v>156.12</v>
      </c>
    </row>
    <row r="467" spans="1:2" x14ac:dyDescent="0.3">
      <c r="A467" s="10" t="s">
        <v>528</v>
      </c>
      <c r="B467">
        <v>154.75</v>
      </c>
    </row>
    <row r="468" spans="1:2" x14ac:dyDescent="0.3">
      <c r="A468" s="10" t="s">
        <v>529</v>
      </c>
      <c r="B468">
        <v>162.74</v>
      </c>
    </row>
    <row r="469" spans="1:2" x14ac:dyDescent="0.3">
      <c r="A469" s="10" t="s">
        <v>530</v>
      </c>
      <c r="B469">
        <v>159.78</v>
      </c>
    </row>
    <row r="470" spans="1:2" x14ac:dyDescent="0.3">
      <c r="A470" s="10" t="s">
        <v>531</v>
      </c>
      <c r="B470">
        <v>158.33000000000001</v>
      </c>
    </row>
    <row r="471" spans="1:2" x14ac:dyDescent="0.3">
      <c r="A471" s="10" t="s">
        <v>532</v>
      </c>
      <c r="B471">
        <v>153.77000000000001</v>
      </c>
    </row>
    <row r="472" spans="1:2" x14ac:dyDescent="0.3">
      <c r="A472" s="10" t="s">
        <v>533</v>
      </c>
      <c r="B472">
        <v>153.30000000000001</v>
      </c>
    </row>
    <row r="473" spans="1:2" x14ac:dyDescent="0.3">
      <c r="A473" s="10" t="s">
        <v>534</v>
      </c>
      <c r="B473">
        <v>147.88</v>
      </c>
    </row>
    <row r="474" spans="1:2" x14ac:dyDescent="0.3">
      <c r="A474" s="10" t="s">
        <v>535</v>
      </c>
      <c r="B474">
        <v>149.46</v>
      </c>
    </row>
    <row r="475" spans="1:2" x14ac:dyDescent="0.3">
      <c r="A475" s="10" t="s">
        <v>536</v>
      </c>
      <c r="B475">
        <v>148.72</v>
      </c>
    </row>
    <row r="476" spans="1:2" x14ac:dyDescent="0.3">
      <c r="A476" s="10" t="s">
        <v>537</v>
      </c>
      <c r="B476">
        <v>147.85</v>
      </c>
    </row>
    <row r="477" spans="1:2" x14ac:dyDescent="0.3">
      <c r="A477" s="10" t="s">
        <v>538</v>
      </c>
      <c r="B477">
        <v>146.75</v>
      </c>
    </row>
    <row r="478" spans="1:2" x14ac:dyDescent="0.3">
      <c r="A478" s="10" t="s">
        <v>539</v>
      </c>
      <c r="B478">
        <v>150.86000000000001</v>
      </c>
    </row>
    <row r="479" spans="1:2" x14ac:dyDescent="0.3">
      <c r="A479" s="10" t="s">
        <v>540</v>
      </c>
      <c r="B479">
        <v>152.87</v>
      </c>
    </row>
    <row r="480" spans="1:2" x14ac:dyDescent="0.3">
      <c r="A480" s="10" t="s">
        <v>541</v>
      </c>
      <c r="B480">
        <v>150.63999999999999</v>
      </c>
    </row>
    <row r="481" spans="1:2" x14ac:dyDescent="0.3">
      <c r="A481" s="10" t="s">
        <v>542</v>
      </c>
      <c r="B481">
        <v>153.61000000000001</v>
      </c>
    </row>
    <row r="482" spans="1:2" x14ac:dyDescent="0.3">
      <c r="A482" s="10" t="s">
        <v>543</v>
      </c>
      <c r="B482">
        <v>151.41</v>
      </c>
    </row>
    <row r="483" spans="1:2" x14ac:dyDescent="0.3">
      <c r="A483" s="10" t="s">
        <v>544</v>
      </c>
      <c r="B483">
        <v>148.12</v>
      </c>
    </row>
    <row r="484" spans="1:2" x14ac:dyDescent="0.3">
      <c r="A484" s="10" t="s">
        <v>545</v>
      </c>
      <c r="B484">
        <v>140.27000000000001</v>
      </c>
    </row>
    <row r="485" spans="1:2" x14ac:dyDescent="0.3">
      <c r="A485" s="10" t="s">
        <v>546</v>
      </c>
      <c r="B485">
        <v>142.69999999999999</v>
      </c>
    </row>
    <row r="486" spans="1:2" x14ac:dyDescent="0.3">
      <c r="A486" s="10" t="s">
        <v>547</v>
      </c>
      <c r="B486">
        <v>144.16</v>
      </c>
    </row>
    <row r="487" spans="1:2" x14ac:dyDescent="0.3">
      <c r="A487" s="10" t="s">
        <v>548</v>
      </c>
      <c r="B487">
        <v>141.5</v>
      </c>
    </row>
    <row r="488" spans="1:2" x14ac:dyDescent="0.3">
      <c r="A488" s="10" t="s">
        <v>549</v>
      </c>
      <c r="B488">
        <v>138.22999999999999</v>
      </c>
    </row>
    <row r="489" spans="1:2" x14ac:dyDescent="0.3">
      <c r="A489" s="10" t="s">
        <v>550</v>
      </c>
      <c r="B489">
        <v>137.52000000000001</v>
      </c>
    </row>
    <row r="490" spans="1:2" x14ac:dyDescent="0.3">
      <c r="A490" s="10" t="s">
        <v>551</v>
      </c>
      <c r="B490">
        <v>136.94999999999999</v>
      </c>
    </row>
    <row r="491" spans="1:2" x14ac:dyDescent="0.3">
      <c r="A491" s="10" t="s">
        <v>552</v>
      </c>
      <c r="B491">
        <v>134.21</v>
      </c>
    </row>
    <row r="492" spans="1:2" x14ac:dyDescent="0.3">
      <c r="A492" s="10" t="s">
        <v>553</v>
      </c>
      <c r="B492">
        <v>135.55000000000001</v>
      </c>
    </row>
    <row r="493" spans="1:2" x14ac:dyDescent="0.3">
      <c r="A493" s="10" t="s">
        <v>554</v>
      </c>
      <c r="B493">
        <v>131.22999999999999</v>
      </c>
    </row>
    <row r="494" spans="1:2" x14ac:dyDescent="0.3">
      <c r="A494" s="10" t="s">
        <v>555</v>
      </c>
      <c r="B494">
        <v>134.35</v>
      </c>
    </row>
    <row r="495" spans="1:2" x14ac:dyDescent="0.3">
      <c r="A495" s="10" t="s">
        <v>556</v>
      </c>
      <c r="B495">
        <v>132.01</v>
      </c>
    </row>
    <row r="496" spans="1:2" x14ac:dyDescent="0.3">
      <c r="A496" s="10" t="s">
        <v>557</v>
      </c>
      <c r="B496">
        <v>136.79</v>
      </c>
    </row>
    <row r="497" spans="1:2" x14ac:dyDescent="0.3">
      <c r="A497" s="10" t="s">
        <v>558</v>
      </c>
      <c r="B497">
        <v>136.76</v>
      </c>
    </row>
    <row r="498" spans="1:2" x14ac:dyDescent="0.3">
      <c r="A498" s="10" t="s">
        <v>559</v>
      </c>
      <c r="B498">
        <v>137.43</v>
      </c>
    </row>
    <row r="499" spans="1:2" x14ac:dyDescent="0.3">
      <c r="A499" s="10" t="s">
        <v>560</v>
      </c>
      <c r="B499">
        <v>133.33000000000001</v>
      </c>
    </row>
    <row r="500" spans="1:2" x14ac:dyDescent="0.3">
      <c r="A500" s="10" t="s">
        <v>561</v>
      </c>
      <c r="B500">
        <v>134.9</v>
      </c>
    </row>
    <row r="501" spans="1:2" x14ac:dyDescent="0.3">
      <c r="A501" s="10" t="s">
        <v>562</v>
      </c>
      <c r="B501">
        <v>133.91999999999999</v>
      </c>
    </row>
    <row r="502" spans="1:2" x14ac:dyDescent="0.3">
      <c r="A502" s="10" t="s">
        <v>563</v>
      </c>
      <c r="B502">
        <v>131.76</v>
      </c>
    </row>
    <row r="503" spans="1:2" x14ac:dyDescent="0.3">
      <c r="A503" s="10" t="s">
        <v>564</v>
      </c>
      <c r="B503">
        <v>133.32</v>
      </c>
    </row>
    <row r="504" spans="1:2" x14ac:dyDescent="0.3">
      <c r="A504" s="10" t="s">
        <v>565</v>
      </c>
      <c r="B504">
        <v>134.58000000000001</v>
      </c>
    </row>
    <row r="505" spans="1:2" x14ac:dyDescent="0.3">
      <c r="A505" s="10" t="s">
        <v>566</v>
      </c>
      <c r="B505">
        <v>140.51</v>
      </c>
    </row>
    <row r="506" spans="1:2" x14ac:dyDescent="0.3">
      <c r="A506" s="10" t="s">
        <v>567</v>
      </c>
      <c r="B506">
        <v>142.63</v>
      </c>
    </row>
    <row r="507" spans="1:2" x14ac:dyDescent="0.3">
      <c r="A507" s="10" t="s">
        <v>568</v>
      </c>
      <c r="B507">
        <v>140.05000000000001</v>
      </c>
    </row>
    <row r="508" spans="1:2" x14ac:dyDescent="0.3">
      <c r="A508" s="10" t="s">
        <v>569</v>
      </c>
      <c r="B508">
        <v>143.43</v>
      </c>
    </row>
    <row r="509" spans="1:2" x14ac:dyDescent="0.3">
      <c r="A509" s="10" t="s">
        <v>570</v>
      </c>
      <c r="B509">
        <v>142.71</v>
      </c>
    </row>
    <row r="510" spans="1:2" x14ac:dyDescent="0.3">
      <c r="A510" s="10" t="s">
        <v>571</v>
      </c>
      <c r="B510">
        <v>137.9</v>
      </c>
    </row>
    <row r="511" spans="1:2" x14ac:dyDescent="0.3">
      <c r="A511" s="10" t="s">
        <v>572</v>
      </c>
      <c r="B511">
        <v>139.38999999999999</v>
      </c>
    </row>
    <row r="512" spans="1:2" x14ac:dyDescent="0.3">
      <c r="A512" s="10" t="s">
        <v>573</v>
      </c>
      <c r="B512">
        <v>138.69999999999999</v>
      </c>
    </row>
    <row r="513" spans="1:2" x14ac:dyDescent="0.3">
      <c r="A513" s="10" t="s">
        <v>574</v>
      </c>
      <c r="B513">
        <v>137.07</v>
      </c>
    </row>
    <row r="514" spans="1:2" x14ac:dyDescent="0.3">
      <c r="A514" s="10" t="s">
        <v>575</v>
      </c>
      <c r="B514">
        <v>138.65</v>
      </c>
    </row>
    <row r="515" spans="1:2" x14ac:dyDescent="0.3">
      <c r="A515" s="10" t="s">
        <v>576</v>
      </c>
      <c r="B515">
        <v>132.57</v>
      </c>
    </row>
    <row r="516" spans="1:2" x14ac:dyDescent="0.3">
      <c r="A516" s="10" t="s">
        <v>577</v>
      </c>
      <c r="B516">
        <v>134.65</v>
      </c>
    </row>
    <row r="517" spans="1:2" x14ac:dyDescent="0.3">
      <c r="A517" s="10" t="s">
        <v>578</v>
      </c>
      <c r="B517">
        <v>132.06</v>
      </c>
    </row>
    <row r="518" spans="1:2" x14ac:dyDescent="0.3">
      <c r="A518" s="10" t="s">
        <v>579</v>
      </c>
      <c r="B518">
        <v>126.44</v>
      </c>
    </row>
    <row r="519" spans="1:2" x14ac:dyDescent="0.3">
      <c r="A519" s="10" t="s">
        <v>580</v>
      </c>
      <c r="B519">
        <v>115.87</v>
      </c>
    </row>
    <row r="520" spans="1:2" x14ac:dyDescent="0.3">
      <c r="A520" s="10" t="s">
        <v>581</v>
      </c>
      <c r="B520">
        <v>114.73</v>
      </c>
    </row>
    <row r="521" spans="1:2" x14ac:dyDescent="0.3">
      <c r="A521" s="10" t="s">
        <v>582</v>
      </c>
      <c r="B521">
        <v>113.77</v>
      </c>
    </row>
    <row r="522" spans="1:2" x14ac:dyDescent="0.3">
      <c r="A522" s="10" t="s">
        <v>583</v>
      </c>
      <c r="B522">
        <v>116.83</v>
      </c>
    </row>
    <row r="523" spans="1:2" x14ac:dyDescent="0.3">
      <c r="A523" s="10" t="s">
        <v>584</v>
      </c>
      <c r="B523">
        <v>107.24</v>
      </c>
    </row>
    <row r="524" spans="1:2" x14ac:dyDescent="0.3">
      <c r="A524" s="10" t="s">
        <v>585</v>
      </c>
      <c r="B524">
        <v>108.16</v>
      </c>
    </row>
    <row r="525" spans="1:2" x14ac:dyDescent="0.3">
      <c r="A525" s="10" t="s">
        <v>586</v>
      </c>
      <c r="B525">
        <v>107.36</v>
      </c>
    </row>
    <row r="526" spans="1:2" x14ac:dyDescent="0.3">
      <c r="A526" s="10" t="s">
        <v>587</v>
      </c>
      <c r="B526">
        <v>110.69</v>
      </c>
    </row>
    <row r="527" spans="1:2" x14ac:dyDescent="0.3">
      <c r="A527" s="10" t="s">
        <v>588</v>
      </c>
      <c r="B527">
        <v>108.68</v>
      </c>
    </row>
    <row r="528" spans="1:2" x14ac:dyDescent="0.3">
      <c r="A528" s="10" t="s">
        <v>589</v>
      </c>
      <c r="B528">
        <v>108.22</v>
      </c>
    </row>
    <row r="529" spans="1:2" x14ac:dyDescent="0.3">
      <c r="A529" s="10" t="s">
        <v>590</v>
      </c>
      <c r="B529">
        <v>109.15</v>
      </c>
    </row>
    <row r="530" spans="1:2" x14ac:dyDescent="0.3">
      <c r="A530" s="10" t="s">
        <v>591</v>
      </c>
      <c r="B530">
        <v>104.58</v>
      </c>
    </row>
    <row r="531" spans="1:2" x14ac:dyDescent="0.3">
      <c r="A531" s="10" t="s">
        <v>592</v>
      </c>
      <c r="B531">
        <v>108.03</v>
      </c>
    </row>
    <row r="532" spans="1:2" x14ac:dyDescent="0.3">
      <c r="A532" s="10" t="s">
        <v>593</v>
      </c>
      <c r="B532">
        <v>102.29</v>
      </c>
    </row>
    <row r="533" spans="1:2" x14ac:dyDescent="0.3">
      <c r="A533" s="10" t="s">
        <v>594</v>
      </c>
      <c r="B533">
        <v>98.96</v>
      </c>
    </row>
    <row r="534" spans="1:2" x14ac:dyDescent="0.3">
      <c r="A534" s="10" t="s">
        <v>595</v>
      </c>
      <c r="B534">
        <v>98.58</v>
      </c>
    </row>
    <row r="535" spans="1:2" x14ac:dyDescent="0.3">
      <c r="A535" s="10" t="s">
        <v>596</v>
      </c>
      <c r="B535">
        <v>96.46</v>
      </c>
    </row>
    <row r="536" spans="1:2" x14ac:dyDescent="0.3">
      <c r="A536" s="10" t="s">
        <v>597</v>
      </c>
      <c r="B536">
        <v>99.12</v>
      </c>
    </row>
    <row r="537" spans="1:2" x14ac:dyDescent="0.3">
      <c r="A537" s="10" t="s">
        <v>598</v>
      </c>
      <c r="B537">
        <v>99.78</v>
      </c>
    </row>
    <row r="538" spans="1:2" x14ac:dyDescent="0.3">
      <c r="A538" s="10" t="s">
        <v>599</v>
      </c>
      <c r="B538">
        <v>96.34</v>
      </c>
    </row>
    <row r="539" spans="1:2" x14ac:dyDescent="0.3">
      <c r="A539" s="10" t="s">
        <v>600</v>
      </c>
      <c r="B539">
        <v>97.82</v>
      </c>
    </row>
    <row r="540" spans="1:2" x14ac:dyDescent="0.3">
      <c r="A540" s="10" t="s">
        <v>601</v>
      </c>
      <c r="B540">
        <v>100.05</v>
      </c>
    </row>
    <row r="541" spans="1:2" x14ac:dyDescent="0.3">
      <c r="A541" s="10" t="s">
        <v>602</v>
      </c>
      <c r="B541">
        <v>100.12</v>
      </c>
    </row>
    <row r="542" spans="1:2" x14ac:dyDescent="0.3">
      <c r="A542" s="10" t="s">
        <v>603</v>
      </c>
      <c r="B542">
        <v>94.52</v>
      </c>
    </row>
    <row r="543" spans="1:2" x14ac:dyDescent="0.3">
      <c r="A543" s="10" t="s">
        <v>604</v>
      </c>
      <c r="B543">
        <v>94.18</v>
      </c>
    </row>
    <row r="544" spans="1:2" x14ac:dyDescent="0.3">
      <c r="A544" s="10" t="s">
        <v>605</v>
      </c>
      <c r="B544">
        <v>92.39</v>
      </c>
    </row>
    <row r="545" spans="1:2" x14ac:dyDescent="0.3">
      <c r="A545" s="10" t="s">
        <v>606</v>
      </c>
      <c r="B545">
        <v>96.33</v>
      </c>
    </row>
    <row r="546" spans="1:2" x14ac:dyDescent="0.3">
      <c r="A546" s="10" t="s">
        <v>607</v>
      </c>
      <c r="B546">
        <v>95.5</v>
      </c>
    </row>
    <row r="547" spans="1:2" x14ac:dyDescent="0.3">
      <c r="A547" s="10" t="s">
        <v>608</v>
      </c>
      <c r="B547">
        <v>98.2</v>
      </c>
    </row>
    <row r="548" spans="1:2" x14ac:dyDescent="0.3">
      <c r="A548" s="10" t="s">
        <v>609</v>
      </c>
      <c r="B548">
        <v>98.48</v>
      </c>
    </row>
    <row r="549" spans="1:2" x14ac:dyDescent="0.3">
      <c r="A549" s="10" t="s">
        <v>610</v>
      </c>
      <c r="B549">
        <v>109.07</v>
      </c>
    </row>
    <row r="550" spans="1:2" x14ac:dyDescent="0.3">
      <c r="A550" s="10" t="s">
        <v>611</v>
      </c>
      <c r="B550">
        <v>107.8</v>
      </c>
    </row>
    <row r="551" spans="1:2" x14ac:dyDescent="0.3">
      <c r="A551" s="10" t="s">
        <v>612</v>
      </c>
      <c r="B551">
        <v>105.38</v>
      </c>
    </row>
    <row r="552" spans="1:2" x14ac:dyDescent="0.3">
      <c r="A552" s="10" t="s">
        <v>613</v>
      </c>
      <c r="B552">
        <v>105.82</v>
      </c>
    </row>
    <row r="553" spans="1:2" x14ac:dyDescent="0.3">
      <c r="A553" s="10" t="s">
        <v>614</v>
      </c>
      <c r="B553">
        <v>106.42</v>
      </c>
    </row>
    <row r="554" spans="1:2" x14ac:dyDescent="0.3">
      <c r="A554" s="10" t="s">
        <v>615</v>
      </c>
      <c r="B554">
        <v>106.41</v>
      </c>
    </row>
    <row r="555" spans="1:2" x14ac:dyDescent="0.3">
      <c r="A555" s="10" t="s">
        <v>616</v>
      </c>
      <c r="B555">
        <v>102.76</v>
      </c>
    </row>
    <row r="556" spans="1:2" x14ac:dyDescent="0.3">
      <c r="A556" s="10" t="s">
        <v>617</v>
      </c>
      <c r="B556">
        <v>102.57</v>
      </c>
    </row>
    <row r="557" spans="1:2" x14ac:dyDescent="0.3">
      <c r="A557" s="10" t="s">
        <v>618</v>
      </c>
      <c r="B557">
        <v>99.82</v>
      </c>
    </row>
    <row r="558" spans="1:2" x14ac:dyDescent="0.3">
      <c r="A558" s="10" t="s">
        <v>619</v>
      </c>
      <c r="B558">
        <v>97.4</v>
      </c>
    </row>
    <row r="559" spans="1:2" x14ac:dyDescent="0.3">
      <c r="A559" s="10" t="s">
        <v>620</v>
      </c>
      <c r="B559">
        <v>94.91</v>
      </c>
    </row>
    <row r="560" spans="1:2" x14ac:dyDescent="0.3">
      <c r="A560" s="10" t="s">
        <v>621</v>
      </c>
      <c r="B560">
        <v>90.39</v>
      </c>
    </row>
    <row r="561" spans="1:2" x14ac:dyDescent="0.3">
      <c r="A561" s="10" t="s">
        <v>622</v>
      </c>
      <c r="B561">
        <v>92.74</v>
      </c>
    </row>
    <row r="562" spans="1:2" x14ac:dyDescent="0.3">
      <c r="A562" s="10" t="s">
        <v>623</v>
      </c>
      <c r="B562">
        <v>90.09</v>
      </c>
    </row>
    <row r="563" spans="1:2" x14ac:dyDescent="0.3">
      <c r="A563" s="10" t="s">
        <v>624</v>
      </c>
      <c r="B563">
        <v>89.36</v>
      </c>
    </row>
    <row r="564" spans="1:2" x14ac:dyDescent="0.3">
      <c r="A564" s="10" t="s">
        <v>625</v>
      </c>
      <c r="B564">
        <v>89.53</v>
      </c>
    </row>
    <row r="565" spans="1:2" x14ac:dyDescent="0.3">
      <c r="A565" s="10" t="s">
        <v>626</v>
      </c>
      <c r="B565">
        <v>87.73</v>
      </c>
    </row>
    <row r="566" spans="1:2" x14ac:dyDescent="0.3">
      <c r="A566" s="10" t="s">
        <v>627</v>
      </c>
      <c r="B566">
        <v>86.13</v>
      </c>
    </row>
    <row r="567" spans="1:2" x14ac:dyDescent="0.3">
      <c r="A567" s="10" t="s">
        <v>628</v>
      </c>
      <c r="B567">
        <v>89.73</v>
      </c>
    </row>
    <row r="568" spans="1:2" x14ac:dyDescent="0.3">
      <c r="A568" s="10" t="s">
        <v>629</v>
      </c>
      <c r="B568">
        <v>92.64</v>
      </c>
    </row>
    <row r="569" spans="1:2" x14ac:dyDescent="0.3">
      <c r="A569" s="10" t="s">
        <v>630</v>
      </c>
      <c r="B569">
        <v>90.69</v>
      </c>
    </row>
    <row r="570" spans="1:2" x14ac:dyDescent="0.3">
      <c r="A570" s="10" t="s">
        <v>631</v>
      </c>
      <c r="B570">
        <v>92.11</v>
      </c>
    </row>
    <row r="571" spans="1:2" x14ac:dyDescent="0.3">
      <c r="A571" s="10" t="s">
        <v>632</v>
      </c>
      <c r="B571">
        <v>90.4</v>
      </c>
    </row>
    <row r="572" spans="1:2" x14ac:dyDescent="0.3">
      <c r="A572" s="10" t="s">
        <v>633</v>
      </c>
      <c r="B572">
        <v>86.47</v>
      </c>
    </row>
    <row r="573" spans="1:2" x14ac:dyDescent="0.3">
      <c r="A573" s="10" t="s">
        <v>634</v>
      </c>
      <c r="B573">
        <v>84.62</v>
      </c>
    </row>
    <row r="574" spans="1:2" x14ac:dyDescent="0.3">
      <c r="A574" s="10" t="s">
        <v>635</v>
      </c>
      <c r="B574">
        <v>84.39</v>
      </c>
    </row>
    <row r="575" spans="1:2" x14ac:dyDescent="0.3">
      <c r="A575" s="10" t="s">
        <v>636</v>
      </c>
      <c r="B575">
        <v>90.15</v>
      </c>
    </row>
    <row r="576" spans="1:2" x14ac:dyDescent="0.3">
      <c r="A576" s="10" t="s">
        <v>637</v>
      </c>
      <c r="B576">
        <v>87.38</v>
      </c>
    </row>
    <row r="577" spans="1:2" x14ac:dyDescent="0.3">
      <c r="A577" s="10" t="s">
        <v>638</v>
      </c>
      <c r="B577">
        <v>87.63</v>
      </c>
    </row>
    <row r="578" spans="1:2" x14ac:dyDescent="0.3">
      <c r="A578" s="10" t="s">
        <v>639</v>
      </c>
      <c r="B578">
        <v>89.07</v>
      </c>
    </row>
    <row r="579" spans="1:2" x14ac:dyDescent="0.3">
      <c r="A579" s="10" t="s">
        <v>640</v>
      </c>
      <c r="B579">
        <v>90</v>
      </c>
    </row>
    <row r="580" spans="1:2" x14ac:dyDescent="0.3">
      <c r="A580" s="10" t="s">
        <v>641</v>
      </c>
      <c r="B580">
        <v>87.8</v>
      </c>
    </row>
    <row r="581" spans="1:2" x14ac:dyDescent="0.3">
      <c r="A581" s="10" t="s">
        <v>642</v>
      </c>
      <c r="B581">
        <v>89.82</v>
      </c>
    </row>
    <row r="582" spans="1:2" x14ac:dyDescent="0.3">
      <c r="A582" s="10" t="s">
        <v>643</v>
      </c>
      <c r="B582">
        <v>90.89</v>
      </c>
    </row>
    <row r="583" spans="1:2" x14ac:dyDescent="0.3">
      <c r="A583" s="10" t="s">
        <v>644</v>
      </c>
      <c r="B583">
        <v>90.08</v>
      </c>
    </row>
    <row r="584" spans="1:2" x14ac:dyDescent="0.3">
      <c r="A584" s="10" t="s">
        <v>645</v>
      </c>
      <c r="B584">
        <v>92.35</v>
      </c>
    </row>
    <row r="585" spans="1:2" x14ac:dyDescent="0.3">
      <c r="A585" s="10" t="s">
        <v>646</v>
      </c>
      <c r="B585">
        <v>91.28</v>
      </c>
    </row>
    <row r="586" spans="1:2" x14ac:dyDescent="0.3">
      <c r="A586" s="10" t="s">
        <v>647</v>
      </c>
      <c r="B586">
        <v>91.61</v>
      </c>
    </row>
    <row r="587" spans="1:2" x14ac:dyDescent="0.3">
      <c r="A587" s="10" t="s">
        <v>648</v>
      </c>
      <c r="B587">
        <v>90.54</v>
      </c>
    </row>
    <row r="588" spans="1:2" x14ac:dyDescent="0.3">
      <c r="A588" s="10" t="s">
        <v>649</v>
      </c>
      <c r="B588">
        <v>87.63</v>
      </c>
    </row>
    <row r="589" spans="1:2" x14ac:dyDescent="0.3">
      <c r="A589" s="10" t="s">
        <v>650</v>
      </c>
      <c r="B589">
        <v>87.57</v>
      </c>
    </row>
    <row r="590" spans="1:2" x14ac:dyDescent="0.3">
      <c r="A590" s="10" t="s">
        <v>651</v>
      </c>
      <c r="B590">
        <v>85.25</v>
      </c>
    </row>
    <row r="591" spans="1:2" x14ac:dyDescent="0.3">
      <c r="A591" s="10" t="s">
        <v>652</v>
      </c>
      <c r="B591">
        <v>89.28</v>
      </c>
    </row>
    <row r="592" spans="1:2" x14ac:dyDescent="0.3">
      <c r="A592" s="10" t="s">
        <v>653</v>
      </c>
      <c r="B592">
        <v>85.07</v>
      </c>
    </row>
    <row r="593" spans="1:2" x14ac:dyDescent="0.3">
      <c r="A593" s="10" t="s">
        <v>654</v>
      </c>
      <c r="B593">
        <v>87.8</v>
      </c>
    </row>
    <row r="594" spans="1:2" x14ac:dyDescent="0.3">
      <c r="A594" s="10" t="s">
        <v>655</v>
      </c>
      <c r="B594">
        <v>89.3</v>
      </c>
    </row>
    <row r="595" spans="1:2" x14ac:dyDescent="0.3">
      <c r="A595" s="10" t="s">
        <v>656</v>
      </c>
      <c r="B595">
        <v>88.24</v>
      </c>
    </row>
    <row r="596" spans="1:2" x14ac:dyDescent="0.3">
      <c r="A596" s="10" t="s">
        <v>657</v>
      </c>
      <c r="B596">
        <v>89.67</v>
      </c>
    </row>
    <row r="597" spans="1:2" x14ac:dyDescent="0.3">
      <c r="A597" s="10" t="s">
        <v>658</v>
      </c>
      <c r="B597">
        <v>88.03</v>
      </c>
    </row>
    <row r="598" spans="1:2" x14ac:dyDescent="0.3">
      <c r="A598" s="10" t="s">
        <v>659</v>
      </c>
      <c r="B598">
        <v>90.39</v>
      </c>
    </row>
    <row r="599" spans="1:2" x14ac:dyDescent="0.3">
      <c r="A599" s="10" t="s">
        <v>660</v>
      </c>
      <c r="B599">
        <v>91.96</v>
      </c>
    </row>
    <row r="600" spans="1:2" x14ac:dyDescent="0.3">
      <c r="A600" s="10" t="s">
        <v>661</v>
      </c>
      <c r="B600">
        <v>92.38</v>
      </c>
    </row>
    <row r="601" spans="1:2" x14ac:dyDescent="0.3">
      <c r="A601" s="10" t="s">
        <v>662</v>
      </c>
      <c r="B601">
        <v>94.34</v>
      </c>
    </row>
    <row r="602" spans="1:2" x14ac:dyDescent="0.3">
      <c r="A602" s="10" t="s">
        <v>663</v>
      </c>
      <c r="B602">
        <v>91.79</v>
      </c>
    </row>
    <row r="603" spans="1:2" x14ac:dyDescent="0.3">
      <c r="A603" s="10" t="s">
        <v>664</v>
      </c>
      <c r="B603">
        <v>90.78</v>
      </c>
    </row>
    <row r="604" spans="1:2" x14ac:dyDescent="0.3">
      <c r="A604" s="10" t="s">
        <v>665</v>
      </c>
      <c r="B604">
        <v>90.24</v>
      </c>
    </row>
    <row r="605" spans="1:2" x14ac:dyDescent="0.3">
      <c r="A605" s="10" t="s">
        <v>666</v>
      </c>
      <c r="B605">
        <v>92.99</v>
      </c>
    </row>
    <row r="606" spans="1:2" x14ac:dyDescent="0.3">
      <c r="A606" s="10" t="s">
        <v>667</v>
      </c>
      <c r="B606">
        <v>95.27</v>
      </c>
    </row>
    <row r="607" spans="1:2" x14ac:dyDescent="0.3">
      <c r="A607" s="10" t="s">
        <v>668</v>
      </c>
      <c r="B607">
        <v>94.54</v>
      </c>
    </row>
    <row r="608" spans="1:2" x14ac:dyDescent="0.3">
      <c r="A608" s="10" t="s">
        <v>669</v>
      </c>
      <c r="B608">
        <v>92.95</v>
      </c>
    </row>
    <row r="609" spans="1:2" x14ac:dyDescent="0.3">
      <c r="A609" s="10" t="s">
        <v>670</v>
      </c>
      <c r="B609">
        <v>91.57</v>
      </c>
    </row>
    <row r="610" spans="1:2" x14ac:dyDescent="0.3">
      <c r="A610" s="10" t="s">
        <v>671</v>
      </c>
      <c r="B610">
        <v>90.37</v>
      </c>
    </row>
    <row r="611" spans="1:2" x14ac:dyDescent="0.3">
      <c r="A611" s="10" t="s">
        <v>672</v>
      </c>
      <c r="B611">
        <v>85.49</v>
      </c>
    </row>
    <row r="612" spans="1:2" x14ac:dyDescent="0.3">
      <c r="A612" s="10" t="s">
        <v>673</v>
      </c>
      <c r="B612">
        <v>83.51</v>
      </c>
    </row>
    <row r="613" spans="1:2" x14ac:dyDescent="0.3">
      <c r="A613" s="10" t="s">
        <v>674</v>
      </c>
      <c r="B613">
        <v>84.92</v>
      </c>
    </row>
    <row r="614" spans="1:2" x14ac:dyDescent="0.3">
      <c r="A614" s="10" t="s">
        <v>675</v>
      </c>
      <c r="B614">
        <v>84.89</v>
      </c>
    </row>
    <row r="615" spans="1:2" x14ac:dyDescent="0.3">
      <c r="A615" s="10" t="s">
        <v>676</v>
      </c>
      <c r="B615">
        <v>83.24</v>
      </c>
    </row>
    <row r="616" spans="1:2" x14ac:dyDescent="0.3">
      <c r="A616" s="10" t="s">
        <v>677</v>
      </c>
      <c r="B616">
        <v>82.14</v>
      </c>
    </row>
    <row r="617" spans="1:2" x14ac:dyDescent="0.3">
      <c r="A617" s="10" t="s">
        <v>678</v>
      </c>
      <c r="B617">
        <v>76.08</v>
      </c>
    </row>
    <row r="618" spans="1:2" x14ac:dyDescent="0.3">
      <c r="A618" s="10" t="s">
        <v>679</v>
      </c>
      <c r="B618">
        <v>81.22</v>
      </c>
    </row>
    <row r="619" spans="1:2" x14ac:dyDescent="0.3">
      <c r="A619" s="10" t="s">
        <v>680</v>
      </c>
      <c r="B619">
        <v>82.23</v>
      </c>
    </row>
    <row r="620" spans="1:2" x14ac:dyDescent="0.3">
      <c r="A620" s="10" t="s">
        <v>681</v>
      </c>
      <c r="B620">
        <v>82.01</v>
      </c>
    </row>
    <row r="621" spans="1:2" x14ac:dyDescent="0.3">
      <c r="A621" s="10" t="s">
        <v>682</v>
      </c>
      <c r="B621">
        <v>84.25</v>
      </c>
    </row>
    <row r="622" spans="1:2" x14ac:dyDescent="0.3">
      <c r="A622" s="10" t="s">
        <v>683</v>
      </c>
      <c r="B622">
        <v>79.34</v>
      </c>
    </row>
    <row r="623" spans="1:2" x14ac:dyDescent="0.3">
      <c r="A623" s="10" t="s">
        <v>684</v>
      </c>
      <c r="B623">
        <v>75.739999999999995</v>
      </c>
    </row>
    <row r="624" spans="1:2" x14ac:dyDescent="0.3">
      <c r="A624" s="10" t="s">
        <v>685</v>
      </c>
      <c r="B624">
        <v>71.06</v>
      </c>
    </row>
    <row r="625" spans="1:2" x14ac:dyDescent="0.3">
      <c r="A625" s="10" t="s">
        <v>686</v>
      </c>
      <c r="B625">
        <v>67.680000000000007</v>
      </c>
    </row>
    <row r="626" spans="1:2" x14ac:dyDescent="0.3">
      <c r="A626" s="10" t="s">
        <v>687</v>
      </c>
      <c r="B626">
        <v>67.3</v>
      </c>
    </row>
    <row r="627" spans="1:2" x14ac:dyDescent="0.3">
      <c r="A627" s="10" t="s">
        <v>688</v>
      </c>
      <c r="B627">
        <v>76.400000000000006</v>
      </c>
    </row>
    <row r="628" spans="1:2" x14ac:dyDescent="0.3">
      <c r="A628" s="10" t="s">
        <v>689</v>
      </c>
      <c r="B628">
        <v>73.400000000000006</v>
      </c>
    </row>
    <row r="629" spans="1:2" x14ac:dyDescent="0.3">
      <c r="A629" s="10" t="s">
        <v>690</v>
      </c>
      <c r="B629">
        <v>74.900000000000006</v>
      </c>
    </row>
    <row r="630" spans="1:2" x14ac:dyDescent="0.3">
      <c r="A630" s="10" t="s">
        <v>691</v>
      </c>
      <c r="B630">
        <v>75.72</v>
      </c>
    </row>
    <row r="631" spans="1:2" x14ac:dyDescent="0.3">
      <c r="A631" s="10" t="s">
        <v>692</v>
      </c>
      <c r="B631">
        <v>73.16</v>
      </c>
    </row>
    <row r="632" spans="1:2" x14ac:dyDescent="0.3">
      <c r="A632" s="10" t="s">
        <v>693</v>
      </c>
      <c r="B632">
        <v>80.48</v>
      </c>
    </row>
    <row r="633" spans="1:2" x14ac:dyDescent="0.3">
      <c r="A633" s="10" t="s">
        <v>694</v>
      </c>
      <c r="B633">
        <v>82.36</v>
      </c>
    </row>
    <row r="634" spans="1:2" x14ac:dyDescent="0.3">
      <c r="A634" s="10" t="s">
        <v>695</v>
      </c>
      <c r="B634">
        <v>86.88</v>
      </c>
    </row>
    <row r="635" spans="1:2" x14ac:dyDescent="0.3">
      <c r="A635" s="10" t="s">
        <v>696</v>
      </c>
      <c r="B635">
        <v>92.79</v>
      </c>
    </row>
    <row r="636" spans="1:2" x14ac:dyDescent="0.3">
      <c r="A636" s="10" t="s">
        <v>697</v>
      </c>
      <c r="B636">
        <v>92.2</v>
      </c>
    </row>
    <row r="637" spans="1:2" x14ac:dyDescent="0.3">
      <c r="A637" s="10" t="s">
        <v>698</v>
      </c>
      <c r="B637">
        <v>97.56</v>
      </c>
    </row>
    <row r="638" spans="1:2" x14ac:dyDescent="0.3">
      <c r="A638" s="10" t="s">
        <v>699</v>
      </c>
      <c r="B638">
        <v>96.52</v>
      </c>
    </row>
    <row r="639" spans="1:2" x14ac:dyDescent="0.3">
      <c r="A639" s="10" t="s">
        <v>700</v>
      </c>
      <c r="B639">
        <v>91.87</v>
      </c>
    </row>
    <row r="640" spans="1:2" x14ac:dyDescent="0.3">
      <c r="A640" s="10" t="s">
        <v>701</v>
      </c>
      <c r="B640">
        <v>86.99</v>
      </c>
    </row>
    <row r="641" spans="1:2" x14ac:dyDescent="0.3">
      <c r="A641" s="10" t="s">
        <v>702</v>
      </c>
      <c r="B641">
        <v>85.38</v>
      </c>
    </row>
    <row r="642" spans="1:2" x14ac:dyDescent="0.3">
      <c r="A642" s="10" t="s">
        <v>703</v>
      </c>
      <c r="B642">
        <v>90.15</v>
      </c>
    </row>
    <row r="643" spans="1:2" x14ac:dyDescent="0.3">
      <c r="A643" s="10" t="s">
        <v>704</v>
      </c>
      <c r="B643">
        <v>91.9</v>
      </c>
    </row>
    <row r="644" spans="1:2" x14ac:dyDescent="0.3">
      <c r="A644" s="10" t="s">
        <v>705</v>
      </c>
      <c r="B644">
        <v>93.82</v>
      </c>
    </row>
    <row r="645" spans="1:2" x14ac:dyDescent="0.3">
      <c r="A645" s="10" t="s">
        <v>706</v>
      </c>
      <c r="B645">
        <v>93.58</v>
      </c>
    </row>
    <row r="646" spans="1:2" x14ac:dyDescent="0.3">
      <c r="A646" s="10" t="s">
        <v>707</v>
      </c>
      <c r="B646">
        <v>95.65</v>
      </c>
    </row>
    <row r="647" spans="1:2" x14ac:dyDescent="0.3">
      <c r="A647" s="10" t="s">
        <v>708</v>
      </c>
      <c r="B647">
        <v>95.67</v>
      </c>
    </row>
    <row r="648" spans="1:2" x14ac:dyDescent="0.3">
      <c r="A648" s="10" t="s">
        <v>709</v>
      </c>
      <c r="B648">
        <v>93.94</v>
      </c>
    </row>
    <row r="649" spans="1:2" x14ac:dyDescent="0.3">
      <c r="A649" s="10" t="s">
        <v>710</v>
      </c>
      <c r="B649">
        <v>92.58</v>
      </c>
    </row>
    <row r="650" spans="1:2" x14ac:dyDescent="0.3">
      <c r="A650" s="10" t="s">
        <v>711</v>
      </c>
      <c r="B650">
        <v>91.16</v>
      </c>
    </row>
    <row r="651" spans="1:2" x14ac:dyDescent="0.3">
      <c r="A651" s="10" t="s">
        <v>712</v>
      </c>
      <c r="B651">
        <v>95</v>
      </c>
    </row>
    <row r="652" spans="1:2" x14ac:dyDescent="0.3">
      <c r="A652" s="10" t="s">
        <v>713</v>
      </c>
      <c r="B652">
        <v>90.28</v>
      </c>
    </row>
    <row r="653" spans="1:2" x14ac:dyDescent="0.3">
      <c r="A653" s="10" t="s">
        <v>714</v>
      </c>
      <c r="B653">
        <v>89.28</v>
      </c>
    </row>
    <row r="654" spans="1:2" x14ac:dyDescent="0.3">
      <c r="A654" s="10" t="s">
        <v>715</v>
      </c>
      <c r="B654">
        <v>90.71</v>
      </c>
    </row>
    <row r="655" spans="1:2" x14ac:dyDescent="0.3">
      <c r="A655" s="10" t="s">
        <v>716</v>
      </c>
      <c r="B655">
        <v>88.69</v>
      </c>
    </row>
    <row r="656" spans="1:2" x14ac:dyDescent="0.3">
      <c r="A656" s="10" t="s">
        <v>717</v>
      </c>
      <c r="B656">
        <v>89.88</v>
      </c>
    </row>
    <row r="657" spans="1:2" x14ac:dyDescent="0.3">
      <c r="A657" s="10" t="s">
        <v>718</v>
      </c>
      <c r="B657">
        <v>98.32</v>
      </c>
    </row>
    <row r="658" spans="1:2" x14ac:dyDescent="0.3">
      <c r="A658" s="10" t="s">
        <v>719</v>
      </c>
      <c r="B658">
        <v>95.42</v>
      </c>
    </row>
    <row r="659" spans="1:2" x14ac:dyDescent="0.3">
      <c r="A659" s="10" t="s">
        <v>720</v>
      </c>
      <c r="B659">
        <v>91.74</v>
      </c>
    </row>
    <row r="660" spans="1:2" x14ac:dyDescent="0.3">
      <c r="A660" s="10" t="s">
        <v>721</v>
      </c>
      <c r="B660">
        <v>90.48</v>
      </c>
    </row>
    <row r="661" spans="1:2" x14ac:dyDescent="0.3">
      <c r="A661" s="10" t="s">
        <v>722</v>
      </c>
      <c r="B661">
        <v>93.34</v>
      </c>
    </row>
    <row r="662" spans="1:2" x14ac:dyDescent="0.3">
      <c r="A662" s="10" t="s">
        <v>723</v>
      </c>
      <c r="B662">
        <v>95.83</v>
      </c>
    </row>
    <row r="663" spans="1:2" x14ac:dyDescent="0.3">
      <c r="A663" s="10" t="s">
        <v>724</v>
      </c>
      <c r="B663">
        <v>93.15</v>
      </c>
    </row>
    <row r="664" spans="1:2" x14ac:dyDescent="0.3">
      <c r="A664" s="10" t="s">
        <v>725</v>
      </c>
      <c r="B664">
        <v>93.01</v>
      </c>
    </row>
    <row r="665" spans="1:2" x14ac:dyDescent="0.3">
      <c r="A665" s="10" t="s">
        <v>726</v>
      </c>
      <c r="B665">
        <v>93.01</v>
      </c>
    </row>
    <row r="666" spans="1:2" x14ac:dyDescent="0.3">
      <c r="A666" s="10" t="s">
        <v>727</v>
      </c>
      <c r="B666">
        <v>93.07</v>
      </c>
    </row>
    <row r="667" spans="1:2" x14ac:dyDescent="0.3">
      <c r="A667" s="10" t="s">
        <v>728</v>
      </c>
      <c r="B667">
        <v>93.98</v>
      </c>
    </row>
    <row r="668" spans="1:2" x14ac:dyDescent="0.3">
      <c r="A668" s="10" t="s">
        <v>729</v>
      </c>
      <c r="B668">
        <v>95</v>
      </c>
    </row>
    <row r="669" spans="1:2" x14ac:dyDescent="0.3">
      <c r="A669" s="10" t="s">
        <v>730</v>
      </c>
      <c r="B669">
        <v>87.5</v>
      </c>
    </row>
    <row r="670" spans="1:2" x14ac:dyDescent="0.3">
      <c r="A670" s="10" t="s">
        <v>731</v>
      </c>
      <c r="B670">
        <v>86.79</v>
      </c>
    </row>
    <row r="671" spans="1:2" x14ac:dyDescent="0.3">
      <c r="A671" s="10" t="s">
        <v>732</v>
      </c>
      <c r="B671">
        <v>87.32</v>
      </c>
    </row>
    <row r="672" spans="1:2" x14ac:dyDescent="0.3">
      <c r="A672" s="10" t="s">
        <v>733</v>
      </c>
      <c r="B672">
        <v>90</v>
      </c>
    </row>
    <row r="673" spans="1:2" x14ac:dyDescent="0.3">
      <c r="A673" s="10" t="s">
        <v>734</v>
      </c>
      <c r="B673">
        <v>87.72</v>
      </c>
    </row>
    <row r="674" spans="1:2" x14ac:dyDescent="0.3">
      <c r="A674" s="10" t="s">
        <v>735</v>
      </c>
      <c r="B674">
        <v>88.86</v>
      </c>
    </row>
    <row r="675" spans="1:2" x14ac:dyDescent="0.3">
      <c r="A675" s="10" t="s">
        <v>736</v>
      </c>
      <c r="B675">
        <v>89.62</v>
      </c>
    </row>
    <row r="676" spans="1:2" x14ac:dyDescent="0.3">
      <c r="A676" s="10" t="s">
        <v>737</v>
      </c>
      <c r="B676">
        <v>88.69</v>
      </c>
    </row>
    <row r="677" spans="1:2" x14ac:dyDescent="0.3">
      <c r="A677" s="10" t="s">
        <v>738</v>
      </c>
      <c r="B677">
        <v>85.64</v>
      </c>
    </row>
    <row r="678" spans="1:2" x14ac:dyDescent="0.3">
      <c r="A678" s="10" t="s">
        <v>739</v>
      </c>
      <c r="B678">
        <v>84.23</v>
      </c>
    </row>
    <row r="679" spans="1:2" x14ac:dyDescent="0.3">
      <c r="A679" s="10" t="s">
        <v>740</v>
      </c>
      <c r="B679">
        <v>82.28</v>
      </c>
    </row>
    <row r="680" spans="1:2" x14ac:dyDescent="0.3">
      <c r="A680" s="10" t="s">
        <v>741</v>
      </c>
      <c r="B680">
        <v>84.16</v>
      </c>
    </row>
    <row r="681" spans="1:2" x14ac:dyDescent="0.3">
      <c r="A681" s="10" t="s">
        <v>742</v>
      </c>
      <c r="B681">
        <v>82.75</v>
      </c>
    </row>
    <row r="682" spans="1:2" x14ac:dyDescent="0.3">
      <c r="A682" s="10" t="s">
        <v>743</v>
      </c>
      <c r="B682">
        <v>80.459999999999994</v>
      </c>
    </row>
    <row r="683" spans="1:2" x14ac:dyDescent="0.3">
      <c r="A683" s="10" t="s">
        <v>744</v>
      </c>
      <c r="B683">
        <v>81.23</v>
      </c>
    </row>
    <row r="684" spans="1:2" x14ac:dyDescent="0.3">
      <c r="A684" s="10" t="s">
        <v>745</v>
      </c>
      <c r="B684">
        <v>80.8</v>
      </c>
    </row>
    <row r="685" spans="1:2" x14ac:dyDescent="0.3">
      <c r="A685" s="10" t="s">
        <v>746</v>
      </c>
      <c r="B685">
        <v>85.32</v>
      </c>
    </row>
    <row r="686" spans="1:2" x14ac:dyDescent="0.3">
      <c r="A686" s="10" t="s">
        <v>747</v>
      </c>
      <c r="B686">
        <v>82.55</v>
      </c>
    </row>
    <row r="687" spans="1:2" x14ac:dyDescent="0.3">
      <c r="A687" s="10" t="s">
        <v>748</v>
      </c>
      <c r="B687">
        <v>78.959999999999994</v>
      </c>
    </row>
    <row r="688" spans="1:2" x14ac:dyDescent="0.3">
      <c r="A688" s="10" t="s">
        <v>749</v>
      </c>
      <c r="B688">
        <v>74.61</v>
      </c>
    </row>
    <row r="689" spans="1:2" x14ac:dyDescent="0.3">
      <c r="A689" s="10" t="s">
        <v>750</v>
      </c>
      <c r="B689">
        <v>74.22</v>
      </c>
    </row>
    <row r="690" spans="1:2" x14ac:dyDescent="0.3">
      <c r="A690" s="10" t="s">
        <v>751</v>
      </c>
      <c r="B690">
        <v>71.41</v>
      </c>
    </row>
    <row r="691" spans="1:2" x14ac:dyDescent="0.3">
      <c r="A691" s="10" t="s">
        <v>752</v>
      </c>
      <c r="B691">
        <v>75.959999999999994</v>
      </c>
    </row>
    <row r="692" spans="1:2" x14ac:dyDescent="0.3">
      <c r="A692" s="10" t="s">
        <v>753</v>
      </c>
      <c r="B692">
        <v>78.7</v>
      </c>
    </row>
    <row r="693" spans="1:2" x14ac:dyDescent="0.3">
      <c r="A693" s="10" t="s">
        <v>754</v>
      </c>
      <c r="B693">
        <v>80.63</v>
      </c>
    </row>
    <row r="694" spans="1:2" x14ac:dyDescent="0.3">
      <c r="A694" s="10" t="s">
        <v>755</v>
      </c>
      <c r="B694">
        <v>79.37</v>
      </c>
    </row>
    <row r="695" spans="1:2" x14ac:dyDescent="0.3">
      <c r="A695" s="10" t="s">
        <v>756</v>
      </c>
      <c r="B695">
        <v>83.49</v>
      </c>
    </row>
    <row r="696" spans="1:2" x14ac:dyDescent="0.3">
      <c r="A696" s="10" t="s">
        <v>757</v>
      </c>
      <c r="B696">
        <v>83.06</v>
      </c>
    </row>
    <row r="697" spans="1:2" x14ac:dyDescent="0.3">
      <c r="A697" s="10" t="s">
        <v>758</v>
      </c>
      <c r="B697">
        <v>85.91</v>
      </c>
    </row>
    <row r="698" spans="1:2" x14ac:dyDescent="0.3">
      <c r="A698" s="10" t="s">
        <v>759</v>
      </c>
      <c r="B698">
        <v>83.14</v>
      </c>
    </row>
    <row r="699" spans="1:2" x14ac:dyDescent="0.3">
      <c r="A699" s="10" t="s">
        <v>760</v>
      </c>
      <c r="B699">
        <v>90.01</v>
      </c>
    </row>
    <row r="700" spans="1:2" x14ac:dyDescent="0.3">
      <c r="A700" s="10" t="s">
        <v>761</v>
      </c>
      <c r="B700">
        <v>92.81</v>
      </c>
    </row>
    <row r="701" spans="1:2" x14ac:dyDescent="0.3">
      <c r="A701" s="10" t="s">
        <v>762</v>
      </c>
      <c r="B701">
        <v>93.87</v>
      </c>
    </row>
    <row r="702" spans="1:2" x14ac:dyDescent="0.3">
      <c r="A702" s="10" t="s">
        <v>763</v>
      </c>
      <c r="B702">
        <v>91.26</v>
      </c>
    </row>
    <row r="703" spans="1:2" x14ac:dyDescent="0.3">
      <c r="A703" s="10" t="s">
        <v>764</v>
      </c>
      <c r="B703">
        <v>92.17</v>
      </c>
    </row>
    <row r="704" spans="1:2" x14ac:dyDescent="0.3">
      <c r="A704" s="10" t="s">
        <v>765</v>
      </c>
      <c r="B704">
        <v>91.35</v>
      </c>
    </row>
    <row r="705" spans="1:2" x14ac:dyDescent="0.3">
      <c r="A705" s="10" t="s">
        <v>766</v>
      </c>
      <c r="B705">
        <v>91.05</v>
      </c>
    </row>
    <row r="706" spans="1:2" x14ac:dyDescent="0.3">
      <c r="A706" s="10" t="s">
        <v>767</v>
      </c>
      <c r="B706">
        <v>86.18</v>
      </c>
    </row>
    <row r="707" spans="1:2" x14ac:dyDescent="0.3">
      <c r="A707" s="10" t="s">
        <v>768</v>
      </c>
      <c r="B707">
        <v>86.95</v>
      </c>
    </row>
    <row r="708" spans="1:2" x14ac:dyDescent="0.3">
      <c r="A708" s="10" t="s">
        <v>769</v>
      </c>
      <c r="B708">
        <v>84.76</v>
      </c>
    </row>
    <row r="709" spans="1:2" x14ac:dyDescent="0.3">
      <c r="A709" s="10" t="s">
        <v>770</v>
      </c>
      <c r="B709">
        <v>81.760000000000005</v>
      </c>
    </row>
    <row r="710" spans="1:2" x14ac:dyDescent="0.3">
      <c r="A710" s="10" t="s">
        <v>771</v>
      </c>
      <c r="B710">
        <v>78.55</v>
      </c>
    </row>
    <row r="711" spans="1:2" x14ac:dyDescent="0.3">
      <c r="A711" s="10" t="s">
        <v>772</v>
      </c>
      <c r="B711">
        <v>76.69</v>
      </c>
    </row>
    <row r="712" spans="1:2" x14ac:dyDescent="0.3">
      <c r="A712" s="10" t="s">
        <v>773</v>
      </c>
      <c r="B712">
        <v>78.349999999999994</v>
      </c>
    </row>
    <row r="713" spans="1:2" x14ac:dyDescent="0.3">
      <c r="A713" s="10" t="s">
        <v>774</v>
      </c>
      <c r="B713">
        <v>80.290000000000006</v>
      </c>
    </row>
    <row r="714" spans="1:2" x14ac:dyDescent="0.3">
      <c r="A714" s="10" t="s">
        <v>775</v>
      </c>
      <c r="B714">
        <v>85.11</v>
      </c>
    </row>
    <row r="715" spans="1:2" x14ac:dyDescent="0.3">
      <c r="A715" s="10" t="s">
        <v>776</v>
      </c>
      <c r="B715">
        <v>84.99</v>
      </c>
    </row>
    <row r="716" spans="1:2" x14ac:dyDescent="0.3">
      <c r="A716" s="10" t="s">
        <v>777</v>
      </c>
      <c r="B716">
        <v>83.45</v>
      </c>
    </row>
    <row r="717" spans="1:2" x14ac:dyDescent="0.3">
      <c r="A717" s="10" t="s">
        <v>778</v>
      </c>
      <c r="B717">
        <v>82.57</v>
      </c>
    </row>
    <row r="718" spans="1:2" x14ac:dyDescent="0.3">
      <c r="A718" s="10" t="s">
        <v>779</v>
      </c>
      <c r="B718">
        <v>84.95</v>
      </c>
    </row>
    <row r="719" spans="1:2" x14ac:dyDescent="0.3">
      <c r="A719" s="10" t="s">
        <v>780</v>
      </c>
      <c r="B719">
        <v>87.94</v>
      </c>
    </row>
    <row r="720" spans="1:2" x14ac:dyDescent="0.3">
      <c r="A720" s="10" t="s">
        <v>781</v>
      </c>
      <c r="B720">
        <v>87.93</v>
      </c>
    </row>
    <row r="721" spans="1:2" x14ac:dyDescent="0.3">
      <c r="A721" s="10" t="s">
        <v>782</v>
      </c>
      <c r="B721">
        <v>82.65</v>
      </c>
    </row>
    <row r="722" spans="1:2" x14ac:dyDescent="0.3">
      <c r="A722" s="10" t="s">
        <v>783</v>
      </c>
      <c r="B722">
        <v>81.78</v>
      </c>
    </row>
    <row r="723" spans="1:2" x14ac:dyDescent="0.3">
      <c r="A723" s="10" t="s">
        <v>784</v>
      </c>
      <c r="B723">
        <v>81.97</v>
      </c>
    </row>
    <row r="724" spans="1:2" x14ac:dyDescent="0.3">
      <c r="A724" s="10" t="s">
        <v>785</v>
      </c>
      <c r="B724">
        <v>77.12</v>
      </c>
    </row>
    <row r="725" spans="1:2" x14ac:dyDescent="0.3">
      <c r="A725" s="10" t="s">
        <v>786</v>
      </c>
      <c r="B725">
        <v>72.69</v>
      </c>
    </row>
    <row r="726" spans="1:2" x14ac:dyDescent="0.3">
      <c r="A726" s="10" t="s">
        <v>787</v>
      </c>
      <c r="B726">
        <v>77.099999999999994</v>
      </c>
    </row>
    <row r="727" spans="1:2" x14ac:dyDescent="0.3">
      <c r="A727" s="10" t="s">
        <v>788</v>
      </c>
      <c r="B727">
        <v>80.05</v>
      </c>
    </row>
    <row r="728" spans="1:2" x14ac:dyDescent="0.3">
      <c r="A728" s="10" t="s">
        <v>789</v>
      </c>
      <c r="B728">
        <v>77.48</v>
      </c>
    </row>
    <row r="729" spans="1:2" x14ac:dyDescent="0.3">
      <c r="A729" s="10" t="s">
        <v>790</v>
      </c>
      <c r="B729">
        <v>73.58</v>
      </c>
    </row>
    <row r="730" spans="1:2" x14ac:dyDescent="0.3">
      <c r="A730" s="10" t="s">
        <v>791</v>
      </c>
      <c r="B730">
        <v>73.38</v>
      </c>
    </row>
    <row r="731" spans="1:2" x14ac:dyDescent="0.3">
      <c r="A731" s="10" t="s">
        <v>792</v>
      </c>
      <c r="B731">
        <v>76.17</v>
      </c>
    </row>
    <row r="732" spans="1:2" x14ac:dyDescent="0.3">
      <c r="A732" s="10" t="s">
        <v>793</v>
      </c>
      <c r="B732">
        <v>77.319999999999993</v>
      </c>
    </row>
    <row r="733" spans="1:2" x14ac:dyDescent="0.3">
      <c r="A733" s="10" t="s">
        <v>794</v>
      </c>
      <c r="B733">
        <v>70.86</v>
      </c>
    </row>
    <row r="734" spans="1:2" x14ac:dyDescent="0.3">
      <c r="A734" s="10" t="s">
        <v>795</v>
      </c>
      <c r="B734">
        <v>69.86</v>
      </c>
    </row>
    <row r="735" spans="1:2" x14ac:dyDescent="0.3">
      <c r="A735" s="10" t="s">
        <v>796</v>
      </c>
      <c r="B735">
        <v>67.87</v>
      </c>
    </row>
    <row r="736" spans="1:2" x14ac:dyDescent="0.3">
      <c r="A736" s="10" t="s">
        <v>797</v>
      </c>
      <c r="B736">
        <v>66.010000000000005</v>
      </c>
    </row>
    <row r="737" spans="1:2" x14ac:dyDescent="0.3">
      <c r="A737" s="10" t="s">
        <v>798</v>
      </c>
      <c r="B737">
        <v>67.86</v>
      </c>
    </row>
    <row r="738" spans="1:2" x14ac:dyDescent="0.3">
      <c r="A738" s="10" t="s">
        <v>799</v>
      </c>
      <c r="B738">
        <v>67.84</v>
      </c>
    </row>
    <row r="739" spans="1:2" x14ac:dyDescent="0.3">
      <c r="A739" s="10" t="s">
        <v>800</v>
      </c>
      <c r="B739">
        <v>64.98</v>
      </c>
    </row>
    <row r="740" spans="1:2" x14ac:dyDescent="0.3">
      <c r="A740" s="10" t="s">
        <v>801</v>
      </c>
      <c r="B740">
        <v>60.47</v>
      </c>
    </row>
    <row r="741" spans="1:2" x14ac:dyDescent="0.3">
      <c r="A741" s="10" t="s">
        <v>802</v>
      </c>
      <c r="B741">
        <v>54.88</v>
      </c>
    </row>
    <row r="742" spans="1:2" x14ac:dyDescent="0.3">
      <c r="A742" s="10" t="s">
        <v>803</v>
      </c>
      <c r="B742">
        <v>54.32</v>
      </c>
    </row>
    <row r="743" spans="1:2" x14ac:dyDescent="0.3">
      <c r="A743" s="10" t="s">
        <v>804</v>
      </c>
      <c r="B743">
        <v>55.41</v>
      </c>
    </row>
    <row r="744" spans="1:2" x14ac:dyDescent="0.3">
      <c r="A744" s="10" t="s">
        <v>805</v>
      </c>
      <c r="B744">
        <v>51.45</v>
      </c>
    </row>
    <row r="745" spans="1:2" x14ac:dyDescent="0.3">
      <c r="A745" s="10" t="s">
        <v>806</v>
      </c>
      <c r="B745">
        <v>54.39</v>
      </c>
    </row>
    <row r="746" spans="1:2" x14ac:dyDescent="0.3">
      <c r="A746" s="10" t="s">
        <v>807</v>
      </c>
      <c r="B746">
        <v>57.11</v>
      </c>
    </row>
    <row r="747" spans="1:2" x14ac:dyDescent="0.3">
      <c r="A747" s="10" t="s">
        <v>808</v>
      </c>
      <c r="B747">
        <v>55.43</v>
      </c>
    </row>
    <row r="748" spans="1:2" x14ac:dyDescent="0.3">
      <c r="A748" s="10" t="s">
        <v>809</v>
      </c>
      <c r="B748">
        <v>52.84</v>
      </c>
    </row>
    <row r="749" spans="1:2" x14ac:dyDescent="0.3">
      <c r="A749" s="10" t="s">
        <v>810</v>
      </c>
      <c r="B749">
        <v>52.98</v>
      </c>
    </row>
    <row r="750" spans="1:2" x14ac:dyDescent="0.3">
      <c r="A750" s="10" t="s">
        <v>811</v>
      </c>
      <c r="B750">
        <v>60.06</v>
      </c>
    </row>
    <row r="751" spans="1:2" x14ac:dyDescent="0.3">
      <c r="A751" s="10" t="s">
        <v>812</v>
      </c>
      <c r="B751">
        <v>55.13</v>
      </c>
    </row>
    <row r="752" spans="1:2" x14ac:dyDescent="0.3">
      <c r="A752" s="10" t="s">
        <v>813</v>
      </c>
      <c r="B752">
        <v>56.06</v>
      </c>
    </row>
    <row r="753" spans="1:2" x14ac:dyDescent="0.3">
      <c r="A753" s="10" t="s">
        <v>814</v>
      </c>
      <c r="B753">
        <v>53.25</v>
      </c>
    </row>
    <row r="754" spans="1:2" x14ac:dyDescent="0.3">
      <c r="A754" s="10" t="s">
        <v>815</v>
      </c>
      <c r="B754">
        <v>50.92</v>
      </c>
    </row>
    <row r="755" spans="1:2" x14ac:dyDescent="0.3">
      <c r="A755" s="10" t="s">
        <v>816</v>
      </c>
      <c r="B755">
        <v>50.02</v>
      </c>
    </row>
    <row r="756" spans="1:2" x14ac:dyDescent="0.3">
      <c r="A756" s="10" t="s">
        <v>817</v>
      </c>
      <c r="B756">
        <v>45.68</v>
      </c>
    </row>
    <row r="757" spans="1:2" x14ac:dyDescent="0.3">
      <c r="A757" s="10" t="s">
        <v>818</v>
      </c>
      <c r="B757">
        <v>41.9</v>
      </c>
    </row>
    <row r="758" spans="1:2" x14ac:dyDescent="0.3">
      <c r="A758" s="10" t="s">
        <v>819</v>
      </c>
      <c r="B758">
        <v>38</v>
      </c>
    </row>
    <row r="759" spans="1:2" x14ac:dyDescent="0.3">
      <c r="A759" s="10" t="s">
        <v>820</v>
      </c>
      <c r="B759">
        <v>35.76</v>
      </c>
    </row>
    <row r="760" spans="1:2" x14ac:dyDescent="0.3">
      <c r="A760" s="10" t="s">
        <v>821</v>
      </c>
      <c r="B760">
        <v>43.21</v>
      </c>
    </row>
    <row r="761" spans="1:2" x14ac:dyDescent="0.3">
      <c r="A761" s="10" t="s">
        <v>822</v>
      </c>
      <c r="B761">
        <v>46.96</v>
      </c>
    </row>
    <row r="762" spans="1:2" x14ac:dyDescent="0.3">
      <c r="A762" s="10" t="s">
        <v>823</v>
      </c>
      <c r="B762">
        <v>51.81</v>
      </c>
    </row>
    <row r="763" spans="1:2" x14ac:dyDescent="0.3">
      <c r="A763" s="10" t="s">
        <v>824</v>
      </c>
      <c r="B763">
        <v>55.27</v>
      </c>
    </row>
    <row r="764" spans="1:2" x14ac:dyDescent="0.3">
      <c r="A764" s="10" t="s">
        <v>825</v>
      </c>
      <c r="B764">
        <v>50.94</v>
      </c>
    </row>
    <row r="765" spans="1:2" x14ac:dyDescent="0.3">
      <c r="A765" s="10" t="s">
        <v>826</v>
      </c>
      <c r="B765">
        <v>54.12</v>
      </c>
    </row>
    <row r="766" spans="1:2" x14ac:dyDescent="0.3">
      <c r="A766" s="10" t="s">
        <v>827</v>
      </c>
      <c r="B766">
        <v>58.58</v>
      </c>
    </row>
    <row r="767" spans="1:2" x14ac:dyDescent="0.3">
      <c r="A767" s="10" t="s">
        <v>828</v>
      </c>
      <c r="B767">
        <v>60.32</v>
      </c>
    </row>
    <row r="768" spans="1:2" x14ac:dyDescent="0.3">
      <c r="A768" s="10" t="s">
        <v>829</v>
      </c>
      <c r="B768">
        <v>64.44</v>
      </c>
    </row>
    <row r="769" spans="1:2" x14ac:dyDescent="0.3">
      <c r="A769" s="10" t="s">
        <v>830</v>
      </c>
      <c r="B769">
        <v>60.97</v>
      </c>
    </row>
    <row r="770" spans="1:2" x14ac:dyDescent="0.3">
      <c r="A770" s="10" t="s">
        <v>831</v>
      </c>
      <c r="B770">
        <v>63.59</v>
      </c>
    </row>
    <row r="771" spans="1:2" x14ac:dyDescent="0.3">
      <c r="A771" s="10" t="s">
        <v>832</v>
      </c>
      <c r="B771">
        <v>61.34</v>
      </c>
    </row>
    <row r="772" spans="1:2" x14ac:dyDescent="0.3">
      <c r="A772" s="10" t="s">
        <v>833</v>
      </c>
      <c r="B772">
        <v>73.709999999999994</v>
      </c>
    </row>
    <row r="773" spans="1:2" x14ac:dyDescent="0.3">
      <c r="A773" s="10" t="s">
        <v>834</v>
      </c>
      <c r="B773">
        <v>70.650000000000006</v>
      </c>
    </row>
    <row r="774" spans="1:2" x14ac:dyDescent="0.3">
      <c r="A774" s="10" t="s">
        <v>835</v>
      </c>
      <c r="B774">
        <v>60.91</v>
      </c>
    </row>
    <row r="775" spans="1:2" x14ac:dyDescent="0.3">
      <c r="A775" s="10" t="s">
        <v>836</v>
      </c>
      <c r="B775">
        <v>64.37</v>
      </c>
    </row>
    <row r="776" spans="1:2" x14ac:dyDescent="0.3">
      <c r="A776" s="10" t="s">
        <v>837</v>
      </c>
      <c r="B776">
        <v>64.58</v>
      </c>
    </row>
    <row r="777" spans="1:2" x14ac:dyDescent="0.3">
      <c r="A777" s="10" t="s">
        <v>838</v>
      </c>
      <c r="B777">
        <v>65.37</v>
      </c>
    </row>
    <row r="778" spans="1:2" x14ac:dyDescent="0.3">
      <c r="A778" s="10" t="s">
        <v>839</v>
      </c>
      <c r="B778">
        <v>56.81</v>
      </c>
    </row>
    <row r="779" spans="1:2" x14ac:dyDescent="0.3">
      <c r="A779" s="10" t="s">
        <v>840</v>
      </c>
      <c r="B779">
        <v>62.55</v>
      </c>
    </row>
    <row r="780" spans="1:2" x14ac:dyDescent="0.3">
      <c r="A780" s="10" t="s">
        <v>841</v>
      </c>
      <c r="B780">
        <v>68.36</v>
      </c>
    </row>
    <row r="781" spans="1:2" x14ac:dyDescent="0.3">
      <c r="A781" s="10" t="s">
        <v>842</v>
      </c>
      <c r="B781">
        <v>78</v>
      </c>
    </row>
    <row r="782" spans="1:2" x14ac:dyDescent="0.3">
      <c r="A782" s="10" t="s">
        <v>843</v>
      </c>
      <c r="B782">
        <v>81.56</v>
      </c>
    </row>
    <row r="783" spans="1:2" x14ac:dyDescent="0.3">
      <c r="A783" s="10" t="s">
        <v>844</v>
      </c>
      <c r="B783">
        <v>90.08</v>
      </c>
    </row>
    <row r="784" spans="1:2" x14ac:dyDescent="0.3">
      <c r="A784" s="10" t="s">
        <v>845</v>
      </c>
      <c r="B784">
        <v>90.84</v>
      </c>
    </row>
    <row r="785" spans="1:2" x14ac:dyDescent="0.3">
      <c r="A785" s="10" t="s">
        <v>846</v>
      </c>
      <c r="B785">
        <v>82.28</v>
      </c>
    </row>
    <row r="786" spans="1:2" x14ac:dyDescent="0.3">
      <c r="A786" s="10" t="s">
        <v>847</v>
      </c>
      <c r="B786">
        <v>82.82</v>
      </c>
    </row>
    <row r="787" spans="1:2" x14ac:dyDescent="0.3">
      <c r="A787" s="10" t="s">
        <v>848</v>
      </c>
      <c r="B787">
        <v>82.68</v>
      </c>
    </row>
    <row r="788" spans="1:2" x14ac:dyDescent="0.3">
      <c r="A788" s="10" t="s">
        <v>849</v>
      </c>
      <c r="B788">
        <v>87.85</v>
      </c>
    </row>
    <row r="789" spans="1:2" x14ac:dyDescent="0.3">
      <c r="A789" s="10" t="s">
        <v>850</v>
      </c>
      <c r="B789">
        <v>88.16</v>
      </c>
    </row>
    <row r="790" spans="1:2" x14ac:dyDescent="0.3">
      <c r="A790" s="10" t="s">
        <v>851</v>
      </c>
      <c r="B790">
        <v>77.34</v>
      </c>
    </row>
    <row r="791" spans="1:2" x14ac:dyDescent="0.3">
      <c r="A791" s="10" t="s">
        <v>852</v>
      </c>
      <c r="B791">
        <v>79.489999999999995</v>
      </c>
    </row>
    <row r="792" spans="1:2" x14ac:dyDescent="0.3">
      <c r="A792" s="10" t="s">
        <v>853</v>
      </c>
      <c r="B792">
        <v>79.52</v>
      </c>
    </row>
    <row r="793" spans="1:2" x14ac:dyDescent="0.3">
      <c r="A793" s="10" t="s">
        <v>854</v>
      </c>
      <c r="B793">
        <v>73.94</v>
      </c>
    </row>
    <row r="794" spans="1:2" x14ac:dyDescent="0.3">
      <c r="A794" s="10" t="s">
        <v>855</v>
      </c>
      <c r="B794">
        <v>74.97</v>
      </c>
    </row>
    <row r="795" spans="1:2" x14ac:dyDescent="0.3">
      <c r="A795" s="10" t="s">
        <v>856</v>
      </c>
      <c r="B795">
        <v>77.25</v>
      </c>
    </row>
    <row r="796" spans="1:2" x14ac:dyDescent="0.3">
      <c r="A796" s="10" t="s">
        <v>857</v>
      </c>
      <c r="B796">
        <v>80.540000000000006</v>
      </c>
    </row>
    <row r="797" spans="1:2" x14ac:dyDescent="0.3">
      <c r="A797" s="10" t="s">
        <v>858</v>
      </c>
      <c r="B797">
        <v>85.98</v>
      </c>
    </row>
    <row r="798" spans="1:2" x14ac:dyDescent="0.3">
      <c r="A798" s="10" t="s">
        <v>859</v>
      </c>
      <c r="B798">
        <v>88.86</v>
      </c>
    </row>
    <row r="799" spans="1:2" x14ac:dyDescent="0.3">
      <c r="A799" s="10" t="s">
        <v>860</v>
      </c>
      <c r="B799">
        <v>91.71</v>
      </c>
    </row>
    <row r="800" spans="1:2" x14ac:dyDescent="0.3">
      <c r="A800" s="10" t="s">
        <v>861</v>
      </c>
      <c r="B800">
        <v>86.83</v>
      </c>
    </row>
    <row r="801" spans="1:2" x14ac:dyDescent="0.3">
      <c r="A801" s="10" t="s">
        <v>862</v>
      </c>
      <c r="B801">
        <v>90.95</v>
      </c>
    </row>
    <row r="802" spans="1:2" x14ac:dyDescent="0.3">
      <c r="A802" s="10" t="s">
        <v>863</v>
      </c>
      <c r="B802">
        <v>90.37</v>
      </c>
    </row>
    <row r="803" spans="1:2" x14ac:dyDescent="0.3">
      <c r="A803" s="10" t="s">
        <v>864</v>
      </c>
      <c r="B803">
        <v>96.86</v>
      </c>
    </row>
    <row r="804" spans="1:2" x14ac:dyDescent="0.3">
      <c r="A804" s="10" t="s">
        <v>865</v>
      </c>
      <c r="B804">
        <v>94.46</v>
      </c>
    </row>
    <row r="805" spans="1:2" x14ac:dyDescent="0.3">
      <c r="A805" s="10" t="s">
        <v>866</v>
      </c>
      <c r="B805">
        <v>96.71</v>
      </c>
    </row>
    <row r="806" spans="1:2" x14ac:dyDescent="0.3">
      <c r="A806" s="10" t="s">
        <v>867</v>
      </c>
      <c r="B806">
        <v>92.9</v>
      </c>
    </row>
    <row r="807" spans="1:2" x14ac:dyDescent="0.3">
      <c r="A807" s="10" t="s">
        <v>868</v>
      </c>
      <c r="B807">
        <v>96.87</v>
      </c>
    </row>
    <row r="808" spans="1:2" x14ac:dyDescent="0.3">
      <c r="A808" s="10" t="s">
        <v>869</v>
      </c>
      <c r="B808">
        <v>91.27</v>
      </c>
    </row>
    <row r="809" spans="1:2" x14ac:dyDescent="0.3">
      <c r="A809" s="10" t="s">
        <v>870</v>
      </c>
      <c r="B809">
        <v>87.02</v>
      </c>
    </row>
    <row r="810" spans="1:2" x14ac:dyDescent="0.3">
      <c r="A810" s="10" t="s">
        <v>871</v>
      </c>
      <c r="B810">
        <v>84.8</v>
      </c>
    </row>
    <row r="811" spans="1:2" x14ac:dyDescent="0.3">
      <c r="A811" s="10" t="s">
        <v>872</v>
      </c>
      <c r="B811">
        <v>86.7</v>
      </c>
    </row>
    <row r="812" spans="1:2" x14ac:dyDescent="0.3">
      <c r="A812" s="10" t="s">
        <v>873</v>
      </c>
      <c r="B812">
        <v>88.13</v>
      </c>
    </row>
    <row r="813" spans="1:2" x14ac:dyDescent="0.3">
      <c r="A813" s="10" t="s">
        <v>874</v>
      </c>
      <c r="B813">
        <v>89.09</v>
      </c>
    </row>
    <row r="814" spans="1:2" x14ac:dyDescent="0.3">
      <c r="A814" s="10" t="s">
        <v>875</v>
      </c>
      <c r="B814">
        <v>87.92</v>
      </c>
    </row>
    <row r="815" spans="1:2" x14ac:dyDescent="0.3">
      <c r="A815" s="10" t="s">
        <v>876</v>
      </c>
      <c r="B815">
        <v>88</v>
      </c>
    </row>
    <row r="816" spans="1:2" x14ac:dyDescent="0.3">
      <c r="A816" s="10" t="s">
        <v>877</v>
      </c>
      <c r="B816">
        <v>93.42</v>
      </c>
    </row>
    <row r="817" spans="1:2" x14ac:dyDescent="0.3">
      <c r="A817" s="10" t="s">
        <v>878</v>
      </c>
      <c r="B817">
        <v>89.96</v>
      </c>
    </row>
    <row r="818" spans="1:2" x14ac:dyDescent="0.3">
      <c r="A818" s="10" t="s">
        <v>879</v>
      </c>
      <c r="B818">
        <v>84.01</v>
      </c>
    </row>
    <row r="819" spans="1:2" x14ac:dyDescent="0.3">
      <c r="A819" s="10" t="s">
        <v>880</v>
      </c>
      <c r="B819">
        <v>84.04</v>
      </c>
    </row>
    <row r="820" spans="1:2" x14ac:dyDescent="0.3">
      <c r="A820" s="10" t="s">
        <v>881</v>
      </c>
      <c r="B820">
        <v>84.1</v>
      </c>
    </row>
    <row r="821" spans="1:2" x14ac:dyDescent="0.3">
      <c r="A821" s="10" t="s">
        <v>882</v>
      </c>
      <c r="B821">
        <v>90.62</v>
      </c>
    </row>
    <row r="822" spans="1:2" x14ac:dyDescent="0.3">
      <c r="A822" s="10" t="s">
        <v>883</v>
      </c>
      <c r="B822">
        <v>94.29</v>
      </c>
    </row>
    <row r="823" spans="1:2" x14ac:dyDescent="0.3">
      <c r="A823" s="10" t="s">
        <v>884</v>
      </c>
      <c r="B823">
        <v>95.92</v>
      </c>
    </row>
    <row r="824" spans="1:2" x14ac:dyDescent="0.3">
      <c r="A824" s="10" t="s">
        <v>885</v>
      </c>
      <c r="B824">
        <v>100.22</v>
      </c>
    </row>
    <row r="825" spans="1:2" x14ac:dyDescent="0.3">
      <c r="A825" s="10" t="s">
        <v>886</v>
      </c>
      <c r="B825">
        <v>98.47</v>
      </c>
    </row>
    <row r="826" spans="1:2" x14ac:dyDescent="0.3">
      <c r="A826" s="10" t="s">
        <v>887</v>
      </c>
      <c r="B826">
        <v>93.6</v>
      </c>
    </row>
    <row r="827" spans="1:2" x14ac:dyDescent="0.3">
      <c r="A827" s="10" t="s">
        <v>888</v>
      </c>
      <c r="B827">
        <v>96.8</v>
      </c>
    </row>
    <row r="828" spans="1:2" x14ac:dyDescent="0.3">
      <c r="A828" s="10" t="s">
        <v>889</v>
      </c>
      <c r="B828">
        <v>99.74</v>
      </c>
    </row>
    <row r="829" spans="1:2" x14ac:dyDescent="0.3">
      <c r="A829" s="10" t="s">
        <v>890</v>
      </c>
      <c r="B829">
        <v>102.43</v>
      </c>
    </row>
    <row r="830" spans="1:2" x14ac:dyDescent="0.3">
      <c r="A830" s="10" t="s">
        <v>891</v>
      </c>
      <c r="B830">
        <v>103.94</v>
      </c>
    </row>
    <row r="831" spans="1:2" x14ac:dyDescent="0.3">
      <c r="A831" s="10" t="s">
        <v>892</v>
      </c>
      <c r="B831">
        <v>103.32</v>
      </c>
    </row>
    <row r="832" spans="1:2" x14ac:dyDescent="0.3">
      <c r="A832" s="10" t="s">
        <v>893</v>
      </c>
      <c r="B832">
        <v>107.51</v>
      </c>
    </row>
    <row r="833" spans="1:2" x14ac:dyDescent="0.3">
      <c r="A833" s="10" t="s">
        <v>894</v>
      </c>
      <c r="B833">
        <v>106.06</v>
      </c>
    </row>
    <row r="834" spans="1:2" x14ac:dyDescent="0.3">
      <c r="A834" s="10" t="s">
        <v>895</v>
      </c>
      <c r="B834">
        <v>104.75</v>
      </c>
    </row>
    <row r="835" spans="1:2" x14ac:dyDescent="0.3">
      <c r="A835" s="10" t="s">
        <v>896</v>
      </c>
      <c r="B835">
        <v>104.1</v>
      </c>
    </row>
    <row r="836" spans="1:2" x14ac:dyDescent="0.3">
      <c r="A836" s="10" t="s">
        <v>897</v>
      </c>
      <c r="B836">
        <v>109.18</v>
      </c>
    </row>
    <row r="837" spans="1:2" x14ac:dyDescent="0.3">
      <c r="A837" s="10" t="s">
        <v>898</v>
      </c>
      <c r="B837">
        <v>108.21</v>
      </c>
    </row>
    <row r="838" spans="1:2" x14ac:dyDescent="0.3">
      <c r="A838" s="10" t="s">
        <v>899</v>
      </c>
      <c r="B838">
        <v>109.68</v>
      </c>
    </row>
    <row r="839" spans="1:2" x14ac:dyDescent="0.3">
      <c r="A839" s="10" t="s">
        <v>900</v>
      </c>
      <c r="B839">
        <v>111.08</v>
      </c>
    </row>
    <row r="840" spans="1:2" x14ac:dyDescent="0.3">
      <c r="A840" s="10" t="s">
        <v>901</v>
      </c>
      <c r="B840">
        <v>108</v>
      </c>
    </row>
    <row r="841" spans="1:2" x14ac:dyDescent="0.3">
      <c r="A841" s="10" t="s">
        <v>902</v>
      </c>
      <c r="B841">
        <v>109.04</v>
      </c>
    </row>
    <row r="842" spans="1:2" x14ac:dyDescent="0.3">
      <c r="A842" s="10" t="s">
        <v>903</v>
      </c>
      <c r="B842">
        <v>108.56</v>
      </c>
    </row>
    <row r="843" spans="1:2" x14ac:dyDescent="0.3">
      <c r="A843" s="10" t="s">
        <v>904</v>
      </c>
      <c r="B843">
        <v>109.63</v>
      </c>
    </row>
    <row r="844" spans="1:2" x14ac:dyDescent="0.3">
      <c r="A844" s="10" t="s">
        <v>905</v>
      </c>
      <c r="B844">
        <v>115.67</v>
      </c>
    </row>
    <row r="845" spans="1:2" x14ac:dyDescent="0.3">
      <c r="A845" s="10" t="s">
        <v>906</v>
      </c>
      <c r="B845">
        <v>117.25</v>
      </c>
    </row>
    <row r="846" spans="1:2" x14ac:dyDescent="0.3">
      <c r="A846" s="10" t="s">
        <v>907</v>
      </c>
      <c r="B846">
        <v>110.84</v>
      </c>
    </row>
    <row r="847" spans="1:2" x14ac:dyDescent="0.3">
      <c r="A847" s="10" t="s">
        <v>908</v>
      </c>
      <c r="B847">
        <v>110.97</v>
      </c>
    </row>
    <row r="848" spans="1:2" x14ac:dyDescent="0.3">
      <c r="A848" s="10" t="s">
        <v>909</v>
      </c>
      <c r="B848">
        <v>109.96</v>
      </c>
    </row>
    <row r="849" spans="1:2" x14ac:dyDescent="0.3">
      <c r="A849" s="10" t="s">
        <v>910</v>
      </c>
      <c r="B849">
        <v>111.37</v>
      </c>
    </row>
    <row r="850" spans="1:2" x14ac:dyDescent="0.3">
      <c r="A850" s="10" t="s">
        <v>911</v>
      </c>
      <c r="B850">
        <v>109.4</v>
      </c>
    </row>
    <row r="851" spans="1:2" x14ac:dyDescent="0.3">
      <c r="A851" s="10" t="s">
        <v>912</v>
      </c>
      <c r="B851">
        <v>111.29</v>
      </c>
    </row>
    <row r="852" spans="1:2" x14ac:dyDescent="0.3">
      <c r="A852" s="10" t="s">
        <v>913</v>
      </c>
      <c r="B852">
        <v>105.96</v>
      </c>
    </row>
    <row r="853" spans="1:2" x14ac:dyDescent="0.3">
      <c r="A853" s="10" t="s">
        <v>914</v>
      </c>
      <c r="B853">
        <v>106.55</v>
      </c>
    </row>
    <row r="854" spans="1:2" x14ac:dyDescent="0.3">
      <c r="A854" s="10" t="s">
        <v>915</v>
      </c>
      <c r="B854">
        <v>108.26</v>
      </c>
    </row>
    <row r="855" spans="1:2" x14ac:dyDescent="0.3">
      <c r="A855" s="10" t="s">
        <v>916</v>
      </c>
      <c r="B855">
        <v>109.5</v>
      </c>
    </row>
    <row r="856" spans="1:2" x14ac:dyDescent="0.3">
      <c r="A856" s="10" t="s">
        <v>917</v>
      </c>
      <c r="B856">
        <v>107.22</v>
      </c>
    </row>
    <row r="857" spans="1:2" x14ac:dyDescent="0.3">
      <c r="A857" s="10" t="s">
        <v>918</v>
      </c>
      <c r="B857">
        <v>109.03</v>
      </c>
    </row>
    <row r="858" spans="1:2" x14ac:dyDescent="0.3">
      <c r="A858" s="10" t="s">
        <v>919</v>
      </c>
      <c r="B858">
        <v>107.91</v>
      </c>
    </row>
    <row r="859" spans="1:2" x14ac:dyDescent="0.3">
      <c r="A859" s="10" t="s">
        <v>920</v>
      </c>
      <c r="B859">
        <v>108.82</v>
      </c>
    </row>
    <row r="860" spans="1:2" x14ac:dyDescent="0.3">
      <c r="A860" s="10" t="s">
        <v>921</v>
      </c>
      <c r="B860">
        <v>107.43</v>
      </c>
    </row>
    <row r="861" spans="1:2" x14ac:dyDescent="0.3">
      <c r="A861" s="10" t="s">
        <v>922</v>
      </c>
      <c r="B861">
        <v>112.71</v>
      </c>
    </row>
    <row r="862" spans="1:2" x14ac:dyDescent="0.3">
      <c r="A862" s="10" t="s">
        <v>923</v>
      </c>
      <c r="B862">
        <v>111.14</v>
      </c>
    </row>
    <row r="863" spans="1:2" x14ac:dyDescent="0.3">
      <c r="A863" s="10" t="s">
        <v>924</v>
      </c>
      <c r="B863">
        <v>114.67</v>
      </c>
    </row>
    <row r="864" spans="1:2" x14ac:dyDescent="0.3">
      <c r="A864" s="10" t="s">
        <v>925</v>
      </c>
      <c r="B864">
        <v>112.5</v>
      </c>
    </row>
    <row r="865" spans="1:2" x14ac:dyDescent="0.3">
      <c r="A865" s="10" t="s">
        <v>926</v>
      </c>
      <c r="B865">
        <v>120.97</v>
      </c>
    </row>
    <row r="866" spans="1:2" x14ac:dyDescent="0.3">
      <c r="A866" s="10" t="s">
        <v>927</v>
      </c>
      <c r="B866">
        <v>117.05</v>
      </c>
    </row>
    <row r="867" spans="1:2" x14ac:dyDescent="0.3">
      <c r="A867" s="10" t="s">
        <v>928</v>
      </c>
      <c r="B867">
        <v>113.39</v>
      </c>
    </row>
    <row r="868" spans="1:2" x14ac:dyDescent="0.3">
      <c r="A868" s="10" t="s">
        <v>929</v>
      </c>
      <c r="B868">
        <v>114.98</v>
      </c>
    </row>
    <row r="869" spans="1:2" x14ac:dyDescent="0.3">
      <c r="A869" s="10" t="s">
        <v>930</v>
      </c>
      <c r="B869">
        <v>109.89</v>
      </c>
    </row>
    <row r="870" spans="1:2" x14ac:dyDescent="0.3">
      <c r="A870" s="10" t="s">
        <v>931</v>
      </c>
      <c r="B870">
        <v>110.98</v>
      </c>
    </row>
    <row r="871" spans="1:2" x14ac:dyDescent="0.3">
      <c r="A871" s="10" t="s">
        <v>932</v>
      </c>
      <c r="B871">
        <v>108.86</v>
      </c>
    </row>
    <row r="872" spans="1:2" x14ac:dyDescent="0.3">
      <c r="A872" s="10" t="s">
        <v>933</v>
      </c>
      <c r="B872">
        <v>107.53</v>
      </c>
    </row>
    <row r="873" spans="1:2" x14ac:dyDescent="0.3">
      <c r="A873" s="10" t="s">
        <v>934</v>
      </c>
      <c r="B873">
        <v>108.62</v>
      </c>
    </row>
    <row r="874" spans="1:2" x14ac:dyDescent="0.3">
      <c r="A874" s="10" t="s">
        <v>935</v>
      </c>
      <c r="B874">
        <v>107.47</v>
      </c>
    </row>
    <row r="875" spans="1:2" x14ac:dyDescent="0.3">
      <c r="A875" s="10" t="s">
        <v>936</v>
      </c>
      <c r="B875">
        <v>115.06</v>
      </c>
    </row>
    <row r="876" spans="1:2" x14ac:dyDescent="0.3">
      <c r="A876" s="10" t="s">
        <v>937</v>
      </c>
      <c r="B876">
        <v>115.3</v>
      </c>
    </row>
    <row r="877" spans="1:2" x14ac:dyDescent="0.3">
      <c r="A877" s="10" t="s">
        <v>938</v>
      </c>
      <c r="B877">
        <v>114.87</v>
      </c>
    </row>
    <row r="878" spans="1:2" x14ac:dyDescent="0.3">
      <c r="A878" s="10" t="s">
        <v>939</v>
      </c>
      <c r="B878">
        <v>117.36</v>
      </c>
    </row>
    <row r="879" spans="1:2" x14ac:dyDescent="0.3">
      <c r="A879" s="10" t="s">
        <v>940</v>
      </c>
      <c r="B879">
        <v>117.44</v>
      </c>
    </row>
    <row r="880" spans="1:2" x14ac:dyDescent="0.3">
      <c r="A880" s="10" t="s">
        <v>941</v>
      </c>
      <c r="B880">
        <v>114.75</v>
      </c>
    </row>
    <row r="881" spans="1:2" x14ac:dyDescent="0.3">
      <c r="A881" s="10" t="s">
        <v>942</v>
      </c>
      <c r="B881">
        <v>112.07</v>
      </c>
    </row>
    <row r="882" spans="1:2" x14ac:dyDescent="0.3">
      <c r="A882" s="10" t="s">
        <v>943</v>
      </c>
      <c r="B882">
        <v>114.03</v>
      </c>
    </row>
    <row r="883" spans="1:2" x14ac:dyDescent="0.3">
      <c r="A883" s="10" t="s">
        <v>944</v>
      </c>
      <c r="B883">
        <v>116.2</v>
      </c>
    </row>
    <row r="884" spans="1:2" x14ac:dyDescent="0.3">
      <c r="A884" s="10" t="s">
        <v>945</v>
      </c>
      <c r="B884">
        <v>113.98</v>
      </c>
    </row>
    <row r="885" spans="1:2" x14ac:dyDescent="0.3">
      <c r="A885" s="10" t="s">
        <v>946</v>
      </c>
      <c r="B885">
        <v>112.3</v>
      </c>
    </row>
    <row r="886" spans="1:2" x14ac:dyDescent="0.3">
      <c r="A886" s="10" t="s">
        <v>947</v>
      </c>
      <c r="B886">
        <v>108.68</v>
      </c>
    </row>
    <row r="887" spans="1:2" x14ac:dyDescent="0.3">
      <c r="A887" s="10" t="s">
        <v>948</v>
      </c>
      <c r="B887">
        <v>106.03</v>
      </c>
    </row>
    <row r="888" spans="1:2" x14ac:dyDescent="0.3">
      <c r="A888" s="10" t="s">
        <v>949</v>
      </c>
      <c r="B888">
        <v>105.9</v>
      </c>
    </row>
    <row r="889" spans="1:2" x14ac:dyDescent="0.3">
      <c r="A889" s="10" t="s">
        <v>950</v>
      </c>
      <c r="B889">
        <v>100.71</v>
      </c>
    </row>
    <row r="890" spans="1:2" x14ac:dyDescent="0.3">
      <c r="A890" s="10" t="s">
        <v>951</v>
      </c>
      <c r="B890">
        <v>101.82</v>
      </c>
    </row>
    <row r="891" spans="1:2" x14ac:dyDescent="0.3">
      <c r="A891" s="10" t="s">
        <v>952</v>
      </c>
      <c r="B891">
        <v>99.15</v>
      </c>
    </row>
    <row r="892" spans="1:2" x14ac:dyDescent="0.3">
      <c r="A892" s="10" t="s">
        <v>953</v>
      </c>
      <c r="B892">
        <v>103.88</v>
      </c>
    </row>
    <row r="893" spans="1:2" x14ac:dyDescent="0.3">
      <c r="A893" s="10" t="s">
        <v>954</v>
      </c>
      <c r="B893">
        <v>98.34</v>
      </c>
    </row>
    <row r="894" spans="1:2" x14ac:dyDescent="0.3">
      <c r="A894" s="10" t="s">
        <v>955</v>
      </c>
      <c r="B894">
        <v>104.51</v>
      </c>
    </row>
    <row r="895" spans="1:2" x14ac:dyDescent="0.3">
      <c r="A895" s="10" t="s">
        <v>956</v>
      </c>
      <c r="B895">
        <v>105.29</v>
      </c>
    </row>
    <row r="896" spans="1:2" x14ac:dyDescent="0.3">
      <c r="A896" s="10" t="s">
        <v>957</v>
      </c>
      <c r="B896">
        <v>108.49</v>
      </c>
    </row>
    <row r="897" spans="1:2" x14ac:dyDescent="0.3">
      <c r="A897" s="10" t="s">
        <v>958</v>
      </c>
      <c r="B897">
        <v>109.01</v>
      </c>
    </row>
    <row r="898" spans="1:2" x14ac:dyDescent="0.3">
      <c r="A898" s="10" t="s">
        <v>959</v>
      </c>
      <c r="B898">
        <v>114.4</v>
      </c>
    </row>
    <row r="899" spans="1:2" x14ac:dyDescent="0.3">
      <c r="A899" s="10" t="s">
        <v>960</v>
      </c>
      <c r="B899">
        <v>116.86</v>
      </c>
    </row>
    <row r="900" spans="1:2" x14ac:dyDescent="0.3">
      <c r="A900" s="10" t="s">
        <v>961</v>
      </c>
      <c r="B900">
        <v>115.04</v>
      </c>
    </row>
    <row r="901" spans="1:2" x14ac:dyDescent="0.3">
      <c r="A901" s="10" t="s">
        <v>962</v>
      </c>
      <c r="B901">
        <v>109.64</v>
      </c>
    </row>
    <row r="902" spans="1:2" x14ac:dyDescent="0.3">
      <c r="A902" s="10" t="s">
        <v>963</v>
      </c>
      <c r="B902">
        <v>106.57</v>
      </c>
    </row>
    <row r="903" spans="1:2" x14ac:dyDescent="0.3">
      <c r="A903" s="10" t="s">
        <v>964</v>
      </c>
      <c r="B903">
        <v>111.13</v>
      </c>
    </row>
    <row r="904" spans="1:2" x14ac:dyDescent="0.3">
      <c r="A904" s="10" t="s">
        <v>965</v>
      </c>
      <c r="B904">
        <v>107.49</v>
      </c>
    </row>
    <row r="905" spans="1:2" x14ac:dyDescent="0.3">
      <c r="A905" s="10" t="s">
        <v>966</v>
      </c>
      <c r="B905">
        <v>109.34</v>
      </c>
    </row>
    <row r="906" spans="1:2" x14ac:dyDescent="0.3">
      <c r="A906" s="10" t="s">
        <v>967</v>
      </c>
      <c r="B906">
        <v>115.06</v>
      </c>
    </row>
    <row r="907" spans="1:2" x14ac:dyDescent="0.3">
      <c r="A907" s="10" t="s">
        <v>968</v>
      </c>
      <c r="B907">
        <v>119.31</v>
      </c>
    </row>
    <row r="908" spans="1:2" x14ac:dyDescent="0.3">
      <c r="A908" s="10" t="s">
        <v>969</v>
      </c>
      <c r="B908">
        <v>115.13</v>
      </c>
    </row>
    <row r="909" spans="1:2" x14ac:dyDescent="0.3">
      <c r="A909" s="10" t="s">
        <v>970</v>
      </c>
      <c r="B909">
        <v>115.39</v>
      </c>
    </row>
    <row r="910" spans="1:2" x14ac:dyDescent="0.3">
      <c r="A910" s="10" t="s">
        <v>971</v>
      </c>
      <c r="B910">
        <v>114.85</v>
      </c>
    </row>
    <row r="911" spans="1:2" x14ac:dyDescent="0.3">
      <c r="A911" s="10" t="s">
        <v>972</v>
      </c>
      <c r="B911">
        <v>117.1</v>
      </c>
    </row>
    <row r="912" spans="1:2" x14ac:dyDescent="0.3">
      <c r="A912" s="10" t="s">
        <v>973</v>
      </c>
      <c r="B912">
        <v>112.94</v>
      </c>
    </row>
    <row r="913" spans="1:2" x14ac:dyDescent="0.3">
      <c r="A913" s="10" t="s">
        <v>974</v>
      </c>
      <c r="B913">
        <v>111.81</v>
      </c>
    </row>
    <row r="914" spans="1:2" x14ac:dyDescent="0.3">
      <c r="A914" s="10" t="s">
        <v>975</v>
      </c>
      <c r="B914">
        <v>114.94</v>
      </c>
    </row>
    <row r="915" spans="1:2" x14ac:dyDescent="0.3">
      <c r="A915" s="10" t="s">
        <v>976</v>
      </c>
      <c r="B915">
        <v>112.01</v>
      </c>
    </row>
    <row r="916" spans="1:2" x14ac:dyDescent="0.3">
      <c r="A916" s="10" t="s">
        <v>977</v>
      </c>
      <c r="B916">
        <v>111.5</v>
      </c>
    </row>
    <row r="917" spans="1:2" x14ac:dyDescent="0.3">
      <c r="A917" s="10" t="s">
        <v>978</v>
      </c>
      <c r="B917">
        <v>107.16</v>
      </c>
    </row>
    <row r="918" spans="1:2" x14ac:dyDescent="0.3">
      <c r="A918" s="10" t="s">
        <v>979</v>
      </c>
      <c r="B918">
        <v>105.05</v>
      </c>
    </row>
    <row r="919" spans="1:2" x14ac:dyDescent="0.3">
      <c r="A919" s="10" t="s">
        <v>980</v>
      </c>
      <c r="B919">
        <v>99.75</v>
      </c>
    </row>
    <row r="920" spans="1:2" x14ac:dyDescent="0.3">
      <c r="A920" s="10" t="s">
        <v>981</v>
      </c>
      <c r="B920">
        <v>98.49</v>
      </c>
    </row>
    <row r="921" spans="1:2" x14ac:dyDescent="0.3">
      <c r="A921" s="10" t="s">
        <v>982</v>
      </c>
      <c r="B921">
        <v>102.46</v>
      </c>
    </row>
    <row r="922" spans="1:2" x14ac:dyDescent="0.3">
      <c r="A922" s="10" t="s">
        <v>983</v>
      </c>
      <c r="B922">
        <v>99.95</v>
      </c>
    </row>
    <row r="923" spans="1:2" x14ac:dyDescent="0.3">
      <c r="A923" s="10" t="s">
        <v>984</v>
      </c>
      <c r="B923">
        <v>100</v>
      </c>
    </row>
    <row r="924" spans="1:2" x14ac:dyDescent="0.3">
      <c r="A924" s="10" t="s">
        <v>985</v>
      </c>
      <c r="B924">
        <v>102.59</v>
      </c>
    </row>
    <row r="925" spans="1:2" x14ac:dyDescent="0.3">
      <c r="A925" s="10" t="s">
        <v>986</v>
      </c>
      <c r="B925">
        <v>103.39</v>
      </c>
    </row>
    <row r="926" spans="1:2" x14ac:dyDescent="0.3">
      <c r="A926" s="10" t="s">
        <v>987</v>
      </c>
      <c r="B926">
        <v>104.56</v>
      </c>
    </row>
    <row r="927" spans="1:2" x14ac:dyDescent="0.3">
      <c r="A927" s="10" t="s">
        <v>988</v>
      </c>
      <c r="B927">
        <v>99.9</v>
      </c>
    </row>
    <row r="928" spans="1:2" x14ac:dyDescent="0.3">
      <c r="A928" s="10" t="s">
        <v>989</v>
      </c>
      <c r="B928">
        <v>98.08</v>
      </c>
    </row>
    <row r="929" spans="1:2" x14ac:dyDescent="0.3">
      <c r="A929" s="10" t="s">
        <v>990</v>
      </c>
      <c r="B929">
        <v>97.82</v>
      </c>
    </row>
    <row r="930" spans="1:2" x14ac:dyDescent="0.3">
      <c r="A930" s="10" t="s">
        <v>991</v>
      </c>
      <c r="B930">
        <v>98.18</v>
      </c>
    </row>
    <row r="931" spans="1:2" x14ac:dyDescent="0.3">
      <c r="A931" s="10" t="s">
        <v>992</v>
      </c>
      <c r="B931">
        <v>97.8</v>
      </c>
    </row>
    <row r="932" spans="1:2" x14ac:dyDescent="0.3">
      <c r="A932" s="10" t="s">
        <v>993</v>
      </c>
      <c r="B932">
        <v>96</v>
      </c>
    </row>
    <row r="933" spans="1:2" x14ac:dyDescent="0.3">
      <c r="A933" s="10" t="s">
        <v>994</v>
      </c>
      <c r="B933">
        <v>93.54</v>
      </c>
    </row>
    <row r="934" spans="1:2" x14ac:dyDescent="0.3">
      <c r="A934" s="10" t="s">
        <v>995</v>
      </c>
      <c r="B934">
        <v>90.63</v>
      </c>
    </row>
    <row r="935" spans="1:2" x14ac:dyDescent="0.3">
      <c r="A935" s="10" t="s">
        <v>996</v>
      </c>
      <c r="B935">
        <v>88.53</v>
      </c>
    </row>
    <row r="936" spans="1:2" x14ac:dyDescent="0.3">
      <c r="A936" s="10" t="s">
        <v>997</v>
      </c>
      <c r="B936">
        <v>87.6</v>
      </c>
    </row>
    <row r="937" spans="1:2" x14ac:dyDescent="0.3">
      <c r="A937" s="10" t="s">
        <v>998</v>
      </c>
      <c r="B937">
        <v>87.4</v>
      </c>
    </row>
    <row r="938" spans="1:2" x14ac:dyDescent="0.3">
      <c r="A938" s="10" t="s">
        <v>999</v>
      </c>
      <c r="B938">
        <v>87.13</v>
      </c>
    </row>
    <row r="939" spans="1:2" x14ac:dyDescent="0.3">
      <c r="A939" s="10" t="s">
        <v>1000</v>
      </c>
      <c r="B939">
        <v>83.1</v>
      </c>
    </row>
    <row r="940" spans="1:2" x14ac:dyDescent="0.3">
      <c r="A940" s="10" t="s">
        <v>1001</v>
      </c>
      <c r="B940">
        <v>80.19</v>
      </c>
    </row>
    <row r="941" spans="1:2" x14ac:dyDescent="0.3">
      <c r="A941" s="10" t="s">
        <v>1002</v>
      </c>
      <c r="B941">
        <v>79.760000000000005</v>
      </c>
    </row>
    <row r="942" spans="1:2" x14ac:dyDescent="0.3">
      <c r="A942" s="10" t="s">
        <v>1003</v>
      </c>
      <c r="B942">
        <v>80.510000000000005</v>
      </c>
    </row>
    <row r="943" spans="1:2" x14ac:dyDescent="0.3">
      <c r="A943" s="10" t="s">
        <v>1004</v>
      </c>
      <c r="B943">
        <v>81.680000000000007</v>
      </c>
    </row>
    <row r="944" spans="1:2" x14ac:dyDescent="0.3">
      <c r="A944" s="10" t="s">
        <v>1005</v>
      </c>
      <c r="B944">
        <v>84.77</v>
      </c>
    </row>
    <row r="945" spans="1:2" x14ac:dyDescent="0.3">
      <c r="A945" s="10" t="s">
        <v>1006</v>
      </c>
      <c r="B945">
        <v>84.65</v>
      </c>
    </row>
    <row r="946" spans="1:2" x14ac:dyDescent="0.3">
      <c r="A946" s="10" t="s">
        <v>1007</v>
      </c>
      <c r="B946">
        <v>84.6</v>
      </c>
    </row>
    <row r="947" spans="1:2" x14ac:dyDescent="0.3">
      <c r="A947" s="10" t="s">
        <v>1008</v>
      </c>
      <c r="B947">
        <v>84.09</v>
      </c>
    </row>
    <row r="948" spans="1:2" x14ac:dyDescent="0.3">
      <c r="A948" s="10" t="s">
        <v>1009</v>
      </c>
      <c r="B948">
        <v>85.1</v>
      </c>
    </row>
    <row r="949" spans="1:2" x14ac:dyDescent="0.3">
      <c r="A949" s="10" t="s">
        <v>1010</v>
      </c>
      <c r="B949">
        <v>83.04</v>
      </c>
    </row>
    <row r="950" spans="1:2" x14ac:dyDescent="0.3">
      <c r="A950" s="10" t="s">
        <v>1011</v>
      </c>
      <c r="B950">
        <v>83.96</v>
      </c>
    </row>
    <row r="951" spans="1:2" x14ac:dyDescent="0.3">
      <c r="A951" s="10" t="s">
        <v>1012</v>
      </c>
      <c r="B951">
        <v>82.24</v>
      </c>
    </row>
    <row r="952" spans="1:2" x14ac:dyDescent="0.3">
      <c r="A952" s="10" t="s">
        <v>1013</v>
      </c>
      <c r="B952">
        <v>80.099999999999994</v>
      </c>
    </row>
    <row r="953" spans="1:2" x14ac:dyDescent="0.3">
      <c r="A953" s="10" t="s">
        <v>1014</v>
      </c>
      <c r="B953">
        <v>87.32</v>
      </c>
    </row>
    <row r="954" spans="1:2" x14ac:dyDescent="0.3">
      <c r="A954" s="10" t="s">
        <v>1015</v>
      </c>
      <c r="B954">
        <v>86.44</v>
      </c>
    </row>
    <row r="955" spans="1:2" x14ac:dyDescent="0.3">
      <c r="A955" s="10" t="s">
        <v>1016</v>
      </c>
      <c r="B955">
        <v>90.69</v>
      </c>
    </row>
    <row r="956" spans="1:2" x14ac:dyDescent="0.3">
      <c r="A956" s="10" t="s">
        <v>1017</v>
      </c>
      <c r="B956">
        <v>89.88</v>
      </c>
    </row>
    <row r="957" spans="1:2" x14ac:dyDescent="0.3">
      <c r="A957" s="10" t="s">
        <v>1018</v>
      </c>
      <c r="B957">
        <v>88.31</v>
      </c>
    </row>
    <row r="958" spans="1:2" x14ac:dyDescent="0.3">
      <c r="A958" s="10" t="s">
        <v>1019</v>
      </c>
      <c r="B958">
        <v>84.61</v>
      </c>
    </row>
    <row r="959" spans="1:2" x14ac:dyDescent="0.3">
      <c r="A959" s="10" t="s">
        <v>1020</v>
      </c>
      <c r="B959">
        <v>86.7</v>
      </c>
    </row>
    <row r="960" spans="1:2" x14ac:dyDescent="0.3">
      <c r="A960" s="10" t="s">
        <v>1021</v>
      </c>
      <c r="B960">
        <v>84.95</v>
      </c>
    </row>
    <row r="961" spans="1:2" x14ac:dyDescent="0.3">
      <c r="A961" s="10" t="s">
        <v>1022</v>
      </c>
      <c r="B961">
        <v>85.61</v>
      </c>
    </row>
    <row r="962" spans="1:2" x14ac:dyDescent="0.3">
      <c r="A962" s="10" t="s">
        <v>1023</v>
      </c>
      <c r="B962">
        <v>83.95</v>
      </c>
    </row>
    <row r="963" spans="1:2" x14ac:dyDescent="0.3">
      <c r="A963" s="10" t="s">
        <v>1024</v>
      </c>
      <c r="B963">
        <v>91.02</v>
      </c>
    </row>
    <row r="964" spans="1:2" x14ac:dyDescent="0.3">
      <c r="A964" s="10" t="s">
        <v>1025</v>
      </c>
      <c r="B964">
        <v>92.35</v>
      </c>
    </row>
    <row r="965" spans="1:2" x14ac:dyDescent="0.3">
      <c r="A965" s="10" t="s">
        <v>1026</v>
      </c>
      <c r="B965">
        <v>93.89</v>
      </c>
    </row>
    <row r="966" spans="1:2" x14ac:dyDescent="0.3">
      <c r="A966" s="10" t="s">
        <v>1027</v>
      </c>
      <c r="B966">
        <v>96.13</v>
      </c>
    </row>
    <row r="967" spans="1:2" x14ac:dyDescent="0.3">
      <c r="A967" s="10" t="s">
        <v>1028</v>
      </c>
      <c r="B967">
        <v>99.73</v>
      </c>
    </row>
    <row r="968" spans="1:2" x14ac:dyDescent="0.3">
      <c r="A968" s="10" t="s">
        <v>1029</v>
      </c>
      <c r="B968">
        <v>99.6</v>
      </c>
    </row>
    <row r="969" spans="1:2" x14ac:dyDescent="0.3">
      <c r="A969" s="10" t="s">
        <v>1030</v>
      </c>
      <c r="B969">
        <v>98.44</v>
      </c>
    </row>
    <row r="970" spans="1:2" x14ac:dyDescent="0.3">
      <c r="A970" s="10" t="s">
        <v>1031</v>
      </c>
      <c r="B970">
        <v>97.35</v>
      </c>
    </row>
    <row r="971" spans="1:2" x14ac:dyDescent="0.3">
      <c r="A971" s="10" t="s">
        <v>1032</v>
      </c>
      <c r="B971">
        <v>98.01</v>
      </c>
    </row>
    <row r="972" spans="1:2" x14ac:dyDescent="0.3">
      <c r="A972" s="10" t="s">
        <v>1033</v>
      </c>
      <c r="B972">
        <v>96.36</v>
      </c>
    </row>
    <row r="973" spans="1:2" x14ac:dyDescent="0.3">
      <c r="A973" s="10" t="s">
        <v>1034</v>
      </c>
      <c r="B973">
        <v>94.43</v>
      </c>
    </row>
    <row r="974" spans="1:2" x14ac:dyDescent="0.3">
      <c r="A974" s="10" t="s">
        <v>1035</v>
      </c>
      <c r="B974">
        <v>90.34</v>
      </c>
    </row>
    <row r="975" spans="1:2" x14ac:dyDescent="0.3">
      <c r="A975" s="10" t="s">
        <v>1036</v>
      </c>
      <c r="B975">
        <v>93.32</v>
      </c>
    </row>
    <row r="976" spans="1:2" x14ac:dyDescent="0.3">
      <c r="A976" s="10" t="s">
        <v>1037</v>
      </c>
      <c r="B976">
        <v>94.91</v>
      </c>
    </row>
    <row r="977" spans="1:2" x14ac:dyDescent="0.3">
      <c r="A977" s="10" t="s">
        <v>1038</v>
      </c>
      <c r="B977">
        <v>98.49</v>
      </c>
    </row>
    <row r="978" spans="1:2" x14ac:dyDescent="0.3">
      <c r="A978" s="10" t="s">
        <v>1039</v>
      </c>
      <c r="B978">
        <v>98.76</v>
      </c>
    </row>
    <row r="979" spans="1:2" x14ac:dyDescent="0.3">
      <c r="A979" s="10" t="s">
        <v>1040</v>
      </c>
      <c r="B979">
        <v>100.01</v>
      </c>
    </row>
    <row r="980" spans="1:2" x14ac:dyDescent="0.3">
      <c r="A980" s="10" t="s">
        <v>1041</v>
      </c>
      <c r="B980">
        <v>98.85</v>
      </c>
    </row>
    <row r="981" spans="1:2" x14ac:dyDescent="0.3">
      <c r="A981" s="10" t="s">
        <v>1042</v>
      </c>
      <c r="B981">
        <v>96.7</v>
      </c>
    </row>
    <row r="982" spans="1:2" x14ac:dyDescent="0.3">
      <c r="A982" s="10" t="s">
        <v>1043</v>
      </c>
      <c r="B982">
        <v>95.71</v>
      </c>
    </row>
    <row r="983" spans="1:2" x14ac:dyDescent="0.3">
      <c r="A983" s="10" t="s">
        <v>1044</v>
      </c>
      <c r="B983">
        <v>94.05</v>
      </c>
    </row>
    <row r="984" spans="1:2" x14ac:dyDescent="0.3">
      <c r="A984" s="10" t="s">
        <v>1045</v>
      </c>
      <c r="B984">
        <v>95.37</v>
      </c>
    </row>
    <row r="985" spans="1:2" x14ac:dyDescent="0.3">
      <c r="A985" s="10" t="s">
        <v>1046</v>
      </c>
      <c r="B985">
        <v>91.94</v>
      </c>
    </row>
    <row r="986" spans="1:2" x14ac:dyDescent="0.3">
      <c r="A986" s="10" t="s">
        <v>1047</v>
      </c>
      <c r="B986">
        <v>91.12</v>
      </c>
    </row>
    <row r="987" spans="1:2" x14ac:dyDescent="0.3">
      <c r="A987" s="10" t="s">
        <v>1048</v>
      </c>
      <c r="B987">
        <v>87.78</v>
      </c>
    </row>
    <row r="988" spans="1:2" x14ac:dyDescent="0.3">
      <c r="A988" s="10" t="s">
        <v>1049</v>
      </c>
      <c r="B988">
        <v>86.2</v>
      </c>
    </row>
    <row r="989" spans="1:2" x14ac:dyDescent="0.3">
      <c r="A989" s="10" t="s">
        <v>1050</v>
      </c>
      <c r="B989">
        <v>85.94</v>
      </c>
    </row>
    <row r="990" spans="1:2" x14ac:dyDescent="0.3">
      <c r="A990" s="10" t="s">
        <v>1051</v>
      </c>
      <c r="B990">
        <v>86.26</v>
      </c>
    </row>
    <row r="991" spans="1:2" x14ac:dyDescent="0.3">
      <c r="A991" s="10" t="s">
        <v>1052</v>
      </c>
      <c r="B991">
        <v>84.59</v>
      </c>
    </row>
    <row r="992" spans="1:2" x14ac:dyDescent="0.3">
      <c r="A992" s="10" t="s">
        <v>1053</v>
      </c>
      <c r="B992">
        <v>88.11</v>
      </c>
    </row>
    <row r="993" spans="1:2" x14ac:dyDescent="0.3">
      <c r="A993" s="10" t="s">
        <v>1054</v>
      </c>
      <c r="B993">
        <v>85.66</v>
      </c>
    </row>
    <row r="994" spans="1:2" x14ac:dyDescent="0.3">
      <c r="A994" s="10" t="s">
        <v>1055</v>
      </c>
      <c r="B994">
        <v>83.01</v>
      </c>
    </row>
    <row r="995" spans="1:2" x14ac:dyDescent="0.3">
      <c r="A995" s="10" t="s">
        <v>1056</v>
      </c>
      <c r="B995">
        <v>81.33</v>
      </c>
    </row>
    <row r="996" spans="1:2" x14ac:dyDescent="0.3">
      <c r="A996" s="10" t="s">
        <v>1057</v>
      </c>
      <c r="B996">
        <v>79.3</v>
      </c>
    </row>
    <row r="997" spans="1:2" x14ac:dyDescent="0.3">
      <c r="A997" s="10" t="s">
        <v>1058</v>
      </c>
      <c r="B997">
        <v>76.430000000000007</v>
      </c>
    </row>
    <row r="998" spans="1:2" x14ac:dyDescent="0.3">
      <c r="A998" s="10" t="s">
        <v>1059</v>
      </c>
      <c r="B998">
        <v>78.14</v>
      </c>
    </row>
    <row r="999" spans="1:2" x14ac:dyDescent="0.3">
      <c r="A999" s="10" t="s">
        <v>1060</v>
      </c>
      <c r="B999">
        <v>81.88</v>
      </c>
    </row>
    <row r="1000" spans="1:2" x14ac:dyDescent="0.3">
      <c r="A1000" s="10" t="s">
        <v>1061</v>
      </c>
      <c r="B1000">
        <v>80.569999999999993</v>
      </c>
    </row>
    <row r="1001" spans="1:2" x14ac:dyDescent="0.3">
      <c r="A1001" s="10" t="s">
        <v>1062</v>
      </c>
      <c r="B1001">
        <v>80.8</v>
      </c>
    </row>
    <row r="1002" spans="1:2" x14ac:dyDescent="0.3">
      <c r="A1002" s="10" t="s">
        <v>1063</v>
      </c>
      <c r="B1002">
        <v>79.94</v>
      </c>
    </row>
    <row r="1003" spans="1:2" x14ac:dyDescent="0.3">
      <c r="A1003" s="10" t="s">
        <v>1064</v>
      </c>
      <c r="B1003">
        <v>80.5</v>
      </c>
    </row>
    <row r="1004" spans="1:2" x14ac:dyDescent="0.3">
      <c r="A1004" s="10" t="s">
        <v>1065</v>
      </c>
      <c r="B1004">
        <v>79.83</v>
      </c>
    </row>
    <row r="1005" spans="1:2" x14ac:dyDescent="0.3">
      <c r="A1005" s="10" t="s">
        <v>1066</v>
      </c>
      <c r="B1005">
        <v>78.23</v>
      </c>
    </row>
    <row r="1006" spans="1:2" x14ac:dyDescent="0.3">
      <c r="A1006" s="10" t="s">
        <v>1067</v>
      </c>
      <c r="B1006">
        <v>76.94</v>
      </c>
    </row>
    <row r="1007" spans="1:2" x14ac:dyDescent="0.3">
      <c r="A1007" s="10" t="s">
        <v>1068</v>
      </c>
      <c r="B1007">
        <v>74.22</v>
      </c>
    </row>
    <row r="1008" spans="1:2" x14ac:dyDescent="0.3">
      <c r="A1008" s="10" t="s">
        <v>1069</v>
      </c>
      <c r="B1008">
        <v>73.58</v>
      </c>
    </row>
    <row r="1009" spans="1:2" x14ac:dyDescent="0.3">
      <c r="A1009" s="10" t="s">
        <v>1070</v>
      </c>
      <c r="B1009">
        <v>70.64</v>
      </c>
    </row>
    <row r="1010" spans="1:2" x14ac:dyDescent="0.3">
      <c r="A1010" s="10" t="s">
        <v>1071</v>
      </c>
      <c r="B1010">
        <v>71</v>
      </c>
    </row>
    <row r="1011" spans="1:2" x14ac:dyDescent="0.3">
      <c r="A1011" s="10" t="s">
        <v>1072</v>
      </c>
      <c r="B1011">
        <v>71.62</v>
      </c>
    </row>
    <row r="1012" spans="1:2" x14ac:dyDescent="0.3">
      <c r="A1012" s="10" t="s">
        <v>1073</v>
      </c>
      <c r="B1012">
        <v>71.91</v>
      </c>
    </row>
    <row r="1013" spans="1:2" x14ac:dyDescent="0.3">
      <c r="A1013" s="10" t="s">
        <v>1074</v>
      </c>
      <c r="B1013">
        <v>74.150000000000006</v>
      </c>
    </row>
    <row r="1014" spans="1:2" x14ac:dyDescent="0.3">
      <c r="A1014" s="10" t="s">
        <v>1075</v>
      </c>
      <c r="B1014">
        <v>74.5</v>
      </c>
    </row>
    <row r="1015" spans="1:2" x14ac:dyDescent="0.3">
      <c r="A1015" s="10" t="s">
        <v>1076</v>
      </c>
      <c r="B1015">
        <v>73.819999999999993</v>
      </c>
    </row>
    <row r="1016" spans="1:2" x14ac:dyDescent="0.3">
      <c r="A1016" s="10" t="s">
        <v>1077</v>
      </c>
      <c r="B1016">
        <v>76.069999999999993</v>
      </c>
    </row>
    <row r="1017" spans="1:2" x14ac:dyDescent="0.3">
      <c r="A1017" s="10" t="s">
        <v>1078</v>
      </c>
      <c r="B1017">
        <v>72.790000000000006</v>
      </c>
    </row>
    <row r="1018" spans="1:2" x14ac:dyDescent="0.3">
      <c r="A1018" s="10" t="s">
        <v>1079</v>
      </c>
      <c r="B1018">
        <v>71.28</v>
      </c>
    </row>
    <row r="1019" spans="1:2" x14ac:dyDescent="0.3">
      <c r="A1019" s="10" t="s">
        <v>1080</v>
      </c>
      <c r="B1019">
        <v>67.84</v>
      </c>
    </row>
    <row r="1020" spans="1:2" x14ac:dyDescent="0.3">
      <c r="A1020" s="10" t="s">
        <v>1081</v>
      </c>
      <c r="B1020">
        <v>69.5</v>
      </c>
    </row>
    <row r="1021" spans="1:2" x14ac:dyDescent="0.3">
      <c r="A1021" s="10" t="s">
        <v>1082</v>
      </c>
      <c r="B1021">
        <v>68.680000000000007</v>
      </c>
    </row>
    <row r="1022" spans="1:2" x14ac:dyDescent="0.3">
      <c r="A1022" s="10" t="s">
        <v>1083</v>
      </c>
      <c r="B1022">
        <v>69.010000000000005</v>
      </c>
    </row>
    <row r="1023" spans="1:2" x14ac:dyDescent="0.3">
      <c r="A1023" s="10" t="s">
        <v>1084</v>
      </c>
      <c r="B1023">
        <v>68.91</v>
      </c>
    </row>
    <row r="1024" spans="1:2" x14ac:dyDescent="0.3">
      <c r="A1024" s="10" t="s">
        <v>1085</v>
      </c>
      <c r="B1024">
        <v>66.13</v>
      </c>
    </row>
    <row r="1025" spans="1:2" x14ac:dyDescent="0.3">
      <c r="A1025" s="10" t="s">
        <v>1086</v>
      </c>
      <c r="B1025">
        <v>67.28</v>
      </c>
    </row>
    <row r="1026" spans="1:2" x14ac:dyDescent="0.3">
      <c r="A1026" s="10" t="s">
        <v>1087</v>
      </c>
      <c r="B1026">
        <v>69.63</v>
      </c>
    </row>
    <row r="1027" spans="1:2" x14ac:dyDescent="0.3">
      <c r="A1027" s="10" t="s">
        <v>1088</v>
      </c>
      <c r="B1027">
        <v>69.94</v>
      </c>
    </row>
    <row r="1028" spans="1:2" x14ac:dyDescent="0.3">
      <c r="A1028" s="10" t="s">
        <v>1089</v>
      </c>
      <c r="B1028">
        <v>65.040000000000006</v>
      </c>
    </row>
    <row r="1029" spans="1:2" x14ac:dyDescent="0.3">
      <c r="A1029" s="10" t="s">
        <v>1090</v>
      </c>
      <c r="B1029">
        <v>67.89</v>
      </c>
    </row>
    <row r="1030" spans="1:2" x14ac:dyDescent="0.3">
      <c r="A1030" s="10" t="s">
        <v>1091</v>
      </c>
      <c r="B1030">
        <v>68.86</v>
      </c>
    </row>
    <row r="1031" spans="1:2" x14ac:dyDescent="0.3">
      <c r="A1031" s="10" t="s">
        <v>1092</v>
      </c>
      <c r="B1031">
        <v>69.430000000000007</v>
      </c>
    </row>
    <row r="1032" spans="1:2" x14ac:dyDescent="0.3">
      <c r="A1032" s="10" t="s">
        <v>1093</v>
      </c>
      <c r="B1032">
        <v>73.75</v>
      </c>
    </row>
    <row r="1033" spans="1:2" x14ac:dyDescent="0.3">
      <c r="A1033" s="10" t="s">
        <v>1094</v>
      </c>
      <c r="B1033">
        <v>72.53</v>
      </c>
    </row>
    <row r="1034" spans="1:2" x14ac:dyDescent="0.3">
      <c r="A1034" s="10" t="s">
        <v>1095</v>
      </c>
      <c r="B1034">
        <v>72.7</v>
      </c>
    </row>
    <row r="1035" spans="1:2" x14ac:dyDescent="0.3">
      <c r="A1035" s="10" t="s">
        <v>1096</v>
      </c>
      <c r="B1035">
        <v>70.48</v>
      </c>
    </row>
    <row r="1036" spans="1:2" x14ac:dyDescent="0.3">
      <c r="A1036" s="10" t="s">
        <v>1097</v>
      </c>
      <c r="B1036">
        <v>76.900000000000006</v>
      </c>
    </row>
    <row r="1037" spans="1:2" x14ac:dyDescent="0.3">
      <c r="A1037" s="10" t="s">
        <v>1098</v>
      </c>
      <c r="B1037">
        <v>76.900000000000006</v>
      </c>
    </row>
    <row r="1038" spans="1:2" x14ac:dyDescent="0.3">
      <c r="A1038" s="10" t="s">
        <v>1099</v>
      </c>
      <c r="B1038">
        <v>75.760000000000005</v>
      </c>
    </row>
    <row r="1039" spans="1:2" x14ac:dyDescent="0.3">
      <c r="A1039" s="10" t="s">
        <v>1100</v>
      </c>
      <c r="B1039">
        <v>72.56</v>
      </c>
    </row>
    <row r="1040" spans="1:2" x14ac:dyDescent="0.3">
      <c r="A1040" s="10" t="s">
        <v>1101</v>
      </c>
      <c r="B1040">
        <v>72.95</v>
      </c>
    </row>
    <row r="1041" spans="1:2" x14ac:dyDescent="0.3">
      <c r="A1041" s="10" t="s">
        <v>1102</v>
      </c>
      <c r="B1041">
        <v>68.56</v>
      </c>
    </row>
    <row r="1042" spans="1:2" x14ac:dyDescent="0.3">
      <c r="A1042" s="10" t="s">
        <v>1103</v>
      </c>
      <c r="B1042">
        <v>66.91</v>
      </c>
    </row>
    <row r="1043" spans="1:2" x14ac:dyDescent="0.3">
      <c r="A1043" s="10" t="s">
        <v>1104</v>
      </c>
      <c r="B1043">
        <v>63.79</v>
      </c>
    </row>
    <row r="1044" spans="1:2" x14ac:dyDescent="0.3">
      <c r="A1044" s="10" t="s">
        <v>1105</v>
      </c>
      <c r="B1044">
        <v>66.25</v>
      </c>
    </row>
    <row r="1045" spans="1:2" x14ac:dyDescent="0.3">
      <c r="A1045" s="10" t="s">
        <v>1106</v>
      </c>
      <c r="B1045">
        <v>65.239999999999995</v>
      </c>
    </row>
    <row r="1046" spans="1:2" x14ac:dyDescent="0.3">
      <c r="A1046" s="10" t="s">
        <v>1107</v>
      </c>
      <c r="B1046">
        <v>66.680000000000007</v>
      </c>
    </row>
    <row r="1047" spans="1:2" x14ac:dyDescent="0.3">
      <c r="A1047" s="10" t="s">
        <v>1108</v>
      </c>
      <c r="B1047">
        <v>67.099999999999994</v>
      </c>
    </row>
    <row r="1048" spans="1:2" x14ac:dyDescent="0.3">
      <c r="A1048" s="10" t="s">
        <v>1109</v>
      </c>
      <c r="B1048">
        <v>67.09</v>
      </c>
    </row>
    <row r="1049" spans="1:2" x14ac:dyDescent="0.3">
      <c r="A1049" s="10" t="s">
        <v>1110</v>
      </c>
      <c r="B1049">
        <v>67.36</v>
      </c>
    </row>
    <row r="1050" spans="1:2" x14ac:dyDescent="0.3">
      <c r="A1050" s="10" t="s">
        <v>1111</v>
      </c>
      <c r="B1050">
        <v>65.2</v>
      </c>
    </row>
    <row r="1051" spans="1:2" x14ac:dyDescent="0.3">
      <c r="A1051" s="10" t="s">
        <v>1112</v>
      </c>
      <c r="B1051">
        <v>64.66</v>
      </c>
    </row>
    <row r="1052" spans="1:2" x14ac:dyDescent="0.3">
      <c r="A1052" s="10" t="s">
        <v>1113</v>
      </c>
      <c r="B1052">
        <v>65.25</v>
      </c>
    </row>
    <row r="1053" spans="1:2" x14ac:dyDescent="0.3">
      <c r="A1053" s="10" t="s">
        <v>1114</v>
      </c>
      <c r="B1053">
        <v>65.319999999999993</v>
      </c>
    </row>
    <row r="1054" spans="1:2" x14ac:dyDescent="0.3">
      <c r="A1054" s="10" t="s">
        <v>1115</v>
      </c>
      <c r="B1054">
        <v>63.74</v>
      </c>
    </row>
    <row r="1055" spans="1:2" x14ac:dyDescent="0.3">
      <c r="A1055" s="10" t="s">
        <v>1116</v>
      </c>
      <c r="B1055">
        <v>61.52</v>
      </c>
    </row>
    <row r="1056" spans="1:2" x14ac:dyDescent="0.3">
      <c r="A1056" s="10" t="s">
        <v>1117</v>
      </c>
      <c r="B1056">
        <v>62.54</v>
      </c>
    </row>
    <row r="1057" spans="1:2" x14ac:dyDescent="0.3">
      <c r="A1057" s="10" t="s">
        <v>1118</v>
      </c>
      <c r="B1057">
        <v>63.01</v>
      </c>
    </row>
    <row r="1058" spans="1:2" x14ac:dyDescent="0.3">
      <c r="A1058" s="10" t="s">
        <v>1119</v>
      </c>
      <c r="B1058">
        <v>63.86</v>
      </c>
    </row>
    <row r="1059" spans="1:2" x14ac:dyDescent="0.3">
      <c r="A1059" s="10" t="s">
        <v>1120</v>
      </c>
      <c r="B1059">
        <v>63.21</v>
      </c>
    </row>
    <row r="1060" spans="1:2" x14ac:dyDescent="0.3">
      <c r="A1060" s="10" t="s">
        <v>1121</v>
      </c>
      <c r="B1060">
        <v>63.98</v>
      </c>
    </row>
    <row r="1061" spans="1:2" x14ac:dyDescent="0.3">
      <c r="A1061" s="10" t="s">
        <v>1122</v>
      </c>
      <c r="B1061">
        <v>61.14</v>
      </c>
    </row>
    <row r="1062" spans="1:2" x14ac:dyDescent="0.3">
      <c r="A1062" s="10" t="s">
        <v>1123</v>
      </c>
      <c r="B1062">
        <v>62.5</v>
      </c>
    </row>
    <row r="1063" spans="1:2" x14ac:dyDescent="0.3">
      <c r="A1063" s="10" t="s">
        <v>1124</v>
      </c>
      <c r="B1063">
        <v>62.05</v>
      </c>
    </row>
    <row r="1064" spans="1:2" x14ac:dyDescent="0.3">
      <c r="A1064" s="10" t="s">
        <v>1125</v>
      </c>
      <c r="B1064">
        <v>60.74</v>
      </c>
    </row>
    <row r="1065" spans="1:2" x14ac:dyDescent="0.3">
      <c r="A1065" s="10" t="s">
        <v>1126</v>
      </c>
      <c r="B1065">
        <v>58.79</v>
      </c>
    </row>
    <row r="1066" spans="1:2" x14ac:dyDescent="0.3">
      <c r="A1066" s="10" t="s">
        <v>1127</v>
      </c>
      <c r="B1066">
        <v>58.9</v>
      </c>
    </row>
    <row r="1067" spans="1:2" x14ac:dyDescent="0.3">
      <c r="A1067" s="10" t="s">
        <v>1128</v>
      </c>
      <c r="B1067">
        <v>57.46</v>
      </c>
    </row>
    <row r="1068" spans="1:2" x14ac:dyDescent="0.3">
      <c r="A1068" s="10" t="s">
        <v>1129</v>
      </c>
      <c r="B1068">
        <v>55.85</v>
      </c>
    </row>
    <row r="1069" spans="1:2" x14ac:dyDescent="0.3">
      <c r="A1069" s="10" t="s">
        <v>1130</v>
      </c>
      <c r="B1069">
        <v>56.5</v>
      </c>
    </row>
    <row r="1070" spans="1:2" x14ac:dyDescent="0.3">
      <c r="A1070" s="10" t="s">
        <v>1131</v>
      </c>
      <c r="B1070">
        <v>57.26</v>
      </c>
    </row>
    <row r="1071" spans="1:2" x14ac:dyDescent="0.3">
      <c r="A1071" s="10" t="s">
        <v>1132</v>
      </c>
      <c r="B1071">
        <v>49.8</v>
      </c>
    </row>
    <row r="1072" spans="1:2" x14ac:dyDescent="0.3">
      <c r="A1072" s="10" t="s">
        <v>1133</v>
      </c>
      <c r="B1072">
        <v>50.84</v>
      </c>
    </row>
    <row r="1073" spans="1:2" x14ac:dyDescent="0.3">
      <c r="A1073" s="10" t="s">
        <v>1134</v>
      </c>
      <c r="B1073">
        <v>51.4</v>
      </c>
    </row>
    <row r="1074" spans="1:2" x14ac:dyDescent="0.3">
      <c r="A1074" s="10" t="s">
        <v>1135</v>
      </c>
      <c r="B1074">
        <v>51.3</v>
      </c>
    </row>
    <row r="1075" spans="1:2" x14ac:dyDescent="0.3">
      <c r="A1075" s="10" t="s">
        <v>1136</v>
      </c>
      <c r="B1075">
        <v>51.7</v>
      </c>
    </row>
    <row r="1076" spans="1:2" x14ac:dyDescent="0.3">
      <c r="A1076" s="10" t="s">
        <v>1137</v>
      </c>
      <c r="B1076">
        <v>52.12</v>
      </c>
    </row>
    <row r="1077" spans="1:2" x14ac:dyDescent="0.3">
      <c r="A1077" s="10" t="s">
        <v>1138</v>
      </c>
      <c r="B1077">
        <v>52.6</v>
      </c>
    </row>
    <row r="1078" spans="1:2" x14ac:dyDescent="0.3">
      <c r="A1078" s="10" t="s">
        <v>1139</v>
      </c>
      <c r="B1078">
        <v>50.8</v>
      </c>
    </row>
    <row r="1079" spans="1:2" x14ac:dyDescent="0.3">
      <c r="A1079" s="10" t="s">
        <v>1140</v>
      </c>
      <c r="B1079">
        <v>55.55</v>
      </c>
    </row>
    <row r="1080" spans="1:2" x14ac:dyDescent="0.3">
      <c r="A1080" s="10" t="s">
        <v>1141</v>
      </c>
      <c r="B1080">
        <v>57.35</v>
      </c>
    </row>
    <row r="1081" spans="1:2" x14ac:dyDescent="0.3">
      <c r="A1081" s="10" t="s">
        <v>1142</v>
      </c>
      <c r="B1081">
        <v>55.5</v>
      </c>
    </row>
    <row r="1082" spans="1:2" x14ac:dyDescent="0.3">
      <c r="A1082" s="10" t="s">
        <v>1143</v>
      </c>
      <c r="B1082">
        <v>53.95</v>
      </c>
    </row>
    <row r="1083" spans="1:2" x14ac:dyDescent="0.3">
      <c r="A1083" s="10" t="s">
        <v>1144</v>
      </c>
      <c r="B1083">
        <v>54.35</v>
      </c>
    </row>
    <row r="1084" spans="1:2" x14ac:dyDescent="0.3">
      <c r="A1084" s="10" t="s">
        <v>1145</v>
      </c>
      <c r="B1084">
        <v>52.1</v>
      </c>
    </row>
    <row r="1085" spans="1:2" x14ac:dyDescent="0.3">
      <c r="A1085" s="10" t="s">
        <v>1146</v>
      </c>
      <c r="B1085">
        <v>53.64</v>
      </c>
    </row>
    <row r="1086" spans="1:2" x14ac:dyDescent="0.3">
      <c r="A1086" s="10" t="s">
        <v>1147</v>
      </c>
      <c r="B1086">
        <v>52.57</v>
      </c>
    </row>
    <row r="1087" spans="1:2" x14ac:dyDescent="0.3">
      <c r="A1087" s="10" t="s">
        <v>1148</v>
      </c>
      <c r="B1087">
        <v>52.74</v>
      </c>
    </row>
    <row r="1088" spans="1:2" x14ac:dyDescent="0.3">
      <c r="A1088" s="10" t="s">
        <v>1149</v>
      </c>
      <c r="B1088">
        <v>53.45</v>
      </c>
    </row>
    <row r="1089" spans="1:2" x14ac:dyDescent="0.3">
      <c r="A1089" s="10" t="s">
        <v>1150</v>
      </c>
      <c r="B1089">
        <v>54.6</v>
      </c>
    </row>
    <row r="1090" spans="1:2" x14ac:dyDescent="0.3">
      <c r="A1090" s="10" t="s">
        <v>1151</v>
      </c>
      <c r="B1090">
        <v>53.82</v>
      </c>
    </row>
    <row r="1091" spans="1:2" x14ac:dyDescent="0.3">
      <c r="A1091" s="10" t="s">
        <v>1152</v>
      </c>
      <c r="B1091">
        <v>54.05</v>
      </c>
    </row>
    <row r="1092" spans="1:2" x14ac:dyDescent="0.3">
      <c r="A1092" s="10" t="s">
        <v>1153</v>
      </c>
      <c r="B1092">
        <v>53.34</v>
      </c>
    </row>
    <row r="1093" spans="1:2" x14ac:dyDescent="0.3">
      <c r="A1093" s="10" t="s">
        <v>1154</v>
      </c>
      <c r="B1093">
        <v>51.46</v>
      </c>
    </row>
    <row r="1094" spans="1:2" x14ac:dyDescent="0.3">
      <c r="A1094" s="10" t="s">
        <v>1155</v>
      </c>
      <c r="B1094">
        <v>51.06</v>
      </c>
    </row>
    <row r="1095" spans="1:2" x14ac:dyDescent="0.3">
      <c r="A1095" s="10" t="s">
        <v>1156</v>
      </c>
      <c r="B1095">
        <v>50.45</v>
      </c>
    </row>
    <row r="1096" spans="1:2" x14ac:dyDescent="0.3">
      <c r="A1096" s="10" t="s">
        <v>1157</v>
      </c>
      <c r="B1096">
        <v>47.75</v>
      </c>
    </row>
    <row r="1097" spans="1:2" x14ac:dyDescent="0.3">
      <c r="A1097" s="10" t="s">
        <v>1158</v>
      </c>
      <c r="B1097">
        <v>44.5</v>
      </c>
    </row>
    <row r="1098" spans="1:2" x14ac:dyDescent="0.3">
      <c r="A1098" s="10" t="s">
        <v>1159</v>
      </c>
      <c r="B1098">
        <v>46.51</v>
      </c>
    </row>
    <row r="1099" spans="1:2" x14ac:dyDescent="0.3">
      <c r="A1099" s="10" t="s">
        <v>1160</v>
      </c>
      <c r="B1099">
        <v>47.35</v>
      </c>
    </row>
    <row r="1100" spans="1:2" x14ac:dyDescent="0.3">
      <c r="A1100" s="10" t="s">
        <v>1161</v>
      </c>
      <c r="B1100">
        <v>48.62</v>
      </c>
    </row>
    <row r="1101" spans="1:2" x14ac:dyDescent="0.3">
      <c r="A1101" s="10" t="s">
        <v>1162</v>
      </c>
      <c r="B1101">
        <v>48.95</v>
      </c>
    </row>
    <row r="1102" spans="1:2" x14ac:dyDescent="0.3">
      <c r="A1102" s="10" t="s">
        <v>1163</v>
      </c>
      <c r="B1102">
        <v>48.85</v>
      </c>
    </row>
    <row r="1103" spans="1:2" x14ac:dyDescent="0.3">
      <c r="A1103" s="10" t="s">
        <v>1164</v>
      </c>
      <c r="B1103">
        <v>46.72</v>
      </c>
    </row>
    <row r="1104" spans="1:2" x14ac:dyDescent="0.3">
      <c r="A1104" s="10" t="s">
        <v>1165</v>
      </c>
      <c r="B1104">
        <v>47.03</v>
      </c>
    </row>
    <row r="1105" spans="1:2" x14ac:dyDescent="0.3">
      <c r="A1105" s="10" t="s">
        <v>1166</v>
      </c>
      <c r="B1105">
        <v>49.21</v>
      </c>
    </row>
    <row r="1106" spans="1:2" x14ac:dyDescent="0.3">
      <c r="A1106" s="10" t="s">
        <v>1167</v>
      </c>
      <c r="B1106">
        <v>49.9</v>
      </c>
    </row>
    <row r="1107" spans="1:2" x14ac:dyDescent="0.3">
      <c r="A1107" s="10" t="s">
        <v>1168</v>
      </c>
      <c r="B1107">
        <v>53.15</v>
      </c>
    </row>
    <row r="1108" spans="1:2" x14ac:dyDescent="0.3">
      <c r="A1108" s="10" t="s">
        <v>1169</v>
      </c>
      <c r="B1108">
        <v>53.4</v>
      </c>
    </row>
    <row r="1109" spans="1:2" x14ac:dyDescent="0.3">
      <c r="A1109" s="10" t="s">
        <v>1170</v>
      </c>
      <c r="B1109">
        <v>56.39</v>
      </c>
    </row>
    <row r="1110" spans="1:2" x14ac:dyDescent="0.3">
      <c r="A1110" s="10" t="s">
        <v>1171</v>
      </c>
      <c r="B1110">
        <v>56.07</v>
      </c>
    </row>
    <row r="1111" spans="1:2" x14ac:dyDescent="0.3">
      <c r="A1111" s="10" t="s">
        <v>1172</v>
      </c>
      <c r="B1111">
        <v>54.34</v>
      </c>
    </row>
    <row r="1112" spans="1:2" x14ac:dyDescent="0.3">
      <c r="A1112" s="10" t="s">
        <v>1173</v>
      </c>
      <c r="B1112">
        <v>53.95</v>
      </c>
    </row>
    <row r="1113" spans="1:2" x14ac:dyDescent="0.3">
      <c r="A1113" s="10" t="s">
        <v>1174</v>
      </c>
      <c r="B1113">
        <v>52.96</v>
      </c>
    </row>
    <row r="1114" spans="1:2" x14ac:dyDescent="0.3">
      <c r="A1114" s="10" t="s">
        <v>1175</v>
      </c>
      <c r="B1114">
        <v>54.33</v>
      </c>
    </row>
    <row r="1115" spans="1:2" x14ac:dyDescent="0.3">
      <c r="A1115" s="10" t="s">
        <v>1176</v>
      </c>
      <c r="B1115">
        <v>51.58</v>
      </c>
    </row>
    <row r="1116" spans="1:2" x14ac:dyDescent="0.3">
      <c r="A1116" s="10" t="s">
        <v>1177</v>
      </c>
      <c r="B1116">
        <v>51.49</v>
      </c>
    </row>
    <row r="1117" spans="1:2" x14ac:dyDescent="0.3">
      <c r="A1117" s="10" t="s">
        <v>1178</v>
      </c>
      <c r="B1117">
        <v>54.34</v>
      </c>
    </row>
    <row r="1118" spans="1:2" x14ac:dyDescent="0.3">
      <c r="A1118" s="10" t="s">
        <v>1179</v>
      </c>
      <c r="B1118">
        <v>54.1</v>
      </c>
    </row>
    <row r="1119" spans="1:2" x14ac:dyDescent="0.3">
      <c r="A1119" s="10" t="s">
        <v>1180</v>
      </c>
      <c r="B1119">
        <v>55</v>
      </c>
    </row>
    <row r="1120" spans="1:2" x14ac:dyDescent="0.3">
      <c r="A1120" s="10" t="s">
        <v>1181</v>
      </c>
      <c r="B1120">
        <v>54.4</v>
      </c>
    </row>
    <row r="1121" spans="1:2" x14ac:dyDescent="0.3">
      <c r="A1121" s="10" t="s">
        <v>1182</v>
      </c>
      <c r="B1121">
        <v>58.1</v>
      </c>
    </row>
    <row r="1122" spans="1:2" x14ac:dyDescent="0.3">
      <c r="A1122" s="10" t="s">
        <v>1183</v>
      </c>
      <c r="B1122">
        <v>57.56</v>
      </c>
    </row>
    <row r="1123" spans="1:2" x14ac:dyDescent="0.3">
      <c r="A1123" s="10" t="s">
        <v>1184</v>
      </c>
      <c r="B1123">
        <v>57.45</v>
      </c>
    </row>
    <row r="1124" spans="1:2" x14ac:dyDescent="0.3">
      <c r="A1124" s="10" t="s">
        <v>1185</v>
      </c>
      <c r="B1124">
        <v>60.3</v>
      </c>
    </row>
    <row r="1125" spans="1:2" x14ac:dyDescent="0.3">
      <c r="A1125" s="10" t="s">
        <v>1186</v>
      </c>
      <c r="B1125">
        <v>58.45</v>
      </c>
    </row>
    <row r="1126" spans="1:2" x14ac:dyDescent="0.3">
      <c r="A1126" s="10" t="s">
        <v>1187</v>
      </c>
      <c r="B1126">
        <v>55.14</v>
      </c>
    </row>
    <row r="1127" spans="1:2" x14ac:dyDescent="0.3">
      <c r="A1127" s="10" t="s">
        <v>1188</v>
      </c>
      <c r="B1127">
        <v>54.96</v>
      </c>
    </row>
    <row r="1128" spans="1:2" x14ac:dyDescent="0.3">
      <c r="A1128" s="10" t="s">
        <v>1189</v>
      </c>
      <c r="B1128">
        <v>53.4</v>
      </c>
    </row>
    <row r="1129" spans="1:2" x14ac:dyDescent="0.3">
      <c r="A1129" s="10" t="s">
        <v>1190</v>
      </c>
      <c r="B1129">
        <v>53.55</v>
      </c>
    </row>
    <row r="1130" spans="1:2" x14ac:dyDescent="0.3">
      <c r="A1130" s="10" t="s">
        <v>1191</v>
      </c>
      <c r="B1130">
        <v>53.14</v>
      </c>
    </row>
    <row r="1131" spans="1:2" x14ac:dyDescent="0.3">
      <c r="A1131" s="10" t="s">
        <v>1192</v>
      </c>
      <c r="B1131">
        <v>50.82</v>
      </c>
    </row>
    <row r="1132" spans="1:2" x14ac:dyDescent="0.3">
      <c r="A1132" s="10" t="s">
        <v>1193</v>
      </c>
      <c r="B1132">
        <v>50.41</v>
      </c>
    </row>
    <row r="1133" spans="1:2" x14ac:dyDescent="0.3">
      <c r="A1133" s="10" t="s">
        <v>1194</v>
      </c>
      <c r="B1133">
        <v>54.08</v>
      </c>
    </row>
    <row r="1134" spans="1:2" x14ac:dyDescent="0.3">
      <c r="A1134" s="10" t="s">
        <v>1195</v>
      </c>
      <c r="B1134">
        <v>52.19</v>
      </c>
    </row>
    <row r="1135" spans="1:2" x14ac:dyDescent="0.3">
      <c r="A1135" s="10" t="s">
        <v>1196</v>
      </c>
      <c r="B1135">
        <v>51.83</v>
      </c>
    </row>
    <row r="1136" spans="1:2" x14ac:dyDescent="0.3">
      <c r="A1136" s="10" t="s">
        <v>1197</v>
      </c>
      <c r="B1136">
        <v>48.05</v>
      </c>
    </row>
    <row r="1137" spans="1:2" x14ac:dyDescent="0.3">
      <c r="A1137" s="10" t="s">
        <v>1198</v>
      </c>
      <c r="B1137">
        <v>48.32</v>
      </c>
    </row>
    <row r="1138" spans="1:2" x14ac:dyDescent="0.3">
      <c r="A1138" s="10" t="s">
        <v>1199</v>
      </c>
      <c r="B1138">
        <v>45.86</v>
      </c>
    </row>
    <row r="1139" spans="1:2" x14ac:dyDescent="0.3">
      <c r="A1139" s="10" t="s">
        <v>1200</v>
      </c>
      <c r="B1139">
        <v>46.4</v>
      </c>
    </row>
    <row r="1140" spans="1:2" x14ac:dyDescent="0.3">
      <c r="A1140" s="10" t="s">
        <v>1201</v>
      </c>
      <c r="B1140">
        <v>45.6</v>
      </c>
    </row>
    <row r="1141" spans="1:2" x14ac:dyDescent="0.3">
      <c r="A1141" s="10" t="s">
        <v>1202</v>
      </c>
      <c r="B1141">
        <v>44.96</v>
      </c>
    </row>
    <row r="1142" spans="1:2" x14ac:dyDescent="0.3">
      <c r="A1142" s="10" t="s">
        <v>1203</v>
      </c>
      <c r="B1142">
        <v>42.25</v>
      </c>
    </row>
    <row r="1143" spans="1:2" x14ac:dyDescent="0.3">
      <c r="A1143" s="10" t="s">
        <v>1204</v>
      </c>
      <c r="B1143">
        <v>39.479999999999997</v>
      </c>
    </row>
    <row r="1144" spans="1:2" x14ac:dyDescent="0.3">
      <c r="A1144" s="10" t="s">
        <v>1205</v>
      </c>
      <c r="B1144">
        <v>38.14</v>
      </c>
    </row>
    <row r="1145" spans="1:2" x14ac:dyDescent="0.3">
      <c r="A1145" s="10" t="s">
        <v>1206</v>
      </c>
      <c r="B1145">
        <v>38.090000000000003</v>
      </c>
    </row>
    <row r="1146" spans="1:2" x14ac:dyDescent="0.3">
      <c r="A1146" s="10" t="s">
        <v>1207</v>
      </c>
      <c r="B1146">
        <v>38.700000000000003</v>
      </c>
    </row>
    <row r="1147" spans="1:2" x14ac:dyDescent="0.3">
      <c r="A1147" s="10" t="s">
        <v>1208</v>
      </c>
      <c r="B1147">
        <v>36.75</v>
      </c>
    </row>
    <row r="1148" spans="1:2" x14ac:dyDescent="0.3">
      <c r="A1148" s="10" t="s">
        <v>1209</v>
      </c>
      <c r="B1148">
        <v>34.450000000000003</v>
      </c>
    </row>
    <row r="1149" spans="1:2" x14ac:dyDescent="0.3">
      <c r="A1149" s="10" t="s">
        <v>1210</v>
      </c>
      <c r="B1149">
        <v>39.979999999999997</v>
      </c>
    </row>
    <row r="1150" spans="1:2" x14ac:dyDescent="0.3">
      <c r="A1150" s="10" t="s">
        <v>1211</v>
      </c>
      <c r="B1150">
        <v>40.21</v>
      </c>
    </row>
    <row r="1151" spans="1:2" x14ac:dyDescent="0.3">
      <c r="A1151" s="10" t="s">
        <v>1212</v>
      </c>
      <c r="B1151">
        <v>42.1</v>
      </c>
    </row>
    <row r="1152" spans="1:2" x14ac:dyDescent="0.3">
      <c r="A1152" s="10" t="s">
        <v>1213</v>
      </c>
      <c r="B1152">
        <v>41.35</v>
      </c>
    </row>
    <row r="1153" spans="1:2" x14ac:dyDescent="0.3">
      <c r="A1153" s="10" t="s">
        <v>1214</v>
      </c>
      <c r="B1153">
        <v>40.14</v>
      </c>
    </row>
    <row r="1154" spans="1:2" x14ac:dyDescent="0.3">
      <c r="A1154" s="10" t="s">
        <v>1215</v>
      </c>
      <c r="B1154">
        <v>39.97</v>
      </c>
    </row>
    <row r="1155" spans="1:2" x14ac:dyDescent="0.3">
      <c r="A1155" s="10" t="s">
        <v>1216</v>
      </c>
      <c r="B1155">
        <v>41</v>
      </c>
    </row>
    <row r="1156" spans="1:2" x14ac:dyDescent="0.3">
      <c r="A1156" s="10" t="s">
        <v>1217</v>
      </c>
      <c r="B1156">
        <v>40.89</v>
      </c>
    </row>
    <row r="1157" spans="1:2" x14ac:dyDescent="0.3">
      <c r="A1157" s="10" t="s">
        <v>1218</v>
      </c>
      <c r="B1157">
        <v>41.25</v>
      </c>
    </row>
    <row r="1158" spans="1:2" x14ac:dyDescent="0.3">
      <c r="A1158" s="10" t="s">
        <v>1219</v>
      </c>
      <c r="B1158">
        <v>42.08</v>
      </c>
    </row>
    <row r="1159" spans="1:2" x14ac:dyDescent="0.3">
      <c r="A1159" s="10" t="s">
        <v>1220</v>
      </c>
      <c r="B1159">
        <v>39.99</v>
      </c>
    </row>
    <row r="1160" spans="1:2" x14ac:dyDescent="0.3">
      <c r="A1160" s="10" t="s">
        <v>1221</v>
      </c>
      <c r="B1160">
        <v>40.200000000000003</v>
      </c>
    </row>
    <row r="1161" spans="1:2" x14ac:dyDescent="0.3">
      <c r="A1161" s="10" t="s">
        <v>1222</v>
      </c>
      <c r="B1161">
        <v>37.479999999999997</v>
      </c>
    </row>
    <row r="1162" spans="1:2" x14ac:dyDescent="0.3">
      <c r="A1162" s="10" t="s">
        <v>1223</v>
      </c>
      <c r="B1162">
        <v>37.96</v>
      </c>
    </row>
    <row r="1163" spans="1:2" x14ac:dyDescent="0.3">
      <c r="A1163" s="10" t="s">
        <v>1224</v>
      </c>
      <c r="B1163">
        <v>39.6</v>
      </c>
    </row>
    <row r="1164" spans="1:2" x14ac:dyDescent="0.3">
      <c r="A1164" s="10" t="s">
        <v>1225</v>
      </c>
      <c r="B1164">
        <v>40.85</v>
      </c>
    </row>
    <row r="1165" spans="1:2" x14ac:dyDescent="0.3">
      <c r="A1165" s="10" t="s">
        <v>1226</v>
      </c>
      <c r="B1165">
        <v>39.72</v>
      </c>
    </row>
    <row r="1166" spans="1:2" x14ac:dyDescent="0.3">
      <c r="A1166" s="10" t="s">
        <v>1227</v>
      </c>
      <c r="B1166">
        <v>40.51</v>
      </c>
    </row>
    <row r="1167" spans="1:2" x14ac:dyDescent="0.3">
      <c r="A1167" s="10" t="s">
        <v>1228</v>
      </c>
      <c r="B1167">
        <v>38.409999999999997</v>
      </c>
    </row>
    <row r="1168" spans="1:2" x14ac:dyDescent="0.3">
      <c r="A1168" s="10" t="s">
        <v>1229</v>
      </c>
      <c r="B1168">
        <v>41.28</v>
      </c>
    </row>
    <row r="1169" spans="1:2" x14ac:dyDescent="0.3">
      <c r="A1169" s="10" t="s">
        <v>1230</v>
      </c>
      <c r="B1169">
        <v>42.48</v>
      </c>
    </row>
    <row r="1170" spans="1:2" x14ac:dyDescent="0.3">
      <c r="A1170" s="10" t="s">
        <v>1231</v>
      </c>
      <c r="B1170">
        <v>43.5</v>
      </c>
    </row>
    <row r="1171" spans="1:2" x14ac:dyDescent="0.3">
      <c r="A1171" s="10" t="s">
        <v>1232</v>
      </c>
      <c r="B1171">
        <v>39.799999999999997</v>
      </c>
    </row>
    <row r="1172" spans="1:2" x14ac:dyDescent="0.3">
      <c r="A1172" s="10" t="s">
        <v>1233</v>
      </c>
      <c r="B1172">
        <v>37.49</v>
      </c>
    </row>
    <row r="1173" spans="1:2" x14ac:dyDescent="0.3">
      <c r="A1173" s="10" t="s">
        <v>1234</v>
      </c>
      <c r="B1173">
        <v>41.68</v>
      </c>
    </row>
    <row r="1174" spans="1:2" x14ac:dyDescent="0.3">
      <c r="A1174" s="10" t="s">
        <v>1235</v>
      </c>
      <c r="B1174">
        <v>40.17</v>
      </c>
    </row>
    <row r="1175" spans="1:2" x14ac:dyDescent="0.3">
      <c r="A1175" s="10" t="s">
        <v>1236</v>
      </c>
      <c r="B1175">
        <v>40.799999999999997</v>
      </c>
    </row>
    <row r="1176" spans="1:2" x14ac:dyDescent="0.3">
      <c r="A1176" s="10" t="s">
        <v>1237</v>
      </c>
      <c r="B1176">
        <v>43.92</v>
      </c>
    </row>
    <row r="1177" spans="1:2" x14ac:dyDescent="0.3">
      <c r="A1177" s="10" t="s">
        <v>1238</v>
      </c>
      <c r="B1177">
        <v>41.95</v>
      </c>
    </row>
    <row r="1178" spans="1:2" x14ac:dyDescent="0.3">
      <c r="A1178" s="10" t="s">
        <v>1239</v>
      </c>
      <c r="B1178">
        <v>41.68</v>
      </c>
    </row>
    <row r="1179" spans="1:2" x14ac:dyDescent="0.3">
      <c r="A1179" s="10" t="s">
        <v>1240</v>
      </c>
      <c r="B1179">
        <v>44.59</v>
      </c>
    </row>
    <row r="1180" spans="1:2" x14ac:dyDescent="0.3">
      <c r="A1180" s="10" t="s">
        <v>1241</v>
      </c>
      <c r="B1180">
        <v>43.33</v>
      </c>
    </row>
    <row r="1181" spans="1:2" x14ac:dyDescent="0.3">
      <c r="A1181" s="10" t="s">
        <v>1242</v>
      </c>
      <c r="B1181">
        <v>44.29</v>
      </c>
    </row>
    <row r="1182" spans="1:2" x14ac:dyDescent="0.3">
      <c r="A1182" s="10" t="s">
        <v>1243</v>
      </c>
      <c r="B1182">
        <v>43.71</v>
      </c>
    </row>
    <row r="1183" spans="1:2" x14ac:dyDescent="0.3">
      <c r="A1183" s="10" t="s">
        <v>1244</v>
      </c>
      <c r="B1183">
        <v>39.909999999999997</v>
      </c>
    </row>
    <row r="1184" spans="1:2" x14ac:dyDescent="0.3">
      <c r="A1184" s="10" t="s">
        <v>1245</v>
      </c>
      <c r="B1184">
        <v>41.5</v>
      </c>
    </row>
    <row r="1185" spans="1:2" x14ac:dyDescent="0.3">
      <c r="A1185" s="10" t="s">
        <v>1246</v>
      </c>
      <c r="B1185">
        <v>43.81</v>
      </c>
    </row>
    <row r="1186" spans="1:2" x14ac:dyDescent="0.3">
      <c r="A1186" s="10" t="s">
        <v>1247</v>
      </c>
      <c r="B1186">
        <v>39.96</v>
      </c>
    </row>
    <row r="1187" spans="1:2" x14ac:dyDescent="0.3">
      <c r="A1187" s="10" t="s">
        <v>1248</v>
      </c>
      <c r="B1187">
        <v>38.53</v>
      </c>
    </row>
    <row r="1188" spans="1:2" x14ac:dyDescent="0.3">
      <c r="A1188" s="10" t="s">
        <v>1249</v>
      </c>
      <c r="B1188">
        <v>39.200000000000003</v>
      </c>
    </row>
    <row r="1189" spans="1:2" x14ac:dyDescent="0.3">
      <c r="A1189" s="10" t="s">
        <v>1250</v>
      </c>
      <c r="B1189">
        <v>46.99</v>
      </c>
    </row>
    <row r="1190" spans="1:2" x14ac:dyDescent="0.3">
      <c r="A1190" s="10" t="s">
        <v>1251</v>
      </c>
      <c r="B1190">
        <v>47.48</v>
      </c>
    </row>
    <row r="1191" spans="1:2" x14ac:dyDescent="0.3">
      <c r="A1191" s="10" t="s">
        <v>1252</v>
      </c>
      <c r="B1191">
        <v>49.85</v>
      </c>
    </row>
    <row r="1192" spans="1:2" x14ac:dyDescent="0.3">
      <c r="A1192" s="10" t="s">
        <v>1253</v>
      </c>
      <c r="B1192">
        <v>46.98</v>
      </c>
    </row>
    <row r="1193" spans="1:2" x14ac:dyDescent="0.3">
      <c r="A1193" s="10" t="s">
        <v>1254</v>
      </c>
      <c r="B1193">
        <v>45.17</v>
      </c>
    </row>
    <row r="1194" spans="1:2" x14ac:dyDescent="0.3">
      <c r="A1194" s="10" t="s">
        <v>1255</v>
      </c>
      <c r="B1194">
        <v>46.75</v>
      </c>
    </row>
    <row r="1195" spans="1:2" x14ac:dyDescent="0.3">
      <c r="A1195" s="10" t="s">
        <v>1256</v>
      </c>
      <c r="B1195">
        <v>43.06</v>
      </c>
    </row>
    <row r="1196" spans="1:2" x14ac:dyDescent="0.3">
      <c r="A1196" s="10" t="s">
        <v>1257</v>
      </c>
      <c r="B1196">
        <v>42.67</v>
      </c>
    </row>
    <row r="1197" spans="1:2" x14ac:dyDescent="0.3">
      <c r="A1197" s="10" t="s">
        <v>1258</v>
      </c>
      <c r="B1197">
        <v>40.64</v>
      </c>
    </row>
    <row r="1198" spans="1:2" x14ac:dyDescent="0.3">
      <c r="A1198" s="10" t="s">
        <v>1259</v>
      </c>
      <c r="B1198">
        <v>42.75</v>
      </c>
    </row>
    <row r="1199" spans="1:2" x14ac:dyDescent="0.3">
      <c r="A1199" s="10" t="s">
        <v>1260</v>
      </c>
      <c r="B1199">
        <v>44.34</v>
      </c>
    </row>
    <row r="1200" spans="1:2" x14ac:dyDescent="0.3">
      <c r="A1200" s="10" t="s">
        <v>1261</v>
      </c>
      <c r="B1200">
        <v>40.549999999999997</v>
      </c>
    </row>
    <row r="1201" spans="1:2" x14ac:dyDescent="0.3">
      <c r="A1201" s="10" t="s">
        <v>1262</v>
      </c>
      <c r="B1201">
        <v>39.200000000000003</v>
      </c>
    </row>
    <row r="1202" spans="1:2" x14ac:dyDescent="0.3">
      <c r="A1202" s="10" t="s">
        <v>1263</v>
      </c>
      <c r="B1202">
        <v>39.26</v>
      </c>
    </row>
    <row r="1203" spans="1:2" x14ac:dyDescent="0.3">
      <c r="A1203" s="10" t="s">
        <v>1264</v>
      </c>
      <c r="B1203">
        <v>39.549999999999997</v>
      </c>
    </row>
    <row r="1204" spans="1:2" x14ac:dyDescent="0.3">
      <c r="A1204" s="10" t="s">
        <v>1265</v>
      </c>
      <c r="B1204">
        <v>41.25</v>
      </c>
    </row>
    <row r="1205" spans="1:2" x14ac:dyDescent="0.3">
      <c r="A1205" s="10" t="s">
        <v>1266</v>
      </c>
      <c r="B1205">
        <v>40</v>
      </c>
    </row>
    <row r="1206" spans="1:2" x14ac:dyDescent="0.3">
      <c r="A1206" s="10" t="s">
        <v>1267</v>
      </c>
      <c r="B1206">
        <v>41.5625</v>
      </c>
    </row>
    <row r="1207" spans="1:2" x14ac:dyDescent="0.3">
      <c r="A1207" s="10" t="s">
        <v>1268</v>
      </c>
      <c r="B1207">
        <v>39.3125</v>
      </c>
    </row>
    <row r="1208" spans="1:2" x14ac:dyDescent="0.3">
      <c r="A1208" s="10" t="s">
        <v>1269</v>
      </c>
      <c r="B1208">
        <v>39.125</v>
      </c>
    </row>
    <row r="1209" spans="1:2" x14ac:dyDescent="0.3">
      <c r="A1209" s="10" t="s">
        <v>1270</v>
      </c>
      <c r="B1209">
        <v>40.0625</v>
      </c>
    </row>
    <row r="1210" spans="1:2" x14ac:dyDescent="0.3">
      <c r="A1210" s="10" t="s">
        <v>1271</v>
      </c>
      <c r="B1210">
        <v>42.4375</v>
      </c>
    </row>
    <row r="1211" spans="1:2" x14ac:dyDescent="0.3">
      <c r="A1211" s="10" t="s">
        <v>1272</v>
      </c>
      <c r="B1211">
        <v>39.3125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88E0-A1F6-4FF3-B236-BB7C1CD2223F}">
  <dimension ref="A1:J340"/>
  <sheetViews>
    <sheetView workbookViewId="0">
      <selection activeCell="J4" sqref="J4"/>
    </sheetView>
  </sheetViews>
  <sheetFormatPr defaultRowHeight="14.4" x14ac:dyDescent="0.3"/>
  <cols>
    <col min="1" max="1" width="10.33203125" bestFit="1" customWidth="1"/>
    <col min="2" max="2" width="15.5546875" bestFit="1" customWidth="1"/>
    <col min="6" max="6" width="15" bestFit="1" customWidth="1"/>
    <col min="7" max="7" width="12.5546875" bestFit="1" customWidth="1"/>
    <col min="8" max="8" width="18.109375" bestFit="1" customWidth="1"/>
    <col min="9" max="9" width="10.44140625" bestFit="1" customWidth="1"/>
  </cols>
  <sheetData>
    <row r="1" spans="1:10" x14ac:dyDescent="0.3">
      <c r="A1" t="s">
        <v>0</v>
      </c>
      <c r="B1" t="s">
        <v>11</v>
      </c>
    </row>
    <row r="2" spans="1:10" x14ac:dyDescent="0.3">
      <c r="A2" t="s">
        <v>2</v>
      </c>
      <c r="B2" s="1">
        <v>42799</v>
      </c>
      <c r="E2" s="9" t="s">
        <v>56</v>
      </c>
      <c r="F2" s="9" t="s">
        <v>55</v>
      </c>
      <c r="G2" s="8">
        <v>333</v>
      </c>
      <c r="I2" s="8" t="s">
        <v>63</v>
      </c>
      <c r="J2" s="8">
        <f>SUM(H8:H340)/G2</f>
        <v>0.90328264926713686</v>
      </c>
    </row>
    <row r="3" spans="1:10" x14ac:dyDescent="0.3">
      <c r="A3" t="s">
        <v>3</v>
      </c>
      <c r="B3" s="1">
        <v>45137</v>
      </c>
      <c r="E3" s="8" t="s">
        <v>57</v>
      </c>
      <c r="F3" s="8" t="s">
        <v>58</v>
      </c>
      <c r="G3" s="8">
        <f>SUM(B8:B340)/333</f>
        <v>0.84588195195195182</v>
      </c>
      <c r="I3" s="8" t="s">
        <v>64</v>
      </c>
      <c r="J3" s="8">
        <f>SQRT(J2)</f>
        <v>0.95041183140107055</v>
      </c>
    </row>
    <row r="4" spans="1:10" x14ac:dyDescent="0.3">
      <c r="A4" t="s">
        <v>4</v>
      </c>
      <c r="B4" t="s">
        <v>5</v>
      </c>
      <c r="E4" s="8" t="s">
        <v>59</v>
      </c>
      <c r="F4" s="8" t="s">
        <v>60</v>
      </c>
      <c r="G4" s="8">
        <f>SUM(E8:E340)/SUM(D8:D340)</f>
        <v>-5.6430233259654999E-3</v>
      </c>
      <c r="I4" s="8" t="s">
        <v>65</v>
      </c>
      <c r="J4" s="8">
        <f>SUM(J8:J340)/G2</f>
        <v>0.19349764064997507</v>
      </c>
    </row>
    <row r="5" spans="1:10" x14ac:dyDescent="0.3">
      <c r="A5" t="s">
        <v>6</v>
      </c>
      <c r="B5" t="s">
        <v>7</v>
      </c>
      <c r="I5" s="8" t="s">
        <v>68</v>
      </c>
      <c r="J5" s="8">
        <f>100-J4</f>
        <v>99.80650235935002</v>
      </c>
    </row>
    <row r="7" spans="1:10" x14ac:dyDescent="0.3">
      <c r="A7" s="6" t="s">
        <v>8</v>
      </c>
      <c r="B7" s="6" t="s">
        <v>9</v>
      </c>
      <c r="C7" s="6" t="s">
        <v>14</v>
      </c>
      <c r="D7" s="6" t="s">
        <v>15</v>
      </c>
      <c r="E7" s="6" t="s">
        <v>16</v>
      </c>
      <c r="F7" s="6" t="s">
        <v>37</v>
      </c>
      <c r="G7" s="6" t="s">
        <v>61</v>
      </c>
      <c r="H7" s="6" t="s">
        <v>62</v>
      </c>
      <c r="I7" s="6" t="s">
        <v>66</v>
      </c>
      <c r="J7" s="6" t="s">
        <v>67</v>
      </c>
    </row>
    <row r="8" spans="1:10" x14ac:dyDescent="0.3">
      <c r="A8" s="2">
        <v>45130</v>
      </c>
      <c r="B8">
        <v>6.7869799999999998</v>
      </c>
      <c r="C8">
        <v>-165.5</v>
      </c>
      <c r="D8">
        <f t="shared" ref="D8:D71" si="0">C8*C8</f>
        <v>27390.25</v>
      </c>
      <c r="E8">
        <f>C8*B8</f>
        <v>-1123.2451899999999</v>
      </c>
      <c r="F8">
        <f t="shared" ref="F8:F71" si="1">$G$3+$G$4*(C8)</f>
        <v>1.7798023123992421</v>
      </c>
      <c r="G8">
        <f>B8-F8</f>
        <v>5.0071776876007572</v>
      </c>
      <c r="H8">
        <f>G8*G8</f>
        <v>25.071828395206865</v>
      </c>
      <c r="I8">
        <f>ABS(G8)/$G$2</f>
        <v>1.5036569632434707E-2</v>
      </c>
      <c r="J8">
        <f>I8*100</f>
        <v>1.5036569632434706</v>
      </c>
    </row>
    <row r="9" spans="1:10" x14ac:dyDescent="0.3">
      <c r="A9" s="2">
        <v>45123</v>
      </c>
      <c r="B9">
        <v>7.2506300000000001</v>
      </c>
      <c r="C9">
        <v>-164.5</v>
      </c>
      <c r="D9">
        <f t="shared" si="0"/>
        <v>27060.25</v>
      </c>
      <c r="E9">
        <f t="shared" ref="E9:E72" si="2">C9*B9</f>
        <v>-1192.7286349999999</v>
      </c>
      <c r="F9">
        <f t="shared" si="1"/>
        <v>1.7741592890732765</v>
      </c>
      <c r="G9">
        <f>B9-F9</f>
        <v>5.4764707109267237</v>
      </c>
      <c r="H9">
        <f t="shared" ref="H9:H72" si="3">G9*G9</f>
        <v>29.991731447638255</v>
      </c>
      <c r="I9">
        <f t="shared" ref="I9:I72" si="4">ABS(G9)/$G$2</f>
        <v>1.6445857990770942E-2</v>
      </c>
      <c r="J9">
        <f t="shared" ref="J9:J72" si="5">I9*100</f>
        <v>1.6445857990770942</v>
      </c>
    </row>
    <row r="10" spans="1:10" x14ac:dyDescent="0.3">
      <c r="A10" s="2">
        <v>45116</v>
      </c>
      <c r="B10">
        <v>8.2559900000000006</v>
      </c>
      <c r="C10">
        <v>-163.5</v>
      </c>
      <c r="D10">
        <f t="shared" si="0"/>
        <v>26732.25</v>
      </c>
      <c r="E10">
        <f t="shared" si="2"/>
        <v>-1349.8543650000001</v>
      </c>
      <c r="F10">
        <f t="shared" si="1"/>
        <v>1.768516265747311</v>
      </c>
      <c r="G10">
        <f t="shared" ref="G10:G73" si="6">B10-F10</f>
        <v>6.4874737342526894</v>
      </c>
      <c r="H10">
        <f t="shared" si="3"/>
        <v>42.087315452618533</v>
      </c>
      <c r="I10">
        <f t="shared" si="4"/>
        <v>1.9481903105863931E-2</v>
      </c>
      <c r="J10">
        <f t="shared" si="5"/>
        <v>1.9481903105863931</v>
      </c>
    </row>
    <row r="11" spans="1:10" x14ac:dyDescent="0.3">
      <c r="A11" s="2">
        <v>45109</v>
      </c>
      <c r="B11">
        <v>6.9215999999999998</v>
      </c>
      <c r="C11">
        <v>-162.5</v>
      </c>
      <c r="D11">
        <f t="shared" si="0"/>
        <v>26406.25</v>
      </c>
      <c r="E11">
        <f t="shared" si="2"/>
        <v>-1124.76</v>
      </c>
      <c r="F11">
        <f t="shared" si="1"/>
        <v>1.7628732424213456</v>
      </c>
      <c r="G11">
        <f t="shared" si="6"/>
        <v>5.1587267575786537</v>
      </c>
      <c r="H11">
        <f t="shared" si="3"/>
        <v>26.61246175935797</v>
      </c>
      <c r="I11">
        <f t="shared" si="4"/>
        <v>1.5491671944680641E-2</v>
      </c>
      <c r="J11">
        <f t="shared" si="5"/>
        <v>1.5491671944680641</v>
      </c>
    </row>
    <row r="12" spans="1:10" x14ac:dyDescent="0.3">
      <c r="A12" s="2">
        <v>45102</v>
      </c>
      <c r="B12">
        <v>5.6996900000000004</v>
      </c>
      <c r="C12">
        <v>-161.5</v>
      </c>
      <c r="D12">
        <f t="shared" si="0"/>
        <v>26082.25</v>
      </c>
      <c r="E12">
        <f t="shared" si="2"/>
        <v>-920.49993500000005</v>
      </c>
      <c r="F12">
        <f t="shared" si="1"/>
        <v>1.7572302190953799</v>
      </c>
      <c r="G12">
        <f t="shared" si="6"/>
        <v>3.9424597809046205</v>
      </c>
      <c r="H12">
        <f t="shared" si="3"/>
        <v>15.542989124050507</v>
      </c>
      <c r="I12">
        <f t="shared" si="4"/>
        <v>1.1839218561275136E-2</v>
      </c>
      <c r="J12">
        <f t="shared" si="5"/>
        <v>1.1839218561275135</v>
      </c>
    </row>
    <row r="13" spans="1:10" x14ac:dyDescent="0.3">
      <c r="A13" s="2">
        <v>45095</v>
      </c>
      <c r="B13">
        <v>4.4709300000000001</v>
      </c>
      <c r="C13">
        <v>-160.5</v>
      </c>
      <c r="D13">
        <f t="shared" si="0"/>
        <v>25760.25</v>
      </c>
      <c r="E13">
        <f t="shared" si="2"/>
        <v>-717.58426499999996</v>
      </c>
      <c r="F13">
        <f t="shared" si="1"/>
        <v>1.7515871957694147</v>
      </c>
      <c r="G13">
        <f t="shared" si="6"/>
        <v>2.7193428042305854</v>
      </c>
      <c r="H13">
        <f t="shared" si="3"/>
        <v>7.3948252869206641</v>
      </c>
      <c r="I13">
        <f t="shared" si="4"/>
        <v>8.1661946072990547E-3</v>
      </c>
      <c r="J13">
        <f t="shared" si="5"/>
        <v>0.81661946072990543</v>
      </c>
    </row>
    <row r="14" spans="1:10" x14ac:dyDescent="0.3">
      <c r="A14" s="2">
        <v>45088</v>
      </c>
      <c r="B14">
        <v>3.4844599999999999</v>
      </c>
      <c r="C14">
        <v>-159.5</v>
      </c>
      <c r="D14">
        <f t="shared" si="0"/>
        <v>25440.25</v>
      </c>
      <c r="E14">
        <f t="shared" si="2"/>
        <v>-555.77136999999993</v>
      </c>
      <c r="F14">
        <f t="shared" si="1"/>
        <v>1.745944172443449</v>
      </c>
      <c r="G14">
        <f t="shared" si="6"/>
        <v>1.7385158275565509</v>
      </c>
      <c r="H14">
        <f t="shared" si="3"/>
        <v>3.0224372826646388</v>
      </c>
      <c r="I14">
        <f t="shared" si="4"/>
        <v>5.2207682509205731E-3</v>
      </c>
      <c r="J14">
        <f t="shared" si="5"/>
        <v>0.52207682509205733</v>
      </c>
    </row>
    <row r="15" spans="1:10" x14ac:dyDescent="0.3">
      <c r="A15" s="2">
        <v>45081</v>
      </c>
      <c r="B15">
        <v>2.8697699999999999</v>
      </c>
      <c r="C15">
        <v>-158.5</v>
      </c>
      <c r="D15">
        <f t="shared" si="0"/>
        <v>25122.25</v>
      </c>
      <c r="E15">
        <f t="shared" si="2"/>
        <v>-454.85854499999999</v>
      </c>
      <c r="F15">
        <f t="shared" si="1"/>
        <v>1.7403011491174836</v>
      </c>
      <c r="G15">
        <f t="shared" si="6"/>
        <v>1.1294688508825164</v>
      </c>
      <c r="H15">
        <f t="shared" si="3"/>
        <v>1.2756998851138719</v>
      </c>
      <c r="I15">
        <f t="shared" si="4"/>
        <v>3.3917983509985476E-3</v>
      </c>
      <c r="J15">
        <f t="shared" si="5"/>
        <v>0.33917983509985478</v>
      </c>
    </row>
    <row r="16" spans="1:10" x14ac:dyDescent="0.3">
      <c r="A16" s="2">
        <v>45074</v>
      </c>
      <c r="B16">
        <v>2.24404</v>
      </c>
      <c r="C16">
        <v>-157.5</v>
      </c>
      <c r="D16">
        <f t="shared" si="0"/>
        <v>24806.25</v>
      </c>
      <c r="E16">
        <f t="shared" si="2"/>
        <v>-353.43630000000002</v>
      </c>
      <c r="F16">
        <f t="shared" si="1"/>
        <v>1.7346581257915181</v>
      </c>
      <c r="G16">
        <f t="shared" si="6"/>
        <v>0.50938187420848191</v>
      </c>
      <c r="H16">
        <f t="shared" si="3"/>
        <v>0.25946989377214569</v>
      </c>
      <c r="I16">
        <f t="shared" si="4"/>
        <v>1.529675297923369E-3</v>
      </c>
      <c r="J16">
        <f t="shared" si="5"/>
        <v>0.15296752979233691</v>
      </c>
    </row>
    <row r="17" spans="1:10" x14ac:dyDescent="0.3">
      <c r="A17" s="2">
        <v>45067</v>
      </c>
      <c r="B17">
        <v>1.7784199999999999</v>
      </c>
      <c r="C17">
        <v>-156.5</v>
      </c>
      <c r="D17">
        <f t="shared" si="0"/>
        <v>24492.25</v>
      </c>
      <c r="E17">
        <f t="shared" si="2"/>
        <v>-278.32272999999998</v>
      </c>
      <c r="F17">
        <f t="shared" si="1"/>
        <v>1.7290151024655525</v>
      </c>
      <c r="G17">
        <f t="shared" si="6"/>
        <v>4.9404897534447434E-2</v>
      </c>
      <c r="H17">
        <f t="shared" si="3"/>
        <v>2.44084390038925E-3</v>
      </c>
      <c r="I17">
        <f t="shared" si="4"/>
        <v>1.483630556590013E-4</v>
      </c>
      <c r="J17">
        <f t="shared" si="5"/>
        <v>1.483630556590013E-2</v>
      </c>
    </row>
    <row r="18" spans="1:10" x14ac:dyDescent="0.3">
      <c r="A18" s="2">
        <v>45060</v>
      </c>
      <c r="B18">
        <v>1.67282</v>
      </c>
      <c r="C18">
        <v>-155.5</v>
      </c>
      <c r="D18">
        <f t="shared" si="0"/>
        <v>24180.25</v>
      </c>
      <c r="E18">
        <f t="shared" si="2"/>
        <v>-260.12351000000001</v>
      </c>
      <c r="F18">
        <f t="shared" si="1"/>
        <v>1.723372079139587</v>
      </c>
      <c r="G18">
        <f t="shared" si="6"/>
        <v>-5.0552079139587036E-2</v>
      </c>
      <c r="H18">
        <f t="shared" si="3"/>
        <v>2.555512705335071E-3</v>
      </c>
      <c r="I18">
        <f t="shared" si="4"/>
        <v>1.5180804546422534E-4</v>
      </c>
      <c r="J18">
        <f t="shared" si="5"/>
        <v>1.5180804546422535E-2</v>
      </c>
    </row>
    <row r="19" spans="1:10" x14ac:dyDescent="0.3">
      <c r="A19" s="2">
        <v>45053</v>
      </c>
      <c r="B19">
        <v>1.73115</v>
      </c>
      <c r="C19">
        <v>-154.5</v>
      </c>
      <c r="D19">
        <f t="shared" si="0"/>
        <v>23870.25</v>
      </c>
      <c r="E19">
        <f t="shared" si="2"/>
        <v>-267.46267499999999</v>
      </c>
      <c r="F19">
        <f t="shared" si="1"/>
        <v>1.7177290558136216</v>
      </c>
      <c r="G19">
        <f t="shared" si="6"/>
        <v>1.3420944186378403E-2</v>
      </c>
      <c r="H19">
        <f t="shared" si="3"/>
        <v>1.8012174285388425E-4</v>
      </c>
      <c r="I19">
        <f t="shared" si="4"/>
        <v>4.0303135694830037E-5</v>
      </c>
      <c r="J19">
        <f t="shared" si="5"/>
        <v>4.0303135694830039E-3</v>
      </c>
    </row>
    <row r="20" spans="1:10" x14ac:dyDescent="0.3">
      <c r="A20" s="2">
        <v>45046</v>
      </c>
      <c r="B20">
        <v>1.6161799999999999</v>
      </c>
      <c r="C20">
        <v>-153.5</v>
      </c>
      <c r="D20">
        <f t="shared" si="0"/>
        <v>23562.25</v>
      </c>
      <c r="E20">
        <f t="shared" si="2"/>
        <v>-248.08363</v>
      </c>
      <c r="F20">
        <f t="shared" si="1"/>
        <v>1.7120860324876559</v>
      </c>
      <c r="G20">
        <f t="shared" si="6"/>
        <v>-9.5906032487655946E-2</v>
      </c>
      <c r="H20">
        <f t="shared" si="3"/>
        <v>9.1979670675233181E-3</v>
      </c>
      <c r="I20">
        <f t="shared" si="4"/>
        <v>2.8800610356653436E-4</v>
      </c>
      <c r="J20">
        <f t="shared" si="5"/>
        <v>2.8800610356653437E-2</v>
      </c>
    </row>
    <row r="21" spans="1:10" x14ac:dyDescent="0.3">
      <c r="A21" s="2">
        <v>45039</v>
      </c>
      <c r="B21">
        <v>1.6389100000000001</v>
      </c>
      <c r="C21">
        <v>-152.5</v>
      </c>
      <c r="D21">
        <f t="shared" si="0"/>
        <v>23256.25</v>
      </c>
      <c r="E21">
        <f t="shared" si="2"/>
        <v>-249.93377500000003</v>
      </c>
      <c r="F21">
        <f t="shared" si="1"/>
        <v>1.7064430091616907</v>
      </c>
      <c r="G21">
        <f t="shared" si="6"/>
        <v>-6.7533009161690583E-2</v>
      </c>
      <c r="H21">
        <f t="shared" si="3"/>
        <v>4.5607073264329846E-3</v>
      </c>
      <c r="I21">
        <f t="shared" si="4"/>
        <v>2.0280182931438614E-4</v>
      </c>
      <c r="J21">
        <f t="shared" si="5"/>
        <v>2.0280182931438615E-2</v>
      </c>
    </row>
    <row r="22" spans="1:10" x14ac:dyDescent="0.3">
      <c r="A22" s="2">
        <v>45032</v>
      </c>
      <c r="B22">
        <v>1.2909600000000001</v>
      </c>
      <c r="C22">
        <v>-151.5</v>
      </c>
      <c r="D22">
        <f t="shared" si="0"/>
        <v>22952.25</v>
      </c>
      <c r="E22">
        <f t="shared" si="2"/>
        <v>-195.58044000000001</v>
      </c>
      <c r="F22">
        <f t="shared" si="1"/>
        <v>1.700799985835725</v>
      </c>
      <c r="G22">
        <f t="shared" si="6"/>
        <v>-0.4098399858357249</v>
      </c>
      <c r="H22">
        <f t="shared" si="3"/>
        <v>0.16796881398982719</v>
      </c>
      <c r="I22">
        <f t="shared" si="4"/>
        <v>1.2307507082153901E-3</v>
      </c>
      <c r="J22">
        <f t="shared" si="5"/>
        <v>0.12307507082153901</v>
      </c>
    </row>
    <row r="23" spans="1:10" x14ac:dyDescent="0.3">
      <c r="A23" s="2">
        <v>45025</v>
      </c>
      <c r="B23">
        <v>1.0703100000000001</v>
      </c>
      <c r="C23">
        <v>-150.5</v>
      </c>
      <c r="D23">
        <f t="shared" si="0"/>
        <v>22650.25</v>
      </c>
      <c r="E23">
        <f t="shared" si="2"/>
        <v>-161.08165500000001</v>
      </c>
      <c r="F23">
        <f t="shared" si="1"/>
        <v>1.6951569625097596</v>
      </c>
      <c r="G23">
        <f t="shared" si="6"/>
        <v>-0.62484696250975946</v>
      </c>
      <c r="H23">
        <f t="shared" si="3"/>
        <v>0.39043372655767272</v>
      </c>
      <c r="I23">
        <f t="shared" si="4"/>
        <v>1.8764173048341124E-3</v>
      </c>
      <c r="J23">
        <f t="shared" si="5"/>
        <v>0.18764173048341123</v>
      </c>
    </row>
    <row r="24" spans="1:10" x14ac:dyDescent="0.3">
      <c r="A24" s="2">
        <v>45018</v>
      </c>
      <c r="B24">
        <v>0.98753000000000002</v>
      </c>
      <c r="C24">
        <v>-149.5</v>
      </c>
      <c r="D24">
        <f t="shared" si="0"/>
        <v>22350.25</v>
      </c>
      <c r="E24">
        <f t="shared" si="2"/>
        <v>-147.63573500000001</v>
      </c>
      <c r="F24">
        <f t="shared" si="1"/>
        <v>1.6895139391837941</v>
      </c>
      <c r="G24">
        <f t="shared" si="6"/>
        <v>-0.70198393918379409</v>
      </c>
      <c r="H24">
        <f t="shared" si="3"/>
        <v>0.49278145087199671</v>
      </c>
      <c r="I24">
        <f t="shared" si="4"/>
        <v>2.1080598774288113E-3</v>
      </c>
      <c r="J24">
        <f t="shared" si="5"/>
        <v>0.21080598774288112</v>
      </c>
    </row>
    <row r="25" spans="1:10" x14ac:dyDescent="0.3">
      <c r="A25" s="2">
        <v>45011</v>
      </c>
      <c r="B25">
        <v>1.0590999999999999</v>
      </c>
      <c r="C25">
        <v>-148.5</v>
      </c>
      <c r="D25">
        <f t="shared" si="0"/>
        <v>22052.25</v>
      </c>
      <c r="E25">
        <f t="shared" si="2"/>
        <v>-157.27634999999998</v>
      </c>
      <c r="F25">
        <f t="shared" si="1"/>
        <v>1.6838709158578284</v>
      </c>
      <c r="G25">
        <f t="shared" si="6"/>
        <v>-0.62477091585782851</v>
      </c>
      <c r="H25">
        <f t="shared" si="3"/>
        <v>0.39033869730182985</v>
      </c>
      <c r="I25">
        <f t="shared" si="4"/>
        <v>1.8761889365099956E-3</v>
      </c>
      <c r="J25">
        <f t="shared" si="5"/>
        <v>0.18761889365099957</v>
      </c>
    </row>
    <row r="26" spans="1:10" x14ac:dyDescent="0.3">
      <c r="A26" s="2">
        <v>45004</v>
      </c>
      <c r="B26">
        <v>1.10243</v>
      </c>
      <c r="C26">
        <v>-147.5</v>
      </c>
      <c r="D26">
        <f t="shared" si="0"/>
        <v>21756.25</v>
      </c>
      <c r="E26">
        <f t="shared" si="2"/>
        <v>-162.60842500000001</v>
      </c>
      <c r="F26">
        <f t="shared" si="1"/>
        <v>1.678227892531863</v>
      </c>
      <c r="G26">
        <f t="shared" si="6"/>
        <v>-0.57579789253186298</v>
      </c>
      <c r="H26">
        <f t="shared" si="3"/>
        <v>0.33154321304413481</v>
      </c>
      <c r="I26">
        <f t="shared" si="4"/>
        <v>1.729122800395985E-3</v>
      </c>
      <c r="J26">
        <f t="shared" si="5"/>
        <v>0.17291228003959849</v>
      </c>
    </row>
    <row r="27" spans="1:10" x14ac:dyDescent="0.3">
      <c r="A27" s="2">
        <v>44997</v>
      </c>
      <c r="B27">
        <v>1.2567999999999999</v>
      </c>
      <c r="C27">
        <v>-146.5</v>
      </c>
      <c r="D27">
        <f t="shared" si="0"/>
        <v>21462.25</v>
      </c>
      <c r="E27">
        <f t="shared" si="2"/>
        <v>-184.12119999999999</v>
      </c>
      <c r="F27">
        <f t="shared" si="1"/>
        <v>1.6725848692058976</v>
      </c>
      <c r="G27">
        <f t="shared" si="6"/>
        <v>-0.41578486920589763</v>
      </c>
      <c r="H27">
        <f t="shared" si="3"/>
        <v>0.17287705746056539</v>
      </c>
      <c r="I27">
        <f t="shared" si="4"/>
        <v>1.2486032108285213E-3</v>
      </c>
      <c r="J27">
        <f t="shared" si="5"/>
        <v>0.12486032108285214</v>
      </c>
    </row>
    <row r="28" spans="1:10" x14ac:dyDescent="0.3">
      <c r="A28" s="2">
        <v>44990</v>
      </c>
      <c r="B28">
        <v>1.12626</v>
      </c>
      <c r="C28">
        <v>-145.5</v>
      </c>
      <c r="D28">
        <f t="shared" si="0"/>
        <v>21170.25</v>
      </c>
      <c r="E28">
        <f t="shared" si="2"/>
        <v>-163.87083000000001</v>
      </c>
      <c r="F28">
        <f t="shared" si="1"/>
        <v>1.6669418458799319</v>
      </c>
      <c r="G28">
        <f t="shared" si="6"/>
        <v>-0.54068184587993184</v>
      </c>
      <c r="H28">
        <f t="shared" si="3"/>
        <v>0.29233685846413038</v>
      </c>
      <c r="I28">
        <f t="shared" si="4"/>
        <v>1.6236692068466421E-3</v>
      </c>
      <c r="J28">
        <f t="shared" si="5"/>
        <v>0.16236692068466421</v>
      </c>
    </row>
    <row r="29" spans="1:10" x14ac:dyDescent="0.3">
      <c r="A29" s="2">
        <v>44983</v>
      </c>
      <c r="B29">
        <v>1.1971400000000001</v>
      </c>
      <c r="C29">
        <v>-144.5</v>
      </c>
      <c r="D29">
        <f t="shared" si="0"/>
        <v>20880.25</v>
      </c>
      <c r="E29">
        <f t="shared" si="2"/>
        <v>-172.98673000000002</v>
      </c>
      <c r="F29">
        <f t="shared" si="1"/>
        <v>1.6612988225539667</v>
      </c>
      <c r="G29">
        <f t="shared" si="6"/>
        <v>-0.46415882255396657</v>
      </c>
      <c r="H29">
        <f t="shared" si="3"/>
        <v>0.21544341255468463</v>
      </c>
      <c r="I29">
        <f t="shared" si="4"/>
        <v>1.3938703379998995E-3</v>
      </c>
      <c r="J29">
        <f t="shared" si="5"/>
        <v>0.13938703379998996</v>
      </c>
    </row>
    <row r="30" spans="1:10" x14ac:dyDescent="0.3">
      <c r="A30" s="2">
        <v>44976</v>
      </c>
      <c r="B30">
        <v>1.24579</v>
      </c>
      <c r="C30">
        <v>-143.5</v>
      </c>
      <c r="D30">
        <f t="shared" si="0"/>
        <v>20592.25</v>
      </c>
      <c r="E30">
        <f t="shared" si="2"/>
        <v>-178.77086499999999</v>
      </c>
      <c r="F30">
        <f t="shared" si="1"/>
        <v>1.655655799228001</v>
      </c>
      <c r="G30">
        <f t="shared" si="6"/>
        <v>-0.40986579922800104</v>
      </c>
      <c r="H30">
        <f t="shared" si="3"/>
        <v>0.16798997337680804</v>
      </c>
      <c r="I30">
        <f t="shared" si="4"/>
        <v>1.230828225909913E-3</v>
      </c>
      <c r="J30">
        <f t="shared" si="5"/>
        <v>0.12308282259099129</v>
      </c>
    </row>
    <row r="31" spans="1:10" x14ac:dyDescent="0.3">
      <c r="A31" s="2">
        <v>44969</v>
      </c>
      <c r="B31">
        <v>1.13646</v>
      </c>
      <c r="C31">
        <v>-142.5</v>
      </c>
      <c r="D31">
        <f t="shared" si="0"/>
        <v>20306.25</v>
      </c>
      <c r="E31">
        <f t="shared" si="2"/>
        <v>-161.94555</v>
      </c>
      <c r="F31">
        <f t="shared" si="1"/>
        <v>1.6500127759020355</v>
      </c>
      <c r="G31">
        <f t="shared" si="6"/>
        <v>-0.51355277590203552</v>
      </c>
      <c r="H31">
        <f t="shared" si="3"/>
        <v>0.2637364536366863</v>
      </c>
      <c r="I31">
        <f t="shared" si="4"/>
        <v>1.5422005282343409E-3</v>
      </c>
      <c r="J31">
        <f t="shared" si="5"/>
        <v>0.1542200528234341</v>
      </c>
    </row>
    <row r="32" spans="1:10" x14ac:dyDescent="0.3">
      <c r="A32" s="2">
        <v>44962</v>
      </c>
      <c r="B32">
        <v>1.1140099999999999</v>
      </c>
      <c r="C32">
        <v>-141.5</v>
      </c>
      <c r="D32">
        <f t="shared" si="0"/>
        <v>20022.25</v>
      </c>
      <c r="E32">
        <f t="shared" si="2"/>
        <v>-157.63241499999998</v>
      </c>
      <c r="F32">
        <f t="shared" si="1"/>
        <v>1.6443697525760701</v>
      </c>
      <c r="G32">
        <f t="shared" si="6"/>
        <v>-0.53035975257607015</v>
      </c>
      <c r="H32">
        <f t="shared" si="3"/>
        <v>0.28128146715255037</v>
      </c>
      <c r="I32">
        <f t="shared" si="4"/>
        <v>1.5926719296578684E-3</v>
      </c>
      <c r="J32">
        <f t="shared" si="5"/>
        <v>0.15926719296578684</v>
      </c>
    </row>
    <row r="33" spans="1:10" x14ac:dyDescent="0.3">
      <c r="A33" s="2">
        <v>44955</v>
      </c>
      <c r="B33">
        <v>1.22502</v>
      </c>
      <c r="C33">
        <v>-140.5</v>
      </c>
      <c r="D33">
        <f t="shared" si="0"/>
        <v>19740.25</v>
      </c>
      <c r="E33">
        <f t="shared" si="2"/>
        <v>-172.11530999999999</v>
      </c>
      <c r="F33">
        <f t="shared" si="1"/>
        <v>1.6387267292501044</v>
      </c>
      <c r="G33">
        <f t="shared" si="6"/>
        <v>-0.41370672925010443</v>
      </c>
      <c r="H33">
        <f t="shared" si="3"/>
        <v>0.17115325782681923</v>
      </c>
      <c r="I33">
        <f t="shared" si="4"/>
        <v>1.242362550300614E-3</v>
      </c>
      <c r="J33">
        <f t="shared" si="5"/>
        <v>0.1242362550300614</v>
      </c>
    </row>
    <row r="34" spans="1:10" x14ac:dyDescent="0.3">
      <c r="A34" s="2">
        <v>44948</v>
      </c>
      <c r="B34">
        <v>1.2963499999999999</v>
      </c>
      <c r="C34">
        <v>-139.5</v>
      </c>
      <c r="D34">
        <f t="shared" si="0"/>
        <v>19460.25</v>
      </c>
      <c r="E34">
        <f t="shared" si="2"/>
        <v>-180.840825</v>
      </c>
      <c r="F34">
        <f t="shared" si="1"/>
        <v>1.6330837059241392</v>
      </c>
      <c r="G34">
        <f t="shared" si="6"/>
        <v>-0.33673370592413931</v>
      </c>
      <c r="H34">
        <f t="shared" si="3"/>
        <v>0.11338958870540473</v>
      </c>
      <c r="I34">
        <f t="shared" si="4"/>
        <v>1.0112123301025205E-3</v>
      </c>
      <c r="J34">
        <f t="shared" si="5"/>
        <v>0.10112123301025204</v>
      </c>
    </row>
    <row r="35" spans="1:10" x14ac:dyDescent="0.3">
      <c r="A35" s="2">
        <v>44941</v>
      </c>
      <c r="B35">
        <v>1.3423499999999999</v>
      </c>
      <c r="C35">
        <v>-138.5</v>
      </c>
      <c r="D35">
        <f t="shared" si="0"/>
        <v>19182.25</v>
      </c>
      <c r="E35">
        <f t="shared" si="2"/>
        <v>-185.91547499999999</v>
      </c>
      <c r="F35">
        <f t="shared" si="1"/>
        <v>1.6274406825981735</v>
      </c>
      <c r="G35">
        <f t="shared" si="6"/>
        <v>-0.28509068259817361</v>
      </c>
      <c r="H35">
        <f t="shared" si="3"/>
        <v>8.1276697304292572E-2</v>
      </c>
      <c r="I35">
        <f t="shared" si="4"/>
        <v>8.5612817597049127E-4</v>
      </c>
      <c r="J35">
        <f t="shared" si="5"/>
        <v>8.5612817597049126E-2</v>
      </c>
    </row>
    <row r="36" spans="1:10" x14ac:dyDescent="0.3">
      <c r="A36" s="2">
        <v>44934</v>
      </c>
      <c r="B36">
        <v>1.3094399999999999</v>
      </c>
      <c r="C36">
        <v>-137.5</v>
      </c>
      <c r="D36">
        <f t="shared" si="0"/>
        <v>18906.25</v>
      </c>
      <c r="E36">
        <f t="shared" si="2"/>
        <v>-180.048</v>
      </c>
      <c r="F36">
        <f t="shared" si="1"/>
        <v>1.6217976592722081</v>
      </c>
      <c r="G36">
        <f t="shared" si="6"/>
        <v>-0.31235765927220815</v>
      </c>
      <c r="H36">
        <f t="shared" si="3"/>
        <v>9.7567307306012888E-2</v>
      </c>
      <c r="I36">
        <f t="shared" si="4"/>
        <v>9.3801098880542987E-4</v>
      </c>
      <c r="J36">
        <f t="shared" si="5"/>
        <v>9.3801098880542985E-2</v>
      </c>
    </row>
    <row r="37" spans="1:10" x14ac:dyDescent="0.3">
      <c r="A37" s="2">
        <v>44927</v>
      </c>
      <c r="B37">
        <v>1.44496</v>
      </c>
      <c r="C37">
        <v>-136.5</v>
      </c>
      <c r="D37">
        <f t="shared" si="0"/>
        <v>18632.25</v>
      </c>
      <c r="E37">
        <f t="shared" si="2"/>
        <v>-197.23704000000001</v>
      </c>
      <c r="F37">
        <f t="shared" si="1"/>
        <v>1.6161546359462426</v>
      </c>
      <c r="G37">
        <f t="shared" si="6"/>
        <v>-0.17119463594624262</v>
      </c>
      <c r="H37">
        <f t="shared" si="3"/>
        <v>2.9307603376766547E-2</v>
      </c>
      <c r="I37">
        <f t="shared" si="4"/>
        <v>5.1409800584457249E-4</v>
      </c>
      <c r="J37">
        <f t="shared" si="5"/>
        <v>5.1409800584457252E-2</v>
      </c>
    </row>
    <row r="38" spans="1:10" x14ac:dyDescent="0.3">
      <c r="A38" s="2">
        <v>44920</v>
      </c>
      <c r="B38">
        <v>1.1918</v>
      </c>
      <c r="C38">
        <v>-135.5</v>
      </c>
      <c r="D38">
        <f t="shared" si="0"/>
        <v>18360.25</v>
      </c>
      <c r="E38">
        <f t="shared" si="2"/>
        <v>-161.4889</v>
      </c>
      <c r="F38">
        <f t="shared" si="1"/>
        <v>1.610511612620277</v>
      </c>
      <c r="G38">
        <f t="shared" si="6"/>
        <v>-0.41871161262027701</v>
      </c>
      <c r="H38">
        <f t="shared" si="3"/>
        <v>0.17531941454307293</v>
      </c>
      <c r="I38">
        <f t="shared" si="4"/>
        <v>1.257392230090922E-3</v>
      </c>
      <c r="J38">
        <f t="shared" si="5"/>
        <v>0.12573922300909221</v>
      </c>
    </row>
    <row r="39" spans="1:10" x14ac:dyDescent="0.3">
      <c r="A39" s="2">
        <v>44913</v>
      </c>
      <c r="B39">
        <v>1.32996</v>
      </c>
      <c r="C39">
        <v>-134.5</v>
      </c>
      <c r="D39">
        <f t="shared" si="0"/>
        <v>18090.25</v>
      </c>
      <c r="E39">
        <f t="shared" si="2"/>
        <v>-178.87962000000002</v>
      </c>
      <c r="F39">
        <f t="shared" si="1"/>
        <v>1.6048685892943115</v>
      </c>
      <c r="G39">
        <f t="shared" si="6"/>
        <v>-0.2749085892943115</v>
      </c>
      <c r="H39">
        <f t="shared" si="3"/>
        <v>7.5574732467788439E-2</v>
      </c>
      <c r="I39">
        <f t="shared" si="4"/>
        <v>8.2555131920213662E-4</v>
      </c>
      <c r="J39">
        <f t="shared" si="5"/>
        <v>8.2555131920213659E-2</v>
      </c>
    </row>
    <row r="40" spans="1:10" x14ac:dyDescent="0.3">
      <c r="A40" s="2">
        <v>44906</v>
      </c>
      <c r="B40">
        <v>1.3944399999999999</v>
      </c>
      <c r="C40">
        <v>-133.5</v>
      </c>
      <c r="D40">
        <f t="shared" si="0"/>
        <v>17822.25</v>
      </c>
      <c r="E40">
        <f t="shared" si="2"/>
        <v>-186.15773999999999</v>
      </c>
      <c r="F40">
        <f t="shared" si="1"/>
        <v>1.5992255659683461</v>
      </c>
      <c r="G40">
        <f t="shared" si="6"/>
        <v>-0.20478556596834618</v>
      </c>
      <c r="H40">
        <f t="shared" si="3"/>
        <v>4.1937128028975867E-2</v>
      </c>
      <c r="I40">
        <f t="shared" si="4"/>
        <v>6.1497166957461317E-4</v>
      </c>
      <c r="J40">
        <f t="shared" si="5"/>
        <v>6.1497166957461318E-2</v>
      </c>
    </row>
    <row r="41" spans="1:10" x14ac:dyDescent="0.3">
      <c r="A41" s="2">
        <v>44899</v>
      </c>
      <c r="B41">
        <v>1.45584</v>
      </c>
      <c r="C41">
        <v>-132.5</v>
      </c>
      <c r="D41">
        <f t="shared" si="0"/>
        <v>17556.25</v>
      </c>
      <c r="E41">
        <f t="shared" si="2"/>
        <v>-192.89879999999999</v>
      </c>
      <c r="F41">
        <f t="shared" si="1"/>
        <v>1.5935825426423804</v>
      </c>
      <c r="G41">
        <f t="shared" si="6"/>
        <v>-0.13774254264238039</v>
      </c>
      <c r="H41">
        <f t="shared" si="3"/>
        <v>1.8973008053587981E-2</v>
      </c>
      <c r="I41">
        <f t="shared" si="4"/>
        <v>4.136412691963375E-4</v>
      </c>
      <c r="J41">
        <f t="shared" si="5"/>
        <v>4.1364126919633752E-2</v>
      </c>
    </row>
    <row r="42" spans="1:10" x14ac:dyDescent="0.3">
      <c r="A42" s="2">
        <v>44892</v>
      </c>
      <c r="B42">
        <v>1.4665299999999999</v>
      </c>
      <c r="C42">
        <v>-131.5</v>
      </c>
      <c r="D42">
        <f t="shared" si="0"/>
        <v>17292.25</v>
      </c>
      <c r="E42">
        <f t="shared" si="2"/>
        <v>-192.84869499999999</v>
      </c>
      <c r="F42">
        <f t="shared" si="1"/>
        <v>1.5879395193164152</v>
      </c>
      <c r="G42">
        <f t="shared" si="6"/>
        <v>-0.1214095193164153</v>
      </c>
      <c r="H42">
        <f t="shared" si="3"/>
        <v>1.4740271380643022E-2</v>
      </c>
      <c r="I42">
        <f t="shared" si="4"/>
        <v>3.6459315110034624E-4</v>
      </c>
      <c r="J42">
        <f t="shared" si="5"/>
        <v>3.6459315110034626E-2</v>
      </c>
    </row>
    <row r="43" spans="1:10" x14ac:dyDescent="0.3">
      <c r="A43" s="2">
        <v>44885</v>
      </c>
      <c r="B43">
        <v>1.54358</v>
      </c>
      <c r="C43">
        <v>-130.5</v>
      </c>
      <c r="D43">
        <f t="shared" si="0"/>
        <v>17030.25</v>
      </c>
      <c r="E43">
        <f t="shared" si="2"/>
        <v>-201.43718999999999</v>
      </c>
      <c r="F43">
        <f t="shared" si="1"/>
        <v>1.5822964959904495</v>
      </c>
      <c r="G43">
        <f t="shared" si="6"/>
        <v>-3.8716495990449573E-2</v>
      </c>
      <c r="H43">
        <f t="shared" si="3"/>
        <v>1.4989670617784978E-3</v>
      </c>
      <c r="I43">
        <f t="shared" si="4"/>
        <v>1.1626575372507379E-4</v>
      </c>
      <c r="J43">
        <f t="shared" si="5"/>
        <v>1.1626575372507379E-2</v>
      </c>
    </row>
    <row r="44" spans="1:10" x14ac:dyDescent="0.3">
      <c r="A44" s="2">
        <v>44878</v>
      </c>
      <c r="B44">
        <v>1.52197</v>
      </c>
      <c r="C44">
        <v>-129.5</v>
      </c>
      <c r="D44">
        <f t="shared" si="0"/>
        <v>16770.25</v>
      </c>
      <c r="E44">
        <f t="shared" si="2"/>
        <v>-197.09511499999999</v>
      </c>
      <c r="F44">
        <f t="shared" si="1"/>
        <v>1.5766534726644841</v>
      </c>
      <c r="G44">
        <f t="shared" si="6"/>
        <v>-5.4683472664484034E-2</v>
      </c>
      <c r="H44">
        <f t="shared" si="3"/>
        <v>2.9902821826473724E-3</v>
      </c>
      <c r="I44">
        <f t="shared" si="4"/>
        <v>1.6421463262607819E-4</v>
      </c>
      <c r="J44">
        <f t="shared" si="5"/>
        <v>1.6421463262607818E-2</v>
      </c>
    </row>
    <row r="45" spans="1:10" x14ac:dyDescent="0.3">
      <c r="A45" s="2">
        <v>44871</v>
      </c>
      <c r="B45">
        <v>1.4643600000000001</v>
      </c>
      <c r="C45">
        <v>-128.5</v>
      </c>
      <c r="D45">
        <f t="shared" si="0"/>
        <v>16512.25</v>
      </c>
      <c r="E45">
        <f t="shared" si="2"/>
        <v>-188.17026000000001</v>
      </c>
      <c r="F45">
        <f t="shared" si="1"/>
        <v>1.5710104493385186</v>
      </c>
      <c r="G45">
        <f t="shared" si="6"/>
        <v>-0.10665044933851853</v>
      </c>
      <c r="H45">
        <f t="shared" si="3"/>
        <v>1.1374318344107907E-2</v>
      </c>
      <c r="I45">
        <f t="shared" si="4"/>
        <v>3.2027161963519077E-4</v>
      </c>
      <c r="J45">
        <f t="shared" si="5"/>
        <v>3.2027161963519075E-2</v>
      </c>
    </row>
    <row r="46" spans="1:10" x14ac:dyDescent="0.3">
      <c r="A46" s="2">
        <v>44864</v>
      </c>
      <c r="B46">
        <v>1.4724999999999999</v>
      </c>
      <c r="C46">
        <v>-127.5</v>
      </c>
      <c r="D46">
        <f t="shared" si="0"/>
        <v>16256.25</v>
      </c>
      <c r="E46">
        <f t="shared" si="2"/>
        <v>-187.74374999999998</v>
      </c>
      <c r="F46">
        <f t="shared" si="1"/>
        <v>1.565367426012553</v>
      </c>
      <c r="G46">
        <f t="shared" si="6"/>
        <v>-9.2867426012553045E-2</v>
      </c>
      <c r="H46">
        <f t="shared" si="3"/>
        <v>8.624358814197014E-3</v>
      </c>
      <c r="I46">
        <f t="shared" si="4"/>
        <v>2.7888115919685598E-4</v>
      </c>
      <c r="J46">
        <f t="shared" si="5"/>
        <v>2.7888115919685597E-2</v>
      </c>
    </row>
    <row r="47" spans="1:10" x14ac:dyDescent="0.3">
      <c r="A47" s="2">
        <v>44857</v>
      </c>
      <c r="B47">
        <v>1.4607399999999999</v>
      </c>
      <c r="C47">
        <v>-126.5</v>
      </c>
      <c r="D47">
        <f t="shared" si="0"/>
        <v>16002.25</v>
      </c>
      <c r="E47">
        <f t="shared" si="2"/>
        <v>-184.78360999999998</v>
      </c>
      <c r="F47">
        <f t="shared" si="1"/>
        <v>1.5597244026865875</v>
      </c>
      <c r="G47">
        <f t="shared" si="6"/>
        <v>-9.8984402686587591E-2</v>
      </c>
      <c r="H47">
        <f t="shared" si="3"/>
        <v>9.7979119752205288E-3</v>
      </c>
      <c r="I47">
        <f t="shared" si="4"/>
        <v>2.9725045851828106E-4</v>
      </c>
      <c r="J47">
        <f t="shared" si="5"/>
        <v>2.9725045851828107E-2</v>
      </c>
    </row>
    <row r="48" spans="1:10" x14ac:dyDescent="0.3">
      <c r="A48" s="2">
        <v>44850</v>
      </c>
      <c r="B48">
        <v>1.4462200000000001</v>
      </c>
      <c r="C48">
        <v>-125.5</v>
      </c>
      <c r="D48">
        <f t="shared" si="0"/>
        <v>15750.25</v>
      </c>
      <c r="E48">
        <f t="shared" si="2"/>
        <v>-181.50060999999999</v>
      </c>
      <c r="F48">
        <f t="shared" si="1"/>
        <v>1.5540813793606221</v>
      </c>
      <c r="G48">
        <f t="shared" si="6"/>
        <v>-0.10786137936062201</v>
      </c>
      <c r="H48">
        <f t="shared" si="3"/>
        <v>1.1634077157576016E-2</v>
      </c>
      <c r="I48">
        <f t="shared" si="4"/>
        <v>3.2390804612799403E-4</v>
      </c>
      <c r="J48">
        <f t="shared" si="5"/>
        <v>3.2390804612799404E-2</v>
      </c>
    </row>
    <row r="49" spans="1:10" x14ac:dyDescent="0.3">
      <c r="A49" s="2">
        <v>44843</v>
      </c>
      <c r="B49">
        <v>1.53234</v>
      </c>
      <c r="C49">
        <v>-124.5</v>
      </c>
      <c r="D49">
        <f t="shared" si="0"/>
        <v>15500.25</v>
      </c>
      <c r="E49">
        <f t="shared" si="2"/>
        <v>-190.77633</v>
      </c>
      <c r="F49">
        <f t="shared" si="1"/>
        <v>1.5484383560346564</v>
      </c>
      <c r="G49">
        <f t="shared" si="6"/>
        <v>-1.6098356034656369E-2</v>
      </c>
      <c r="H49">
        <f t="shared" si="3"/>
        <v>2.5915706701855714E-4</v>
      </c>
      <c r="I49">
        <f t="shared" si="4"/>
        <v>4.8343411515484592E-5</v>
      </c>
      <c r="J49">
        <f t="shared" si="5"/>
        <v>4.8343411515484594E-3</v>
      </c>
    </row>
    <row r="50" spans="1:10" x14ac:dyDescent="0.3">
      <c r="A50" s="2">
        <v>44836</v>
      </c>
      <c r="B50">
        <v>1.54989</v>
      </c>
      <c r="C50">
        <v>-123.5</v>
      </c>
      <c r="D50">
        <f t="shared" si="0"/>
        <v>15252.25</v>
      </c>
      <c r="E50">
        <f t="shared" si="2"/>
        <v>-191.41141500000001</v>
      </c>
      <c r="F50">
        <f t="shared" si="1"/>
        <v>1.5427953327086912</v>
      </c>
      <c r="G50">
        <f t="shared" si="6"/>
        <v>7.0946672913088094E-3</v>
      </c>
      <c r="H50">
        <f t="shared" si="3"/>
        <v>5.0334303974367077E-5</v>
      </c>
      <c r="I50">
        <f t="shared" si="4"/>
        <v>2.1305307181107536E-5</v>
      </c>
      <c r="J50">
        <f t="shared" si="5"/>
        <v>2.1305307181107534E-3</v>
      </c>
    </row>
    <row r="51" spans="1:10" x14ac:dyDescent="0.3">
      <c r="A51" s="2">
        <v>44829</v>
      </c>
      <c r="B51">
        <v>1.64964</v>
      </c>
      <c r="C51">
        <v>-122.5</v>
      </c>
      <c r="D51">
        <f t="shared" si="0"/>
        <v>15006.25</v>
      </c>
      <c r="E51">
        <f t="shared" si="2"/>
        <v>-202.08089999999999</v>
      </c>
      <c r="F51">
        <f t="shared" si="1"/>
        <v>1.5371523093827255</v>
      </c>
      <c r="G51">
        <f t="shared" si="6"/>
        <v>0.11248769061727448</v>
      </c>
      <c r="H51">
        <f t="shared" si="3"/>
        <v>1.2653480540407661E-2</v>
      </c>
      <c r="I51">
        <f t="shared" si="4"/>
        <v>3.3780087272454798E-4</v>
      </c>
      <c r="J51">
        <f t="shared" si="5"/>
        <v>3.3780087272454795E-2</v>
      </c>
    </row>
    <row r="52" spans="1:10" x14ac:dyDescent="0.3">
      <c r="A52" s="2">
        <v>44822</v>
      </c>
      <c r="B52">
        <v>1.76298</v>
      </c>
      <c r="C52">
        <v>-121.5</v>
      </c>
      <c r="D52">
        <f t="shared" si="0"/>
        <v>14762.25</v>
      </c>
      <c r="E52">
        <f t="shared" si="2"/>
        <v>-214.20206999999999</v>
      </c>
      <c r="F52">
        <f t="shared" si="1"/>
        <v>1.5315092860567601</v>
      </c>
      <c r="G52">
        <f t="shared" si="6"/>
        <v>0.23147071394323993</v>
      </c>
      <c r="H52">
        <f t="shared" si="3"/>
        <v>5.3578691413393206E-2</v>
      </c>
      <c r="I52">
        <f t="shared" si="4"/>
        <v>6.9510724907879853E-4</v>
      </c>
      <c r="J52">
        <f t="shared" si="5"/>
        <v>6.9510724907879851E-2</v>
      </c>
    </row>
    <row r="53" spans="1:10" x14ac:dyDescent="0.3">
      <c r="A53" s="2">
        <v>44815</v>
      </c>
      <c r="B53">
        <v>1.8178700000000001</v>
      </c>
      <c r="C53">
        <v>-120.5</v>
      </c>
      <c r="D53">
        <f t="shared" si="0"/>
        <v>14520.25</v>
      </c>
      <c r="E53">
        <f t="shared" si="2"/>
        <v>-219.053335</v>
      </c>
      <c r="F53">
        <f t="shared" si="1"/>
        <v>1.5258662627307946</v>
      </c>
      <c r="G53">
        <f t="shared" si="6"/>
        <v>0.29200373726920548</v>
      </c>
      <c r="H53">
        <f t="shared" si="3"/>
        <v>8.5266182579183183E-2</v>
      </c>
      <c r="I53">
        <f t="shared" si="4"/>
        <v>8.7688809990752392E-4</v>
      </c>
      <c r="J53">
        <f t="shared" si="5"/>
        <v>8.7688809990752389E-2</v>
      </c>
    </row>
    <row r="54" spans="1:10" x14ac:dyDescent="0.3">
      <c r="A54" s="2">
        <v>44808</v>
      </c>
      <c r="B54">
        <v>1.8708499999999999</v>
      </c>
      <c r="C54">
        <v>-119.5</v>
      </c>
      <c r="D54">
        <f t="shared" si="0"/>
        <v>14280.25</v>
      </c>
      <c r="E54">
        <f t="shared" si="2"/>
        <v>-223.566575</v>
      </c>
      <c r="F54">
        <f t="shared" si="1"/>
        <v>1.520223239404829</v>
      </c>
      <c r="G54">
        <f t="shared" si="6"/>
        <v>0.35062676059517095</v>
      </c>
      <c r="H54">
        <f t="shared" si="3"/>
        <v>0.12293912524546333</v>
      </c>
      <c r="I54">
        <f t="shared" si="4"/>
        <v>1.0529332150005133E-3</v>
      </c>
      <c r="J54">
        <f t="shared" si="5"/>
        <v>0.10529332150005133</v>
      </c>
    </row>
    <row r="55" spans="1:10" x14ac:dyDescent="0.3">
      <c r="A55" s="2">
        <v>44801</v>
      </c>
      <c r="B55">
        <v>1.9569099999999999</v>
      </c>
      <c r="C55">
        <v>-118.5</v>
      </c>
      <c r="D55">
        <f t="shared" si="0"/>
        <v>14042.25</v>
      </c>
      <c r="E55">
        <f t="shared" si="2"/>
        <v>-231.893835</v>
      </c>
      <c r="F55">
        <f t="shared" si="1"/>
        <v>1.5145802160788635</v>
      </c>
      <c r="G55">
        <f t="shared" si="6"/>
        <v>0.44232978392113642</v>
      </c>
      <c r="H55">
        <f t="shared" si="3"/>
        <v>0.19565563774371925</v>
      </c>
      <c r="I55">
        <f t="shared" si="4"/>
        <v>1.3283176694328421E-3</v>
      </c>
      <c r="J55">
        <f t="shared" si="5"/>
        <v>0.13283176694328422</v>
      </c>
    </row>
    <row r="56" spans="1:10" x14ac:dyDescent="0.3">
      <c r="A56" s="2">
        <v>44794</v>
      </c>
      <c r="B56">
        <v>1.9342900000000001</v>
      </c>
      <c r="C56">
        <v>-117.5</v>
      </c>
      <c r="D56">
        <f t="shared" si="0"/>
        <v>13806.25</v>
      </c>
      <c r="E56">
        <f t="shared" si="2"/>
        <v>-227.27907500000001</v>
      </c>
      <c r="F56">
        <f t="shared" si="1"/>
        <v>1.5089371927528981</v>
      </c>
      <c r="G56">
        <f t="shared" si="6"/>
        <v>0.425352807247102</v>
      </c>
      <c r="H56">
        <f t="shared" si="3"/>
        <v>0.18092501063299032</v>
      </c>
      <c r="I56">
        <f t="shared" si="4"/>
        <v>1.2773357574988049E-3</v>
      </c>
      <c r="J56">
        <f t="shared" si="5"/>
        <v>0.12773357574988048</v>
      </c>
    </row>
    <row r="57" spans="1:10" x14ac:dyDescent="0.3">
      <c r="A57" s="2">
        <v>44787</v>
      </c>
      <c r="B57">
        <v>2.1316600000000001</v>
      </c>
      <c r="C57">
        <v>-116.5</v>
      </c>
      <c r="D57">
        <f t="shared" si="0"/>
        <v>13572.25</v>
      </c>
      <c r="E57">
        <f t="shared" si="2"/>
        <v>-248.33839</v>
      </c>
      <c r="F57">
        <f t="shared" si="1"/>
        <v>1.5032941694269324</v>
      </c>
      <c r="G57">
        <f t="shared" si="6"/>
        <v>0.62836583057306772</v>
      </c>
      <c r="H57">
        <f t="shared" si="3"/>
        <v>0.39484361703178122</v>
      </c>
      <c r="I57">
        <f t="shared" si="4"/>
        <v>1.8869844761953986E-3</v>
      </c>
      <c r="J57">
        <f t="shared" si="5"/>
        <v>0.18869844761953986</v>
      </c>
    </row>
    <row r="58" spans="1:10" x14ac:dyDescent="0.3">
      <c r="A58" s="2">
        <v>44780</v>
      </c>
      <c r="B58">
        <v>2.1269200000000001</v>
      </c>
      <c r="C58">
        <v>-115.5</v>
      </c>
      <c r="D58">
        <f t="shared" si="0"/>
        <v>13340.25</v>
      </c>
      <c r="E58">
        <f t="shared" si="2"/>
        <v>-245.65926000000002</v>
      </c>
      <c r="F58">
        <f t="shared" si="1"/>
        <v>1.4976511461009672</v>
      </c>
      <c r="G58">
        <f t="shared" si="6"/>
        <v>0.62926885389903298</v>
      </c>
      <c r="H58">
        <f t="shared" si="3"/>
        <v>0.39597929048740249</v>
      </c>
      <c r="I58">
        <f t="shared" si="4"/>
        <v>1.889696257955054E-3</v>
      </c>
      <c r="J58">
        <f t="shared" si="5"/>
        <v>0.18896962579550539</v>
      </c>
    </row>
    <row r="59" spans="1:10" x14ac:dyDescent="0.3">
      <c r="A59" s="2">
        <v>44773</v>
      </c>
      <c r="B59">
        <v>2.1755300000000002</v>
      </c>
      <c r="C59">
        <v>-114.5</v>
      </c>
      <c r="D59">
        <f t="shared" si="0"/>
        <v>13110.25</v>
      </c>
      <c r="E59">
        <f t="shared" si="2"/>
        <v>-249.09818500000003</v>
      </c>
      <c r="F59">
        <f t="shared" si="1"/>
        <v>1.4920081227750015</v>
      </c>
      <c r="G59">
        <f t="shared" si="6"/>
        <v>0.68352187722499869</v>
      </c>
      <c r="H59">
        <f t="shared" si="3"/>
        <v>0.46720215664518616</v>
      </c>
      <c r="I59">
        <f t="shared" si="4"/>
        <v>2.052618249924921E-3</v>
      </c>
      <c r="J59">
        <f t="shared" si="5"/>
        <v>0.2052618249924921</v>
      </c>
    </row>
    <row r="60" spans="1:10" x14ac:dyDescent="0.3">
      <c r="A60" s="2">
        <v>44766</v>
      </c>
      <c r="B60">
        <v>1.7503899999999999</v>
      </c>
      <c r="C60">
        <v>-113.5</v>
      </c>
      <c r="D60">
        <f t="shared" si="0"/>
        <v>12882.25</v>
      </c>
      <c r="E60">
        <f t="shared" si="2"/>
        <v>-198.669265</v>
      </c>
      <c r="F60">
        <f t="shared" si="1"/>
        <v>1.4863650994490361</v>
      </c>
      <c r="G60">
        <f t="shared" si="6"/>
        <v>0.26402490055096384</v>
      </c>
      <c r="H60">
        <f t="shared" si="3"/>
        <v>6.9709148110946348E-2</v>
      </c>
      <c r="I60">
        <f t="shared" si="4"/>
        <v>7.9286756922211361E-4</v>
      </c>
      <c r="J60">
        <f t="shared" si="5"/>
        <v>7.9286756922211363E-2</v>
      </c>
    </row>
    <row r="61" spans="1:10" x14ac:dyDescent="0.3">
      <c r="A61" s="2">
        <v>44759</v>
      </c>
      <c r="B61">
        <v>1.73939</v>
      </c>
      <c r="C61">
        <v>-112.5</v>
      </c>
      <c r="D61">
        <f t="shared" si="0"/>
        <v>12656.25</v>
      </c>
      <c r="E61">
        <f t="shared" si="2"/>
        <v>-195.681375</v>
      </c>
      <c r="F61">
        <f t="shared" si="1"/>
        <v>1.4807220761230706</v>
      </c>
      <c r="G61">
        <f t="shared" si="6"/>
        <v>0.25866792387692938</v>
      </c>
      <c r="H61">
        <f t="shared" si="3"/>
        <v>6.6909094842800929E-2</v>
      </c>
      <c r="I61">
        <f t="shared" si="4"/>
        <v>7.7678055218297114E-4</v>
      </c>
      <c r="J61">
        <f t="shared" si="5"/>
        <v>7.7678055218297112E-2</v>
      </c>
    </row>
    <row r="62" spans="1:10" x14ac:dyDescent="0.3">
      <c r="A62" s="2">
        <v>44752</v>
      </c>
      <c r="B62">
        <v>1.61575</v>
      </c>
      <c r="C62">
        <v>-111.5</v>
      </c>
      <c r="D62">
        <f t="shared" si="0"/>
        <v>12432.25</v>
      </c>
      <c r="E62">
        <f t="shared" si="2"/>
        <v>-180.156125</v>
      </c>
      <c r="F62">
        <f t="shared" si="1"/>
        <v>1.4750790527971049</v>
      </c>
      <c r="G62">
        <f t="shared" si="6"/>
        <v>0.14067094720289508</v>
      </c>
      <c r="H62">
        <f t="shared" si="3"/>
        <v>1.9788315386959694E-2</v>
      </c>
      <c r="I62">
        <f t="shared" si="4"/>
        <v>4.2243527688557082E-4</v>
      </c>
      <c r="J62">
        <f t="shared" si="5"/>
        <v>4.2243527688557082E-2</v>
      </c>
    </row>
    <row r="63" spans="1:10" x14ac:dyDescent="0.3">
      <c r="A63" s="2">
        <v>44745</v>
      </c>
      <c r="B63">
        <v>1.53623</v>
      </c>
      <c r="C63">
        <v>-110.5</v>
      </c>
      <c r="D63">
        <f t="shared" si="0"/>
        <v>12210.25</v>
      </c>
      <c r="E63">
        <f t="shared" si="2"/>
        <v>-169.75341499999999</v>
      </c>
      <c r="F63">
        <f t="shared" si="1"/>
        <v>1.4694360294711397</v>
      </c>
      <c r="G63">
        <f t="shared" si="6"/>
        <v>6.6793970528860269E-2</v>
      </c>
      <c r="H63">
        <f t="shared" si="3"/>
        <v>4.4614344990102544E-3</v>
      </c>
      <c r="I63">
        <f t="shared" si="4"/>
        <v>2.0058249408066146E-4</v>
      </c>
      <c r="J63">
        <f t="shared" si="5"/>
        <v>2.0058249408066147E-2</v>
      </c>
    </row>
    <row r="64" spans="1:10" x14ac:dyDescent="0.3">
      <c r="A64" s="2">
        <v>44738</v>
      </c>
      <c r="B64">
        <v>1.59287</v>
      </c>
      <c r="C64">
        <v>-109.5</v>
      </c>
      <c r="D64">
        <f t="shared" si="0"/>
        <v>11990.25</v>
      </c>
      <c r="E64">
        <f t="shared" si="2"/>
        <v>-174.419265</v>
      </c>
      <c r="F64">
        <f t="shared" si="1"/>
        <v>1.463793006145174</v>
      </c>
      <c r="G64">
        <f t="shared" si="6"/>
        <v>0.12907699385482596</v>
      </c>
      <c r="H64">
        <f t="shared" si="3"/>
        <v>1.666087034259878E-2</v>
      </c>
      <c r="I64">
        <f t="shared" si="4"/>
        <v>3.8761860016464254E-4</v>
      </c>
      <c r="J64">
        <f t="shared" si="5"/>
        <v>3.8761860016464256E-2</v>
      </c>
    </row>
    <row r="65" spans="1:10" x14ac:dyDescent="0.3">
      <c r="A65" s="2">
        <v>44731</v>
      </c>
      <c r="B65">
        <v>1.4758</v>
      </c>
      <c r="C65">
        <v>-108.5</v>
      </c>
      <c r="D65">
        <f t="shared" si="0"/>
        <v>11772.25</v>
      </c>
      <c r="E65">
        <f t="shared" si="2"/>
        <v>-160.12430000000001</v>
      </c>
      <c r="F65">
        <f t="shared" si="1"/>
        <v>1.4581499828192086</v>
      </c>
      <c r="G65">
        <f t="shared" si="6"/>
        <v>1.76500171807914E-2</v>
      </c>
      <c r="H65">
        <f t="shared" si="3"/>
        <v>3.1152310648223158E-4</v>
      </c>
      <c r="I65">
        <f t="shared" si="4"/>
        <v>5.3003054596971171E-5</v>
      </c>
      <c r="J65">
        <f t="shared" si="5"/>
        <v>5.3003054596971171E-3</v>
      </c>
    </row>
    <row r="66" spans="1:10" x14ac:dyDescent="0.3">
      <c r="A66" s="2">
        <v>44724</v>
      </c>
      <c r="B66">
        <v>1.56219</v>
      </c>
      <c r="C66">
        <v>-107.5</v>
      </c>
      <c r="D66">
        <f t="shared" si="0"/>
        <v>11556.25</v>
      </c>
      <c r="E66">
        <f t="shared" si="2"/>
        <v>-167.93542500000001</v>
      </c>
      <c r="F66">
        <f t="shared" si="1"/>
        <v>1.4525069594932432</v>
      </c>
      <c r="G66">
        <f t="shared" si="6"/>
        <v>0.10968304050675681</v>
      </c>
      <c r="H66">
        <f t="shared" si="3"/>
        <v>1.2030369374806857E-2</v>
      </c>
      <c r="I66">
        <f t="shared" si="4"/>
        <v>3.2937850002029071E-4</v>
      </c>
      <c r="J66">
        <f t="shared" si="5"/>
        <v>3.2937850002029069E-2</v>
      </c>
    </row>
    <row r="67" spans="1:10" x14ac:dyDescent="0.3">
      <c r="A67" s="2">
        <v>44717</v>
      </c>
      <c r="B67">
        <v>1.67879</v>
      </c>
      <c r="C67">
        <v>-106.5</v>
      </c>
      <c r="D67">
        <f t="shared" si="0"/>
        <v>11342.25</v>
      </c>
      <c r="E67">
        <f t="shared" si="2"/>
        <v>-178.791135</v>
      </c>
      <c r="F67">
        <f t="shared" si="1"/>
        <v>1.4468639361672775</v>
      </c>
      <c r="G67">
        <f t="shared" si="6"/>
        <v>0.23192606383272252</v>
      </c>
      <c r="H67">
        <f t="shared" si="3"/>
        <v>5.3789699084940079E-2</v>
      </c>
      <c r="I67">
        <f t="shared" si="4"/>
        <v>6.9647466616433191E-4</v>
      </c>
      <c r="J67">
        <f t="shared" si="5"/>
        <v>6.9647466616433187E-2</v>
      </c>
    </row>
    <row r="68" spans="1:10" x14ac:dyDescent="0.3">
      <c r="A68" s="2">
        <v>44710</v>
      </c>
      <c r="B68">
        <v>1.6269199999999999</v>
      </c>
      <c r="C68">
        <v>-105.5</v>
      </c>
      <c r="D68">
        <f t="shared" si="0"/>
        <v>11130.25</v>
      </c>
      <c r="E68">
        <f t="shared" si="2"/>
        <v>-171.64006000000001</v>
      </c>
      <c r="F68">
        <f t="shared" si="1"/>
        <v>1.441220912841312</v>
      </c>
      <c r="G68">
        <f t="shared" si="6"/>
        <v>0.18569908715868788</v>
      </c>
      <c r="H68">
        <f t="shared" si="3"/>
        <v>3.4484150971569962E-2</v>
      </c>
      <c r="I68">
        <f t="shared" si="4"/>
        <v>5.5765491639245615E-4</v>
      </c>
      <c r="J68">
        <f t="shared" si="5"/>
        <v>5.5765491639245615E-2</v>
      </c>
    </row>
    <row r="69" spans="1:10" x14ac:dyDescent="0.3">
      <c r="A69" s="2">
        <v>44703</v>
      </c>
      <c r="B69">
        <v>1.7356</v>
      </c>
      <c r="C69">
        <v>-104.5</v>
      </c>
      <c r="D69">
        <f t="shared" si="0"/>
        <v>10920.25</v>
      </c>
      <c r="E69">
        <f t="shared" si="2"/>
        <v>-181.37020000000001</v>
      </c>
      <c r="F69">
        <f t="shared" si="1"/>
        <v>1.4355778895153466</v>
      </c>
      <c r="G69">
        <f t="shared" si="6"/>
        <v>0.30002211048465344</v>
      </c>
      <c r="H69">
        <f t="shared" si="3"/>
        <v>9.0013266779665591E-2</v>
      </c>
      <c r="I69">
        <f t="shared" si="4"/>
        <v>9.0096729875271302E-4</v>
      </c>
      <c r="J69">
        <f t="shared" si="5"/>
        <v>9.00967298752713E-2</v>
      </c>
    </row>
    <row r="70" spans="1:10" x14ac:dyDescent="0.3">
      <c r="A70" s="2">
        <v>44696</v>
      </c>
      <c r="B70">
        <v>1.7002900000000001</v>
      </c>
      <c r="C70">
        <v>-103.5</v>
      </c>
      <c r="D70">
        <f t="shared" si="0"/>
        <v>10712.25</v>
      </c>
      <c r="E70">
        <f t="shared" si="2"/>
        <v>-175.98001500000001</v>
      </c>
      <c r="F70">
        <f t="shared" si="1"/>
        <v>1.4299348661893809</v>
      </c>
      <c r="G70">
        <f t="shared" si="6"/>
        <v>0.27035513381061915</v>
      </c>
      <c r="H70">
        <f t="shared" si="3"/>
        <v>7.3091898377757786E-2</v>
      </c>
      <c r="I70">
        <f t="shared" si="4"/>
        <v>8.1187727871056799E-4</v>
      </c>
      <c r="J70">
        <f t="shared" si="5"/>
        <v>8.1187727871056797E-2</v>
      </c>
    </row>
    <row r="71" spans="1:10" x14ac:dyDescent="0.3">
      <c r="A71" s="2">
        <v>44689</v>
      </c>
      <c r="B71">
        <v>2.0986099999999999</v>
      </c>
      <c r="C71">
        <v>-102.5</v>
      </c>
      <c r="D71">
        <f t="shared" si="0"/>
        <v>10506.25</v>
      </c>
      <c r="E71">
        <f t="shared" si="2"/>
        <v>-215.10752499999998</v>
      </c>
      <c r="F71">
        <f t="shared" si="1"/>
        <v>1.4242918428634157</v>
      </c>
      <c r="G71">
        <f t="shared" si="6"/>
        <v>0.67431815713658416</v>
      </c>
      <c r="H71">
        <f t="shared" si="3"/>
        <v>0.45470497704407903</v>
      </c>
      <c r="I71">
        <f t="shared" si="4"/>
        <v>2.0249794508606133E-3</v>
      </c>
      <c r="J71">
        <f t="shared" si="5"/>
        <v>0.20249794508606134</v>
      </c>
    </row>
    <row r="72" spans="1:10" x14ac:dyDescent="0.3">
      <c r="A72" s="2">
        <v>44682</v>
      </c>
      <c r="B72">
        <v>2.1353</v>
      </c>
      <c r="C72">
        <v>-101.5</v>
      </c>
      <c r="D72">
        <f t="shared" ref="D72:D135" si="7">C72*C72</f>
        <v>10302.25</v>
      </c>
      <c r="E72">
        <f t="shared" si="2"/>
        <v>-216.73294999999999</v>
      </c>
      <c r="F72">
        <f t="shared" ref="F72:F135" si="8">$G$3+$G$4*(C72)</f>
        <v>1.41864881953745</v>
      </c>
      <c r="G72">
        <f t="shared" si="6"/>
        <v>0.71665118046254994</v>
      </c>
      <c r="H72">
        <f t="shared" si="3"/>
        <v>0.5135889144583663</v>
      </c>
      <c r="I72">
        <f t="shared" si="4"/>
        <v>2.1521056470346846E-3</v>
      </c>
      <c r="J72">
        <f t="shared" si="5"/>
        <v>0.21521056470346847</v>
      </c>
    </row>
    <row r="73" spans="1:10" x14ac:dyDescent="0.3">
      <c r="A73" s="2">
        <v>44675</v>
      </c>
      <c r="B73">
        <v>1.6746799999999999</v>
      </c>
      <c r="C73">
        <v>-100.5</v>
      </c>
      <c r="D73">
        <f t="shared" si="7"/>
        <v>10100.25</v>
      </c>
      <c r="E73">
        <f t="shared" ref="E73:E136" si="9">C73*B73</f>
        <v>-168.30534</v>
      </c>
      <c r="F73">
        <f t="shared" si="8"/>
        <v>1.4130057962114846</v>
      </c>
      <c r="G73">
        <f t="shared" si="6"/>
        <v>0.26167420378851536</v>
      </c>
      <c r="H73">
        <f t="shared" ref="H73:H136" si="10">G73*G73</f>
        <v>6.847338892835346E-2</v>
      </c>
      <c r="I73">
        <f t="shared" ref="I73:I136" si="11">ABS(G73)/$G$2</f>
        <v>7.8580841978533142E-4</v>
      </c>
      <c r="J73">
        <f t="shared" ref="J73:J136" si="12">I73*100</f>
        <v>7.8580841978533142E-2</v>
      </c>
    </row>
    <row r="74" spans="1:10" x14ac:dyDescent="0.3">
      <c r="A74" s="2">
        <v>44668</v>
      </c>
      <c r="B74">
        <v>1.5709299999999999</v>
      </c>
      <c r="C74">
        <v>-99.5</v>
      </c>
      <c r="D74">
        <f t="shared" si="7"/>
        <v>9900.25</v>
      </c>
      <c r="E74">
        <f t="shared" si="9"/>
        <v>-156.307535</v>
      </c>
      <c r="F74">
        <f t="shared" si="8"/>
        <v>1.4073627728855191</v>
      </c>
      <c r="G74">
        <f t="shared" ref="G74:G137" si="13">B74-F74</f>
        <v>0.1635672271144808</v>
      </c>
      <c r="H74">
        <f t="shared" si="10"/>
        <v>2.6754237785920142E-2</v>
      </c>
      <c r="I74">
        <f t="shared" si="11"/>
        <v>4.9119287421766006E-4</v>
      </c>
      <c r="J74">
        <f t="shared" si="12"/>
        <v>4.9119287421766009E-2</v>
      </c>
    </row>
    <row r="75" spans="1:10" x14ac:dyDescent="0.3">
      <c r="A75" s="2">
        <v>44661</v>
      </c>
      <c r="B75">
        <v>1.67259</v>
      </c>
      <c r="C75">
        <v>-98.5</v>
      </c>
      <c r="D75">
        <f t="shared" si="7"/>
        <v>9702.25</v>
      </c>
      <c r="E75">
        <f t="shared" si="9"/>
        <v>-164.75011499999999</v>
      </c>
      <c r="F75">
        <f t="shared" si="8"/>
        <v>1.4017197495595535</v>
      </c>
      <c r="G75">
        <f t="shared" si="13"/>
        <v>0.27087025044044655</v>
      </c>
      <c r="H75">
        <f t="shared" si="10"/>
        <v>7.3370692573670238E-2</v>
      </c>
      <c r="I75">
        <f t="shared" si="11"/>
        <v>8.1342417549683645E-4</v>
      </c>
      <c r="J75">
        <f t="shared" si="12"/>
        <v>8.1342417549683646E-2</v>
      </c>
    </row>
    <row r="76" spans="1:10" x14ac:dyDescent="0.3">
      <c r="A76" s="2">
        <v>44654</v>
      </c>
      <c r="B76">
        <v>1.36473</v>
      </c>
      <c r="C76">
        <v>-97.5</v>
      </c>
      <c r="D76">
        <f t="shared" si="7"/>
        <v>9506.25</v>
      </c>
      <c r="E76">
        <f t="shared" si="9"/>
        <v>-133.06117499999999</v>
      </c>
      <c r="F76">
        <f t="shared" si="8"/>
        <v>1.396076726233588</v>
      </c>
      <c r="G76">
        <f t="shared" si="13"/>
        <v>-3.1346726233588029E-2</v>
      </c>
      <c r="H76">
        <f t="shared" si="10"/>
        <v>9.82617245563516E-4</v>
      </c>
      <c r="I76">
        <f t="shared" si="11"/>
        <v>9.4134313013777865E-5</v>
      </c>
      <c r="J76">
        <f t="shared" si="12"/>
        <v>9.4134313013777872E-3</v>
      </c>
    </row>
    <row r="77" spans="1:10" x14ac:dyDescent="0.3">
      <c r="A77" s="2">
        <v>44647</v>
      </c>
      <c r="B77">
        <v>1.4988900000000001</v>
      </c>
      <c r="C77">
        <v>-96.5</v>
      </c>
      <c r="D77">
        <f t="shared" si="7"/>
        <v>9312.25</v>
      </c>
      <c r="E77">
        <f t="shared" si="9"/>
        <v>-144.64288500000001</v>
      </c>
      <c r="F77">
        <f t="shared" si="8"/>
        <v>1.3904337029076226</v>
      </c>
      <c r="G77">
        <f t="shared" si="13"/>
        <v>0.10845629709237747</v>
      </c>
      <c r="H77">
        <f t="shared" si="10"/>
        <v>1.1762768378990046E-2</v>
      </c>
      <c r="I77">
        <f t="shared" si="11"/>
        <v>3.2569458586299539E-4</v>
      </c>
      <c r="J77">
        <f t="shared" si="12"/>
        <v>3.2569458586299539E-2</v>
      </c>
    </row>
    <row r="78" spans="1:10" x14ac:dyDescent="0.3">
      <c r="A78" s="2">
        <v>44640</v>
      </c>
      <c r="B78">
        <v>1.63585</v>
      </c>
      <c r="C78">
        <v>-95.5</v>
      </c>
      <c r="D78">
        <f t="shared" si="7"/>
        <v>9120.25</v>
      </c>
      <c r="E78">
        <f t="shared" si="9"/>
        <v>-156.22367500000001</v>
      </c>
      <c r="F78">
        <f t="shared" si="8"/>
        <v>1.3847906795816569</v>
      </c>
      <c r="G78">
        <f t="shared" si="13"/>
        <v>0.25105932041834311</v>
      </c>
      <c r="H78">
        <f t="shared" si="10"/>
        <v>6.3030782368920277E-2</v>
      </c>
      <c r="I78">
        <f t="shared" si="11"/>
        <v>7.5393189314817749E-4</v>
      </c>
      <c r="J78">
        <f t="shared" si="12"/>
        <v>7.5393189314817755E-2</v>
      </c>
    </row>
    <row r="79" spans="1:10" x14ac:dyDescent="0.3">
      <c r="A79" s="2">
        <v>44633</v>
      </c>
      <c r="B79">
        <v>1.6508100000000001</v>
      </c>
      <c r="C79">
        <v>-94.5</v>
      </c>
      <c r="D79">
        <f t="shared" si="7"/>
        <v>8930.25</v>
      </c>
      <c r="E79">
        <f t="shared" si="9"/>
        <v>-156.00154500000002</v>
      </c>
      <c r="F79">
        <f t="shared" si="8"/>
        <v>1.3791476562556917</v>
      </c>
      <c r="G79">
        <f t="shared" si="13"/>
        <v>0.27166234374430842</v>
      </c>
      <c r="H79">
        <f t="shared" si="10"/>
        <v>7.3800429008650789E-2</v>
      </c>
      <c r="I79">
        <f t="shared" si="11"/>
        <v>8.1580283406699225E-4</v>
      </c>
      <c r="J79">
        <f t="shared" si="12"/>
        <v>8.1580283406699219E-2</v>
      </c>
    </row>
    <row r="80" spans="1:10" x14ac:dyDescent="0.3">
      <c r="A80" s="2">
        <v>44626</v>
      </c>
      <c r="B80">
        <v>1.70492</v>
      </c>
      <c r="C80">
        <v>-93.5</v>
      </c>
      <c r="D80">
        <f t="shared" si="7"/>
        <v>8742.25</v>
      </c>
      <c r="E80">
        <f t="shared" si="9"/>
        <v>-159.41002</v>
      </c>
      <c r="F80">
        <f t="shared" si="8"/>
        <v>1.373504632929726</v>
      </c>
      <c r="G80">
        <f t="shared" si="13"/>
        <v>0.33141536707027397</v>
      </c>
      <c r="H80">
        <f t="shared" si="10"/>
        <v>0.10983614553032443</v>
      </c>
      <c r="I80">
        <f t="shared" si="11"/>
        <v>9.9524134255337521E-4</v>
      </c>
      <c r="J80">
        <f t="shared" si="12"/>
        <v>9.9524134255337515E-2</v>
      </c>
    </row>
    <row r="81" spans="1:10" x14ac:dyDescent="0.3">
      <c r="A81" s="2">
        <v>44619</v>
      </c>
      <c r="B81">
        <v>1.8113300000000001</v>
      </c>
      <c r="C81">
        <v>-92.5</v>
      </c>
      <c r="D81">
        <f t="shared" si="7"/>
        <v>8556.25</v>
      </c>
      <c r="E81">
        <f t="shared" si="9"/>
        <v>-167.54802500000002</v>
      </c>
      <c r="F81">
        <f t="shared" si="8"/>
        <v>1.3678616096037606</v>
      </c>
      <c r="G81">
        <f t="shared" si="13"/>
        <v>0.44346839039623953</v>
      </c>
      <c r="H81">
        <f t="shared" si="10"/>
        <v>0.19666421328063152</v>
      </c>
      <c r="I81">
        <f t="shared" si="11"/>
        <v>1.3317369080968154E-3</v>
      </c>
      <c r="J81">
        <f t="shared" si="12"/>
        <v>0.13317369080968156</v>
      </c>
    </row>
    <row r="82" spans="1:10" x14ac:dyDescent="0.3">
      <c r="A82" s="2">
        <v>44612</v>
      </c>
      <c r="B82">
        <v>2.03416</v>
      </c>
      <c r="C82">
        <v>-91.5</v>
      </c>
      <c r="D82">
        <f t="shared" si="7"/>
        <v>8372.25</v>
      </c>
      <c r="E82">
        <f t="shared" si="9"/>
        <v>-186.12564</v>
      </c>
      <c r="F82">
        <f t="shared" si="8"/>
        <v>1.3622185862777951</v>
      </c>
      <c r="G82">
        <f t="shared" si="13"/>
        <v>0.67194141372220484</v>
      </c>
      <c r="H82">
        <f t="shared" si="10"/>
        <v>0.45150526347499526</v>
      </c>
      <c r="I82">
        <f t="shared" si="11"/>
        <v>2.0178420832498642E-3</v>
      </c>
      <c r="J82">
        <f t="shared" si="12"/>
        <v>0.20178420832498642</v>
      </c>
    </row>
    <row r="83" spans="1:10" x14ac:dyDescent="0.3">
      <c r="A83" s="2">
        <v>44605</v>
      </c>
      <c r="B83">
        <v>2.1054300000000001</v>
      </c>
      <c r="C83">
        <v>-90.5</v>
      </c>
      <c r="D83">
        <f t="shared" si="7"/>
        <v>8190.25</v>
      </c>
      <c r="E83">
        <f t="shared" si="9"/>
        <v>-190.541415</v>
      </c>
      <c r="F83">
        <f t="shared" si="8"/>
        <v>1.3565755629518295</v>
      </c>
      <c r="G83">
        <f t="shared" si="13"/>
        <v>0.74885443704817067</v>
      </c>
      <c r="H83">
        <f t="shared" si="10"/>
        <v>0.56078296788673265</v>
      </c>
      <c r="I83">
        <f t="shared" si="11"/>
        <v>2.2488121232677799E-3</v>
      </c>
      <c r="J83">
        <f t="shared" si="12"/>
        <v>0.22488121232677799</v>
      </c>
    </row>
    <row r="84" spans="1:10" x14ac:dyDescent="0.3">
      <c r="A84" s="2">
        <v>44598</v>
      </c>
      <c r="B84">
        <v>2.0870099999999998</v>
      </c>
      <c r="C84">
        <v>-89.5</v>
      </c>
      <c r="D84">
        <f t="shared" si="7"/>
        <v>8010.25</v>
      </c>
      <c r="E84">
        <f t="shared" si="9"/>
        <v>-186.78739499999998</v>
      </c>
      <c r="F84">
        <f t="shared" si="8"/>
        <v>1.350932539625864</v>
      </c>
      <c r="G84">
        <f t="shared" si="13"/>
        <v>0.73607746037413579</v>
      </c>
      <c r="H84">
        <f t="shared" si="10"/>
        <v>0.54181002767083741</v>
      </c>
      <c r="I84">
        <f t="shared" si="11"/>
        <v>2.2104428239463538E-3</v>
      </c>
      <c r="J84">
        <f t="shared" si="12"/>
        <v>0.22104428239463539</v>
      </c>
    </row>
    <row r="85" spans="1:10" x14ac:dyDescent="0.3">
      <c r="A85" s="2">
        <v>44591</v>
      </c>
      <c r="B85">
        <v>1.62758</v>
      </c>
      <c r="C85">
        <v>-88.5</v>
      </c>
      <c r="D85">
        <f t="shared" si="7"/>
        <v>7832.25</v>
      </c>
      <c r="E85">
        <f t="shared" si="9"/>
        <v>-144.04083</v>
      </c>
      <c r="F85">
        <f t="shared" si="8"/>
        <v>1.3452895162998986</v>
      </c>
      <c r="G85">
        <f t="shared" si="13"/>
        <v>0.28229048370010146</v>
      </c>
      <c r="H85">
        <f t="shared" si="10"/>
        <v>7.968791718763725E-2</v>
      </c>
      <c r="I85">
        <f t="shared" si="11"/>
        <v>8.4771917027057491E-4</v>
      </c>
      <c r="J85">
        <f t="shared" si="12"/>
        <v>8.4771917027057497E-2</v>
      </c>
    </row>
    <row r="86" spans="1:10" x14ac:dyDescent="0.3">
      <c r="A86" s="2">
        <v>44584</v>
      </c>
      <c r="B86">
        <v>1.57457</v>
      </c>
      <c r="C86">
        <v>-87.5</v>
      </c>
      <c r="D86">
        <f t="shared" si="7"/>
        <v>7656.25</v>
      </c>
      <c r="E86">
        <f t="shared" si="9"/>
        <v>-137.77487500000001</v>
      </c>
      <c r="F86">
        <f t="shared" si="8"/>
        <v>1.3396464929739331</v>
      </c>
      <c r="G86">
        <f t="shared" si="13"/>
        <v>0.2349235070260669</v>
      </c>
      <c r="H86">
        <f t="shared" si="10"/>
        <v>5.5189054153426502E-2</v>
      </c>
      <c r="I86">
        <f t="shared" si="11"/>
        <v>7.0547599707527597E-4</v>
      </c>
      <c r="J86">
        <f t="shared" si="12"/>
        <v>7.0547599707527595E-2</v>
      </c>
    </row>
    <row r="87" spans="1:10" x14ac:dyDescent="0.3">
      <c r="A87" s="2">
        <v>44577</v>
      </c>
      <c r="B87">
        <v>1.64296</v>
      </c>
      <c r="C87">
        <v>-86.5</v>
      </c>
      <c r="D87">
        <f t="shared" si="7"/>
        <v>7482.25</v>
      </c>
      <c r="E87">
        <f t="shared" si="9"/>
        <v>-142.11604</v>
      </c>
      <c r="F87">
        <f t="shared" si="8"/>
        <v>1.3340034696479677</v>
      </c>
      <c r="G87">
        <f t="shared" si="13"/>
        <v>0.3089565303520323</v>
      </c>
      <c r="H87">
        <f t="shared" si="10"/>
        <v>9.5454137647166259E-2</v>
      </c>
      <c r="I87">
        <f t="shared" si="11"/>
        <v>9.2779738844454146E-4</v>
      </c>
      <c r="J87">
        <f t="shared" si="12"/>
        <v>9.2779738844454146E-2</v>
      </c>
    </row>
    <row r="88" spans="1:10" x14ac:dyDescent="0.3">
      <c r="A88" s="2">
        <v>44570</v>
      </c>
      <c r="B88">
        <v>1.8047299999999999</v>
      </c>
      <c r="C88">
        <v>-85.5</v>
      </c>
      <c r="D88">
        <f t="shared" si="7"/>
        <v>7310.25</v>
      </c>
      <c r="E88">
        <f t="shared" si="9"/>
        <v>-154.30441500000001</v>
      </c>
      <c r="F88">
        <f t="shared" si="8"/>
        <v>1.328360446322002</v>
      </c>
      <c r="G88">
        <f t="shared" si="13"/>
        <v>0.47636955367799794</v>
      </c>
      <c r="H88">
        <f t="shared" si="10"/>
        <v>0.22692795167137494</v>
      </c>
      <c r="I88">
        <f t="shared" si="11"/>
        <v>1.4305392002342281E-3</v>
      </c>
      <c r="J88">
        <f t="shared" si="12"/>
        <v>0.14305392002342279</v>
      </c>
    </row>
    <row r="89" spans="1:10" x14ac:dyDescent="0.3">
      <c r="A89" s="2">
        <v>44563</v>
      </c>
      <c r="B89">
        <v>1.74641</v>
      </c>
      <c r="C89">
        <v>-84.5</v>
      </c>
      <c r="D89">
        <f t="shared" si="7"/>
        <v>7140.25</v>
      </c>
      <c r="E89">
        <f t="shared" si="9"/>
        <v>-147.57164499999999</v>
      </c>
      <c r="F89">
        <f t="shared" si="8"/>
        <v>1.3227174229960366</v>
      </c>
      <c r="G89">
        <f t="shared" si="13"/>
        <v>0.42369257700396346</v>
      </c>
      <c r="H89">
        <f t="shared" si="10"/>
        <v>0.17951539980825951</v>
      </c>
      <c r="I89">
        <f t="shared" si="11"/>
        <v>1.2723500810929835E-3</v>
      </c>
      <c r="J89">
        <f t="shared" si="12"/>
        <v>0.12723500810929836</v>
      </c>
    </row>
    <row r="90" spans="1:10" x14ac:dyDescent="0.3">
      <c r="A90" s="2">
        <v>44556</v>
      </c>
      <c r="B90">
        <v>1.7047399999999999</v>
      </c>
      <c r="C90">
        <v>-83.5</v>
      </c>
      <c r="D90">
        <f t="shared" si="7"/>
        <v>6972.25</v>
      </c>
      <c r="E90">
        <f t="shared" si="9"/>
        <v>-142.34578999999999</v>
      </c>
      <c r="F90">
        <f t="shared" si="8"/>
        <v>1.3170743996700711</v>
      </c>
      <c r="G90">
        <f t="shared" si="13"/>
        <v>0.38766560032992881</v>
      </c>
      <c r="H90">
        <f t="shared" si="10"/>
        <v>0.1502846176791641</v>
      </c>
      <c r="I90">
        <f t="shared" si="11"/>
        <v>1.1641609619517381E-3</v>
      </c>
      <c r="J90">
        <f t="shared" si="12"/>
        <v>0.11641609619517382</v>
      </c>
    </row>
    <row r="91" spans="1:10" x14ac:dyDescent="0.3">
      <c r="A91" s="2">
        <v>44549</v>
      </c>
      <c r="B91">
        <v>1.93886</v>
      </c>
      <c r="C91">
        <v>-82.5</v>
      </c>
      <c r="D91">
        <f t="shared" si="7"/>
        <v>6806.25</v>
      </c>
      <c r="E91">
        <f t="shared" si="9"/>
        <v>-159.95595</v>
      </c>
      <c r="F91">
        <f t="shared" si="8"/>
        <v>1.3114313763441054</v>
      </c>
      <c r="G91">
        <f t="shared" si="13"/>
        <v>0.62742862365589458</v>
      </c>
      <c r="H91">
        <f t="shared" si="10"/>
        <v>0.39366667778273018</v>
      </c>
      <c r="I91">
        <f t="shared" si="11"/>
        <v>1.8841700410086924E-3</v>
      </c>
      <c r="J91">
        <f t="shared" si="12"/>
        <v>0.18841700410086926</v>
      </c>
    </row>
    <row r="92" spans="1:10" x14ac:dyDescent="0.3">
      <c r="A92" s="2">
        <v>44542</v>
      </c>
      <c r="B92">
        <v>1.97959</v>
      </c>
      <c r="C92">
        <v>-81.5</v>
      </c>
      <c r="D92">
        <f t="shared" si="7"/>
        <v>6642.25</v>
      </c>
      <c r="E92">
        <f t="shared" si="9"/>
        <v>-161.33658499999999</v>
      </c>
      <c r="F92">
        <f t="shared" si="8"/>
        <v>1.30578835301814</v>
      </c>
      <c r="G92">
        <f t="shared" si="13"/>
        <v>0.67380164698185996</v>
      </c>
      <c r="H92">
        <f t="shared" si="10"/>
        <v>0.45400865947546704</v>
      </c>
      <c r="I92">
        <f t="shared" si="11"/>
        <v>2.0234283693148949E-3</v>
      </c>
      <c r="J92">
        <f t="shared" si="12"/>
        <v>0.20234283693148949</v>
      </c>
    </row>
    <row r="93" spans="1:10" x14ac:dyDescent="0.3">
      <c r="A93" s="2">
        <v>44535</v>
      </c>
      <c r="B93">
        <v>1.93571</v>
      </c>
      <c r="C93">
        <v>-80.5</v>
      </c>
      <c r="D93">
        <f t="shared" si="7"/>
        <v>6480.25</v>
      </c>
      <c r="E93">
        <f t="shared" si="9"/>
        <v>-155.82465500000001</v>
      </c>
      <c r="F93">
        <f t="shared" si="8"/>
        <v>1.3001453296921746</v>
      </c>
      <c r="G93">
        <f t="shared" si="13"/>
        <v>0.63556467030782549</v>
      </c>
      <c r="H93">
        <f t="shared" si="10"/>
        <v>0.40394245014349489</v>
      </c>
      <c r="I93">
        <f t="shared" si="11"/>
        <v>1.9086026135370134E-3</v>
      </c>
      <c r="J93">
        <f t="shared" si="12"/>
        <v>0.19086026135370135</v>
      </c>
    </row>
    <row r="94" spans="1:10" x14ac:dyDescent="0.3">
      <c r="A94" s="2">
        <v>44528</v>
      </c>
      <c r="B94">
        <v>2.4946999999999999</v>
      </c>
      <c r="C94">
        <v>-79.5</v>
      </c>
      <c r="D94">
        <f t="shared" si="7"/>
        <v>6320.25</v>
      </c>
      <c r="E94">
        <f t="shared" si="9"/>
        <v>-198.32864999999998</v>
      </c>
      <c r="F94">
        <f t="shared" si="8"/>
        <v>1.2945023063662091</v>
      </c>
      <c r="G94">
        <f t="shared" si="13"/>
        <v>1.2001976936337908</v>
      </c>
      <c r="H94">
        <f t="shared" si="10"/>
        <v>1.4404745038038709</v>
      </c>
      <c r="I94">
        <f t="shared" si="11"/>
        <v>3.6041972781795518E-3</v>
      </c>
      <c r="J94">
        <f t="shared" si="12"/>
        <v>0.36041972781795517</v>
      </c>
    </row>
    <row r="95" spans="1:10" x14ac:dyDescent="0.3">
      <c r="A95" s="2">
        <v>44521</v>
      </c>
      <c r="B95">
        <v>2.6653099999999998</v>
      </c>
      <c r="C95">
        <v>-78.5</v>
      </c>
      <c r="D95">
        <f t="shared" si="7"/>
        <v>6162.25</v>
      </c>
      <c r="E95">
        <f t="shared" si="9"/>
        <v>-209.22683499999999</v>
      </c>
      <c r="F95">
        <f t="shared" si="8"/>
        <v>1.2888592830402437</v>
      </c>
      <c r="G95">
        <f t="shared" si="13"/>
        <v>1.3764507169597562</v>
      </c>
      <c r="H95">
        <f t="shared" si="10"/>
        <v>1.8946165762190268</v>
      </c>
      <c r="I95">
        <f t="shared" si="11"/>
        <v>4.1334856365157846E-3</v>
      </c>
      <c r="J95">
        <f t="shared" si="12"/>
        <v>0.41334856365157846</v>
      </c>
    </row>
    <row r="96" spans="1:10" x14ac:dyDescent="0.3">
      <c r="A96" s="2">
        <v>44514</v>
      </c>
      <c r="B96">
        <v>2.78254</v>
      </c>
      <c r="C96">
        <v>-77.5</v>
      </c>
      <c r="D96">
        <f t="shared" si="7"/>
        <v>6006.25</v>
      </c>
      <c r="E96">
        <f t="shared" si="9"/>
        <v>-215.64685</v>
      </c>
      <c r="F96">
        <f t="shared" si="8"/>
        <v>1.283216259714278</v>
      </c>
      <c r="G96">
        <f t="shared" si="13"/>
        <v>1.499323740285722</v>
      </c>
      <c r="H96">
        <f t="shared" si="10"/>
        <v>2.2479716781843671</v>
      </c>
      <c r="I96">
        <f t="shared" si="11"/>
        <v>4.5024736945517181E-3</v>
      </c>
      <c r="J96">
        <f t="shared" si="12"/>
        <v>0.4502473694551718</v>
      </c>
    </row>
    <row r="97" spans="1:10" x14ac:dyDescent="0.3">
      <c r="A97" s="2">
        <v>44507</v>
      </c>
      <c r="B97">
        <v>3.0032899999999998</v>
      </c>
      <c r="C97">
        <v>-76.5</v>
      </c>
      <c r="D97">
        <f t="shared" si="7"/>
        <v>5852.25</v>
      </c>
      <c r="E97">
        <f t="shared" si="9"/>
        <v>-229.75168499999998</v>
      </c>
      <c r="F97">
        <f t="shared" si="8"/>
        <v>1.2775732363883125</v>
      </c>
      <c r="G97">
        <f t="shared" si="13"/>
        <v>1.7257167636116872</v>
      </c>
      <c r="H97">
        <f t="shared" si="10"/>
        <v>2.9780983482103962</v>
      </c>
      <c r="I97">
        <f t="shared" si="11"/>
        <v>5.1823326234585205E-3</v>
      </c>
      <c r="J97">
        <f t="shared" si="12"/>
        <v>0.5182332623458521</v>
      </c>
    </row>
    <row r="98" spans="1:10" x14ac:dyDescent="0.3">
      <c r="A98" s="2">
        <v>44500</v>
      </c>
      <c r="B98">
        <v>3.0835699999999999</v>
      </c>
      <c r="C98">
        <v>-75.5</v>
      </c>
      <c r="D98">
        <f t="shared" si="7"/>
        <v>5700.25</v>
      </c>
      <c r="E98">
        <f t="shared" si="9"/>
        <v>-232.80953499999998</v>
      </c>
      <c r="F98">
        <f t="shared" si="8"/>
        <v>1.2719302130623471</v>
      </c>
      <c r="G98">
        <f t="shared" si="13"/>
        <v>1.8116397869376528</v>
      </c>
      <c r="H98">
        <f t="shared" si="10"/>
        <v>3.2820387176155039</v>
      </c>
      <c r="I98">
        <f t="shared" si="11"/>
        <v>5.4403597205334919E-3</v>
      </c>
      <c r="J98">
        <f t="shared" si="12"/>
        <v>0.54403597205334919</v>
      </c>
    </row>
    <row r="99" spans="1:10" x14ac:dyDescent="0.3">
      <c r="A99" s="2">
        <v>44493</v>
      </c>
      <c r="B99">
        <v>3.3207800000000001</v>
      </c>
      <c r="C99">
        <v>-74.5</v>
      </c>
      <c r="D99">
        <f t="shared" si="7"/>
        <v>5550.25</v>
      </c>
      <c r="E99">
        <f t="shared" si="9"/>
        <v>-247.39811</v>
      </c>
      <c r="F99">
        <f t="shared" si="8"/>
        <v>1.2662871897363814</v>
      </c>
      <c r="G99">
        <f t="shared" si="13"/>
        <v>2.0544928102636186</v>
      </c>
      <c r="H99">
        <f t="shared" si="10"/>
        <v>4.2209407074249015</v>
      </c>
      <c r="I99">
        <f t="shared" si="11"/>
        <v>6.1696480788697257E-3</v>
      </c>
      <c r="J99">
        <f t="shared" si="12"/>
        <v>0.61696480788697261</v>
      </c>
    </row>
    <row r="100" spans="1:10" x14ac:dyDescent="0.3">
      <c r="A100" s="2">
        <v>44486</v>
      </c>
      <c r="B100">
        <v>4.2814399999999999</v>
      </c>
      <c r="C100">
        <v>-73.5</v>
      </c>
      <c r="D100">
        <f t="shared" si="7"/>
        <v>5402.25</v>
      </c>
      <c r="E100">
        <f t="shared" si="9"/>
        <v>-314.68583999999998</v>
      </c>
      <c r="F100">
        <f t="shared" si="8"/>
        <v>1.260644166410416</v>
      </c>
      <c r="G100">
        <f t="shared" si="13"/>
        <v>3.0207958335895837</v>
      </c>
      <c r="H100">
        <f t="shared" si="10"/>
        <v>9.1252074682321886</v>
      </c>
      <c r="I100">
        <f t="shared" si="11"/>
        <v>9.07145895972848E-3</v>
      </c>
      <c r="J100">
        <f t="shared" si="12"/>
        <v>0.907145895972848</v>
      </c>
    </row>
    <row r="101" spans="1:10" x14ac:dyDescent="0.3">
      <c r="A101" s="2">
        <v>44479</v>
      </c>
      <c r="B101">
        <v>3.5159799999999999</v>
      </c>
      <c r="C101">
        <v>-72.5</v>
      </c>
      <c r="D101">
        <f t="shared" si="7"/>
        <v>5256.25</v>
      </c>
      <c r="E101">
        <f t="shared" si="9"/>
        <v>-254.90854999999999</v>
      </c>
      <c r="F101">
        <f t="shared" si="8"/>
        <v>1.2550011430844505</v>
      </c>
      <c r="G101">
        <f t="shared" si="13"/>
        <v>2.2609788569155493</v>
      </c>
      <c r="H101">
        <f t="shared" si="10"/>
        <v>5.1120253914191442</v>
      </c>
      <c r="I101">
        <f t="shared" si="11"/>
        <v>6.789726297043692E-3</v>
      </c>
      <c r="J101">
        <f t="shared" si="12"/>
        <v>0.67897262970436922</v>
      </c>
    </row>
    <row r="102" spans="1:10" x14ac:dyDescent="0.3">
      <c r="A102" s="2">
        <v>44472</v>
      </c>
      <c r="B102">
        <v>2.7941500000000001</v>
      </c>
      <c r="C102">
        <v>-71.5</v>
      </c>
      <c r="D102">
        <f t="shared" si="7"/>
        <v>5112.25</v>
      </c>
      <c r="E102">
        <f t="shared" si="9"/>
        <v>-199.78172500000002</v>
      </c>
      <c r="F102">
        <f t="shared" si="8"/>
        <v>1.2493581197584851</v>
      </c>
      <c r="G102">
        <f t="shared" si="13"/>
        <v>1.544791880241515</v>
      </c>
      <c r="H102">
        <f t="shared" si="10"/>
        <v>2.3863819532601154</v>
      </c>
      <c r="I102">
        <f t="shared" si="11"/>
        <v>4.6390146553799251E-3</v>
      </c>
      <c r="J102">
        <f t="shared" si="12"/>
        <v>0.4639014655379925</v>
      </c>
    </row>
    <row r="103" spans="1:10" x14ac:dyDescent="0.3">
      <c r="A103" s="2">
        <v>44465</v>
      </c>
      <c r="B103">
        <v>2.2012200000000002</v>
      </c>
      <c r="C103">
        <v>-70.5</v>
      </c>
      <c r="D103">
        <f t="shared" si="7"/>
        <v>4970.25</v>
      </c>
      <c r="E103">
        <f t="shared" si="9"/>
        <v>-155.18601000000001</v>
      </c>
      <c r="F103">
        <f t="shared" si="8"/>
        <v>1.2437150964325197</v>
      </c>
      <c r="G103">
        <f t="shared" si="13"/>
        <v>0.95750490356748053</v>
      </c>
      <c r="H103">
        <f t="shared" si="10"/>
        <v>0.91681564035577023</v>
      </c>
      <c r="I103">
        <f t="shared" si="11"/>
        <v>2.8753901008032449E-3</v>
      </c>
      <c r="J103">
        <f t="shared" si="12"/>
        <v>0.28753901008032451</v>
      </c>
    </row>
    <row r="104" spans="1:10" x14ac:dyDescent="0.3">
      <c r="A104" s="2">
        <v>44458</v>
      </c>
      <c r="B104">
        <v>1.7297800000000001</v>
      </c>
      <c r="C104">
        <v>-69.5</v>
      </c>
      <c r="D104">
        <f t="shared" si="7"/>
        <v>4830.25</v>
      </c>
      <c r="E104">
        <f t="shared" si="9"/>
        <v>-120.21971000000001</v>
      </c>
      <c r="F104">
        <f t="shared" si="8"/>
        <v>1.238072073106554</v>
      </c>
      <c r="G104">
        <f t="shared" si="13"/>
        <v>0.49170792689344611</v>
      </c>
      <c r="H104">
        <f t="shared" si="10"/>
        <v>0.24177668536985056</v>
      </c>
      <c r="I104">
        <f t="shared" si="11"/>
        <v>1.4766003810613997E-3</v>
      </c>
      <c r="J104">
        <f t="shared" si="12"/>
        <v>0.14766003810613998</v>
      </c>
    </row>
    <row r="105" spans="1:10" x14ac:dyDescent="0.3">
      <c r="A105" s="2">
        <v>44451</v>
      </c>
      <c r="B105">
        <v>1.35903</v>
      </c>
      <c r="C105">
        <v>-68.5</v>
      </c>
      <c r="D105">
        <f t="shared" si="7"/>
        <v>4692.25</v>
      </c>
      <c r="E105">
        <f t="shared" si="9"/>
        <v>-93.093554999999995</v>
      </c>
      <c r="F105">
        <f t="shared" si="8"/>
        <v>1.2324290497805885</v>
      </c>
      <c r="G105">
        <f t="shared" si="13"/>
        <v>0.12660095021941142</v>
      </c>
      <c r="H105">
        <f t="shared" si="10"/>
        <v>1.6027800596457888E-2</v>
      </c>
      <c r="I105">
        <f t="shared" si="11"/>
        <v>3.8018303369192618E-4</v>
      </c>
      <c r="J105">
        <f t="shared" si="12"/>
        <v>3.8018303369192617E-2</v>
      </c>
    </row>
    <row r="106" spans="1:10" x14ac:dyDescent="0.3">
      <c r="A106" s="2">
        <v>44444</v>
      </c>
      <c r="B106">
        <v>1.12747</v>
      </c>
      <c r="C106">
        <v>-67.5</v>
      </c>
      <c r="D106">
        <f t="shared" si="7"/>
        <v>4556.25</v>
      </c>
      <c r="E106">
        <f t="shared" si="9"/>
        <v>-76.104225</v>
      </c>
      <c r="F106">
        <f t="shared" si="8"/>
        <v>1.2267860264546231</v>
      </c>
      <c r="G106">
        <f t="shared" si="13"/>
        <v>-9.9316026454623119E-2</v>
      </c>
      <c r="H106">
        <f t="shared" si="10"/>
        <v>9.8636731107353999E-3</v>
      </c>
      <c r="I106">
        <f t="shared" si="11"/>
        <v>2.9824632568955893E-4</v>
      </c>
      <c r="J106">
        <f t="shared" si="12"/>
        <v>2.9824632568955893E-2</v>
      </c>
    </row>
    <row r="107" spans="1:10" x14ac:dyDescent="0.3">
      <c r="A107" s="2">
        <v>44437</v>
      </c>
      <c r="B107">
        <v>0.87948999999999999</v>
      </c>
      <c r="C107">
        <v>-66.5</v>
      </c>
      <c r="D107">
        <f t="shared" si="7"/>
        <v>4422.25</v>
      </c>
      <c r="E107">
        <f t="shared" si="9"/>
        <v>-58.486085000000003</v>
      </c>
      <c r="F107">
        <f t="shared" si="8"/>
        <v>1.2211430031286574</v>
      </c>
      <c r="G107">
        <f t="shared" si="13"/>
        <v>-0.34165300312865743</v>
      </c>
      <c r="H107">
        <f t="shared" si="10"/>
        <v>0.11672677454683041</v>
      </c>
      <c r="I107">
        <f t="shared" si="11"/>
        <v>1.0259849943803525E-3</v>
      </c>
      <c r="J107">
        <f t="shared" si="12"/>
        <v>0.10259849943803526</v>
      </c>
    </row>
    <row r="108" spans="1:10" x14ac:dyDescent="0.3">
      <c r="A108" s="2">
        <v>44430</v>
      </c>
      <c r="B108">
        <v>0.68311999999999995</v>
      </c>
      <c r="C108">
        <v>-65.5</v>
      </c>
      <c r="D108">
        <f t="shared" si="7"/>
        <v>4290.25</v>
      </c>
      <c r="E108">
        <f t="shared" si="9"/>
        <v>-44.744359999999993</v>
      </c>
      <c r="F108">
        <f t="shared" si="8"/>
        <v>1.215499979802692</v>
      </c>
      <c r="G108">
        <f t="shared" si="13"/>
        <v>-0.53237997980269203</v>
      </c>
      <c r="H108">
        <f t="shared" si="10"/>
        <v>0.28342844289471475</v>
      </c>
      <c r="I108">
        <f t="shared" si="11"/>
        <v>1.5987386780861622E-3</v>
      </c>
      <c r="J108">
        <f t="shared" si="12"/>
        <v>0.15987386780861623</v>
      </c>
    </row>
    <row r="109" spans="1:10" x14ac:dyDescent="0.3">
      <c r="A109" s="2">
        <v>44423</v>
      </c>
      <c r="B109">
        <v>0.56432000000000004</v>
      </c>
      <c r="C109">
        <v>-64.5</v>
      </c>
      <c r="D109">
        <f t="shared" si="7"/>
        <v>4160.25</v>
      </c>
      <c r="E109">
        <f t="shared" si="9"/>
        <v>-36.39864</v>
      </c>
      <c r="F109">
        <f t="shared" si="8"/>
        <v>1.2098569564767265</v>
      </c>
      <c r="G109">
        <f t="shared" si="13"/>
        <v>-0.64553695647672649</v>
      </c>
      <c r="H109">
        <f t="shared" si="10"/>
        <v>0.41671796217723506</v>
      </c>
      <c r="I109">
        <f t="shared" si="11"/>
        <v>1.9385494188490285E-3</v>
      </c>
      <c r="J109">
        <f t="shared" si="12"/>
        <v>0.19385494188490285</v>
      </c>
    </row>
    <row r="110" spans="1:10" x14ac:dyDescent="0.3">
      <c r="A110" s="2">
        <v>44416</v>
      </c>
      <c r="B110">
        <v>0.44606000000000001</v>
      </c>
      <c r="C110">
        <v>-63.5</v>
      </c>
      <c r="D110">
        <f t="shared" si="7"/>
        <v>4032.25</v>
      </c>
      <c r="E110">
        <f t="shared" si="9"/>
        <v>-28.324809999999999</v>
      </c>
      <c r="F110">
        <f t="shared" si="8"/>
        <v>1.2042139331507611</v>
      </c>
      <c r="G110">
        <f t="shared" si="13"/>
        <v>-0.75815393315076107</v>
      </c>
      <c r="H110">
        <f t="shared" si="10"/>
        <v>0.57479738635196864</v>
      </c>
      <c r="I110">
        <f t="shared" si="11"/>
        <v>2.2767385379902734E-3</v>
      </c>
      <c r="J110">
        <f t="shared" si="12"/>
        <v>0.22767385379902733</v>
      </c>
    </row>
    <row r="111" spans="1:10" x14ac:dyDescent="0.3">
      <c r="A111" s="2">
        <v>44409</v>
      </c>
      <c r="B111">
        <v>0.38668000000000002</v>
      </c>
      <c r="C111">
        <v>-62.5</v>
      </c>
      <c r="D111">
        <f t="shared" si="7"/>
        <v>3906.25</v>
      </c>
      <c r="E111">
        <f t="shared" si="9"/>
        <v>-24.1675</v>
      </c>
      <c r="F111">
        <f t="shared" si="8"/>
        <v>1.1985709098247956</v>
      </c>
      <c r="G111">
        <f t="shared" si="13"/>
        <v>-0.81189090982479561</v>
      </c>
      <c r="H111">
        <f t="shared" si="10"/>
        <v>0.65916684945613435</v>
      </c>
      <c r="I111">
        <f t="shared" si="11"/>
        <v>2.4381108403147013E-3</v>
      </c>
      <c r="J111">
        <f t="shared" si="12"/>
        <v>0.24381108403147014</v>
      </c>
    </row>
    <row r="112" spans="1:10" x14ac:dyDescent="0.3">
      <c r="A112" s="2">
        <v>44402</v>
      </c>
      <c r="B112">
        <v>0.30423</v>
      </c>
      <c r="C112">
        <v>-61.5</v>
      </c>
      <c r="D112">
        <f t="shared" si="7"/>
        <v>3782.25</v>
      </c>
      <c r="E112">
        <f t="shared" si="9"/>
        <v>-18.710145000000001</v>
      </c>
      <c r="F112">
        <f t="shared" si="8"/>
        <v>1.19292788649883</v>
      </c>
      <c r="G112">
        <f t="shared" si="13"/>
        <v>-0.88869788649882997</v>
      </c>
      <c r="H112">
        <f t="shared" si="10"/>
        <v>0.78978393346748732</v>
      </c>
      <c r="I112">
        <f t="shared" si="11"/>
        <v>2.6687624219184085E-3</v>
      </c>
      <c r="J112">
        <f t="shared" si="12"/>
        <v>0.26687624219184086</v>
      </c>
    </row>
    <row r="113" spans="1:10" x14ac:dyDescent="0.3">
      <c r="A113" s="2">
        <v>44395</v>
      </c>
      <c r="B113">
        <v>0.25135999999999997</v>
      </c>
      <c r="C113">
        <v>-60.5</v>
      </c>
      <c r="D113">
        <f t="shared" si="7"/>
        <v>3660.25</v>
      </c>
      <c r="E113">
        <f t="shared" si="9"/>
        <v>-15.207279999999999</v>
      </c>
      <c r="F113">
        <f t="shared" si="8"/>
        <v>1.1872848631728645</v>
      </c>
      <c r="G113">
        <f t="shared" si="13"/>
        <v>-0.9359248631728645</v>
      </c>
      <c r="H113">
        <f t="shared" si="10"/>
        <v>0.87595534950514509</v>
      </c>
      <c r="I113">
        <f t="shared" si="11"/>
        <v>2.8105851746932867E-3</v>
      </c>
      <c r="J113">
        <f t="shared" si="12"/>
        <v>0.28105851746932869</v>
      </c>
    </row>
    <row r="114" spans="1:10" x14ac:dyDescent="0.3">
      <c r="A114" s="2">
        <v>44388</v>
      </c>
      <c r="B114">
        <v>0.26899000000000001</v>
      </c>
      <c r="C114">
        <v>-59.5</v>
      </c>
      <c r="D114">
        <f t="shared" si="7"/>
        <v>3540.25</v>
      </c>
      <c r="E114">
        <f t="shared" si="9"/>
        <v>-16.004905000000001</v>
      </c>
      <c r="F114">
        <f t="shared" si="8"/>
        <v>1.1816418398468991</v>
      </c>
      <c r="G114">
        <f t="shared" si="13"/>
        <v>-0.91265183984689902</v>
      </c>
      <c r="H114">
        <f t="shared" si="10"/>
        <v>0.83293338077592982</v>
      </c>
      <c r="I114">
        <f t="shared" si="11"/>
        <v>2.7406962157564534E-3</v>
      </c>
      <c r="J114">
        <f t="shared" si="12"/>
        <v>0.27406962157564535</v>
      </c>
    </row>
    <row r="115" spans="1:10" x14ac:dyDescent="0.3">
      <c r="A115" s="2">
        <v>44381</v>
      </c>
      <c r="B115">
        <v>0.26569999999999999</v>
      </c>
      <c r="C115">
        <v>-58.5</v>
      </c>
      <c r="D115">
        <f t="shared" si="7"/>
        <v>3422.25</v>
      </c>
      <c r="E115">
        <f t="shared" si="9"/>
        <v>-15.54345</v>
      </c>
      <c r="F115">
        <f t="shared" si="8"/>
        <v>1.1759988165209336</v>
      </c>
      <c r="G115">
        <f t="shared" si="13"/>
        <v>-0.91029881652093358</v>
      </c>
      <c r="H115">
        <f t="shared" si="10"/>
        <v>0.82864393535941228</v>
      </c>
      <c r="I115">
        <f t="shared" si="11"/>
        <v>2.7336300796424432E-3</v>
      </c>
      <c r="J115">
        <f t="shared" si="12"/>
        <v>0.27336300796424434</v>
      </c>
    </row>
    <row r="116" spans="1:10" x14ac:dyDescent="0.3">
      <c r="A116" s="2">
        <v>44374</v>
      </c>
      <c r="B116">
        <v>0.21104000000000001</v>
      </c>
      <c r="C116">
        <v>-57.5</v>
      </c>
      <c r="D116">
        <f t="shared" si="7"/>
        <v>3306.25</v>
      </c>
      <c r="E116">
        <f t="shared" si="9"/>
        <v>-12.1348</v>
      </c>
      <c r="F116">
        <f t="shared" si="8"/>
        <v>1.1703557931949682</v>
      </c>
      <c r="G116">
        <f t="shared" si="13"/>
        <v>-0.95931579319496818</v>
      </c>
      <c r="H116">
        <f t="shared" si="10"/>
        <v>0.92028679107329092</v>
      </c>
      <c r="I116">
        <f t="shared" si="11"/>
        <v>2.8808282077926973E-3</v>
      </c>
      <c r="J116">
        <f t="shared" si="12"/>
        <v>0.28808282077926972</v>
      </c>
    </row>
    <row r="117" spans="1:10" x14ac:dyDescent="0.3">
      <c r="A117" s="2">
        <v>44360</v>
      </c>
      <c r="B117">
        <v>0.20885999999999999</v>
      </c>
      <c r="C117">
        <v>-56.5</v>
      </c>
      <c r="D117">
        <f t="shared" si="7"/>
        <v>3192.25</v>
      </c>
      <c r="E117">
        <f t="shared" si="9"/>
        <v>-11.80059</v>
      </c>
      <c r="F117">
        <f t="shared" si="8"/>
        <v>1.1647127698690025</v>
      </c>
      <c r="G117">
        <f t="shared" si="13"/>
        <v>-0.95585276986900247</v>
      </c>
      <c r="H117">
        <f t="shared" si="10"/>
        <v>0.91365451766624417</v>
      </c>
      <c r="I117">
        <f t="shared" si="11"/>
        <v>2.8704287383453527E-3</v>
      </c>
      <c r="J117">
        <f t="shared" si="12"/>
        <v>0.28704287383453525</v>
      </c>
    </row>
    <row r="118" spans="1:10" x14ac:dyDescent="0.3">
      <c r="A118" s="2">
        <v>44353</v>
      </c>
      <c r="B118">
        <v>0.16877</v>
      </c>
      <c r="C118">
        <v>-55.5</v>
      </c>
      <c r="D118">
        <f t="shared" si="7"/>
        <v>3080.25</v>
      </c>
      <c r="E118">
        <f t="shared" si="9"/>
        <v>-9.3667350000000003</v>
      </c>
      <c r="F118">
        <f t="shared" si="8"/>
        <v>1.1590697465430371</v>
      </c>
      <c r="G118">
        <f t="shared" si="13"/>
        <v>-0.9902997465430371</v>
      </c>
      <c r="H118">
        <f t="shared" si="10"/>
        <v>0.9806935880032035</v>
      </c>
      <c r="I118">
        <f t="shared" si="11"/>
        <v>2.9738731127418533E-3</v>
      </c>
      <c r="J118">
        <f t="shared" si="12"/>
        <v>0.29738731127418533</v>
      </c>
    </row>
    <row r="119" spans="1:10" x14ac:dyDescent="0.3">
      <c r="A119" s="2">
        <v>44346</v>
      </c>
      <c r="B119">
        <v>0.15876999999999999</v>
      </c>
      <c r="C119">
        <v>-54.5</v>
      </c>
      <c r="D119">
        <f t="shared" si="7"/>
        <v>2970.25</v>
      </c>
      <c r="E119">
        <f t="shared" si="9"/>
        <v>-8.652965</v>
      </c>
      <c r="F119">
        <f t="shared" si="8"/>
        <v>1.1534267232170716</v>
      </c>
      <c r="G119">
        <f t="shared" si="13"/>
        <v>-0.99465672321707166</v>
      </c>
      <c r="H119">
        <f t="shared" si="10"/>
        <v>0.98934199704092229</v>
      </c>
      <c r="I119">
        <f t="shared" si="11"/>
        <v>2.9869571267779928E-3</v>
      </c>
      <c r="J119">
        <f t="shared" si="12"/>
        <v>0.29869571267779926</v>
      </c>
    </row>
    <row r="120" spans="1:10" x14ac:dyDescent="0.3">
      <c r="A120" s="2">
        <v>44339</v>
      </c>
      <c r="B120">
        <v>0.16125999999999999</v>
      </c>
      <c r="C120">
        <v>-53.5</v>
      </c>
      <c r="D120">
        <f t="shared" si="7"/>
        <v>2862.25</v>
      </c>
      <c r="E120">
        <f t="shared" si="9"/>
        <v>-8.6274099999999994</v>
      </c>
      <c r="F120">
        <f t="shared" si="8"/>
        <v>1.147783699891106</v>
      </c>
      <c r="G120">
        <f t="shared" si="13"/>
        <v>-0.986523699891106</v>
      </c>
      <c r="H120">
        <f t="shared" si="10"/>
        <v>0.97322901044683696</v>
      </c>
      <c r="I120">
        <f t="shared" si="11"/>
        <v>2.9625336333066244E-3</v>
      </c>
      <c r="J120">
        <f t="shared" si="12"/>
        <v>0.29625336333066243</v>
      </c>
    </row>
    <row r="121" spans="1:10" x14ac:dyDescent="0.3">
      <c r="A121" s="2">
        <v>44332</v>
      </c>
      <c r="B121">
        <v>0.15623999999999999</v>
      </c>
      <c r="C121">
        <v>-52.5</v>
      </c>
      <c r="D121">
        <f t="shared" si="7"/>
        <v>2756.25</v>
      </c>
      <c r="E121">
        <f t="shared" si="9"/>
        <v>-8.2026000000000003</v>
      </c>
      <c r="F121">
        <f t="shared" si="8"/>
        <v>1.1421406765651405</v>
      </c>
      <c r="G121">
        <f t="shared" si="13"/>
        <v>-0.98590067656514058</v>
      </c>
      <c r="H121">
        <f t="shared" si="10"/>
        <v>0.97200014405160196</v>
      </c>
      <c r="I121">
        <f t="shared" si="11"/>
        <v>2.9606626923878096E-3</v>
      </c>
      <c r="J121">
        <f t="shared" si="12"/>
        <v>0.29606626923878099</v>
      </c>
    </row>
    <row r="122" spans="1:10" x14ac:dyDescent="0.3">
      <c r="A122" s="2">
        <v>44325</v>
      </c>
      <c r="B122">
        <v>0.13305</v>
      </c>
      <c r="C122">
        <v>-51.5</v>
      </c>
      <c r="D122">
        <f t="shared" si="7"/>
        <v>2652.25</v>
      </c>
      <c r="E122">
        <f t="shared" si="9"/>
        <v>-6.8520750000000001</v>
      </c>
      <c r="F122">
        <f t="shared" si="8"/>
        <v>1.1364976532391751</v>
      </c>
      <c r="G122">
        <f t="shared" si="13"/>
        <v>-1.0034476532391752</v>
      </c>
      <c r="H122">
        <f t="shared" si="10"/>
        <v>1.0069071927912079</v>
      </c>
      <c r="I122">
        <f t="shared" si="11"/>
        <v>3.0133563160335592E-3</v>
      </c>
      <c r="J122">
        <f t="shared" si="12"/>
        <v>0.30133563160335591</v>
      </c>
    </row>
    <row r="123" spans="1:10" x14ac:dyDescent="0.3">
      <c r="A123" s="2">
        <v>44318</v>
      </c>
      <c r="B123">
        <v>0.11487</v>
      </c>
      <c r="C123">
        <v>-50.5</v>
      </c>
      <c r="D123">
        <f t="shared" si="7"/>
        <v>2550.25</v>
      </c>
      <c r="E123">
        <f t="shared" si="9"/>
        <v>-5.800935</v>
      </c>
      <c r="F123">
        <f t="shared" si="8"/>
        <v>1.1308546299132096</v>
      </c>
      <c r="G123">
        <f t="shared" si="13"/>
        <v>-1.0159846299132096</v>
      </c>
      <c r="H123">
        <f t="shared" si="10"/>
        <v>1.0322247682198815</v>
      </c>
      <c r="I123">
        <f t="shared" si="11"/>
        <v>3.0510048946342629E-3</v>
      </c>
      <c r="J123">
        <f t="shared" si="12"/>
        <v>0.30510048946342627</v>
      </c>
    </row>
    <row r="124" spans="1:10" x14ac:dyDescent="0.3">
      <c r="A124" s="2">
        <v>44311</v>
      </c>
      <c r="B124">
        <v>0.10605000000000001</v>
      </c>
      <c r="C124">
        <v>-49.5</v>
      </c>
      <c r="D124">
        <f t="shared" si="7"/>
        <v>2450.25</v>
      </c>
      <c r="E124">
        <f t="shared" si="9"/>
        <v>-5.2494750000000003</v>
      </c>
      <c r="F124">
        <f t="shared" si="8"/>
        <v>1.1252116065872442</v>
      </c>
      <c r="G124">
        <f t="shared" si="13"/>
        <v>-1.0191616065872442</v>
      </c>
      <c r="H124">
        <f t="shared" si="10"/>
        <v>1.0386903803414926</v>
      </c>
      <c r="I124">
        <f t="shared" si="11"/>
        <v>3.0605453651268593E-3</v>
      </c>
      <c r="J124">
        <f t="shared" si="12"/>
        <v>0.30605453651268594</v>
      </c>
    </row>
    <row r="125" spans="1:10" x14ac:dyDescent="0.3">
      <c r="A125" s="2">
        <v>44304</v>
      </c>
      <c r="B125">
        <v>0.11332</v>
      </c>
      <c r="C125">
        <v>-48.5</v>
      </c>
      <c r="D125">
        <f t="shared" si="7"/>
        <v>2352.25</v>
      </c>
      <c r="E125">
        <f t="shared" si="9"/>
        <v>-5.4960200000000006</v>
      </c>
      <c r="F125">
        <f t="shared" si="8"/>
        <v>1.1195685832612785</v>
      </c>
      <c r="G125">
        <f t="shared" si="13"/>
        <v>-1.0062485832612784</v>
      </c>
      <c r="H125">
        <f t="shared" si="10"/>
        <v>1.01253621131533</v>
      </c>
      <c r="I125">
        <f t="shared" si="11"/>
        <v>3.0217675173011362E-3</v>
      </c>
      <c r="J125">
        <f t="shared" si="12"/>
        <v>0.3021767517301136</v>
      </c>
    </row>
    <row r="126" spans="1:10" x14ac:dyDescent="0.3">
      <c r="A126" s="2">
        <v>44297</v>
      </c>
      <c r="B126">
        <v>0.12043</v>
      </c>
      <c r="C126">
        <v>-47.5</v>
      </c>
      <c r="D126">
        <f t="shared" si="7"/>
        <v>2256.25</v>
      </c>
      <c r="E126">
        <f t="shared" si="9"/>
        <v>-5.7204249999999996</v>
      </c>
      <c r="F126">
        <f t="shared" si="8"/>
        <v>1.1139255599353131</v>
      </c>
      <c r="G126">
        <f t="shared" si="13"/>
        <v>-0.99349555993531302</v>
      </c>
      <c r="H126">
        <f t="shared" si="10"/>
        <v>0.98703342761118118</v>
      </c>
      <c r="I126">
        <f t="shared" si="11"/>
        <v>2.9834701499558951E-3</v>
      </c>
      <c r="J126">
        <f t="shared" si="12"/>
        <v>0.29834701499558952</v>
      </c>
    </row>
    <row r="127" spans="1:10" x14ac:dyDescent="0.3">
      <c r="A127" s="2">
        <v>44290</v>
      </c>
      <c r="B127">
        <v>0.10932</v>
      </c>
      <c r="C127">
        <v>-46.5</v>
      </c>
      <c r="D127">
        <f t="shared" si="7"/>
        <v>2162.25</v>
      </c>
      <c r="E127">
        <f t="shared" si="9"/>
        <v>-5.08338</v>
      </c>
      <c r="F127">
        <f t="shared" si="8"/>
        <v>1.1082825366093476</v>
      </c>
      <c r="G127">
        <f t="shared" si="13"/>
        <v>-0.99896253660934764</v>
      </c>
      <c r="H127">
        <f t="shared" si="10"/>
        <v>0.99792614954898218</v>
      </c>
      <c r="I127">
        <f t="shared" si="11"/>
        <v>2.9998874973253681E-3</v>
      </c>
      <c r="J127">
        <f t="shared" si="12"/>
        <v>0.29998874973253681</v>
      </c>
    </row>
    <row r="128" spans="1:10" x14ac:dyDescent="0.3">
      <c r="A128" s="2">
        <v>44283</v>
      </c>
      <c r="B128">
        <v>0.10259</v>
      </c>
      <c r="C128">
        <v>-45.5</v>
      </c>
      <c r="D128">
        <f t="shared" si="7"/>
        <v>2070.25</v>
      </c>
      <c r="E128">
        <f t="shared" si="9"/>
        <v>-4.6678449999999998</v>
      </c>
      <c r="F128">
        <f t="shared" si="8"/>
        <v>1.1026395132833819</v>
      </c>
      <c r="G128">
        <f t="shared" si="13"/>
        <v>-1.000049513283382</v>
      </c>
      <c r="H128">
        <f t="shared" si="10"/>
        <v>1.0000990290183291</v>
      </c>
      <c r="I128">
        <f t="shared" si="11"/>
        <v>3.0031516915416875E-3</v>
      </c>
      <c r="J128">
        <f t="shared" si="12"/>
        <v>0.30031516915416878</v>
      </c>
    </row>
    <row r="129" spans="1:10" x14ac:dyDescent="0.3">
      <c r="A129" s="2">
        <v>44276</v>
      </c>
      <c r="B129">
        <v>0.10766000000000001</v>
      </c>
      <c r="C129">
        <v>-44.5</v>
      </c>
      <c r="D129">
        <f t="shared" si="7"/>
        <v>1980.25</v>
      </c>
      <c r="E129">
        <f t="shared" si="9"/>
        <v>-4.79087</v>
      </c>
      <c r="F129">
        <f t="shared" si="8"/>
        <v>1.0969964899574165</v>
      </c>
      <c r="G129">
        <f t="shared" si="13"/>
        <v>-0.98933648995741652</v>
      </c>
      <c r="H129">
        <f t="shared" si="10"/>
        <v>0.97878669036126131</v>
      </c>
      <c r="I129">
        <f t="shared" si="11"/>
        <v>2.970980450322572E-3</v>
      </c>
      <c r="J129">
        <f t="shared" si="12"/>
        <v>0.29709804503225717</v>
      </c>
    </row>
    <row r="130" spans="1:10" x14ac:dyDescent="0.3">
      <c r="A130" s="2">
        <v>44269</v>
      </c>
      <c r="B130">
        <v>0.1231</v>
      </c>
      <c r="C130">
        <v>-43.5</v>
      </c>
      <c r="D130">
        <f t="shared" si="7"/>
        <v>1892.25</v>
      </c>
      <c r="E130">
        <f t="shared" si="9"/>
        <v>-5.3548499999999999</v>
      </c>
      <c r="F130">
        <f t="shared" si="8"/>
        <v>1.0913534666314511</v>
      </c>
      <c r="G130">
        <f t="shared" si="13"/>
        <v>-0.96825346663145107</v>
      </c>
      <c r="H130">
        <f t="shared" si="10"/>
        <v>0.93751477564382257</v>
      </c>
      <c r="I130">
        <f t="shared" si="11"/>
        <v>2.9076680679623154E-3</v>
      </c>
      <c r="J130">
        <f t="shared" si="12"/>
        <v>0.29076680679623157</v>
      </c>
    </row>
    <row r="131" spans="1:10" x14ac:dyDescent="0.3">
      <c r="A131" s="2">
        <v>44262</v>
      </c>
      <c r="B131">
        <v>0.12703999999999999</v>
      </c>
      <c r="C131">
        <v>-42.5</v>
      </c>
      <c r="D131">
        <f t="shared" si="7"/>
        <v>1806.25</v>
      </c>
      <c r="E131">
        <f t="shared" si="9"/>
        <v>-5.3991999999999996</v>
      </c>
      <c r="F131">
        <f t="shared" si="8"/>
        <v>1.0857104433054856</v>
      </c>
      <c r="G131">
        <f t="shared" si="13"/>
        <v>-0.95867044330548556</v>
      </c>
      <c r="H131">
        <f t="shared" si="10"/>
        <v>0.9190490188675362</v>
      </c>
      <c r="I131">
        <f t="shared" si="11"/>
        <v>2.8788902201365933E-3</v>
      </c>
      <c r="J131">
        <f t="shared" si="12"/>
        <v>0.28788902201365935</v>
      </c>
    </row>
    <row r="132" spans="1:10" x14ac:dyDescent="0.3">
      <c r="A132" s="2">
        <v>44255</v>
      </c>
      <c r="B132">
        <v>0.12789</v>
      </c>
      <c r="C132">
        <v>-41.5</v>
      </c>
      <c r="D132">
        <f t="shared" si="7"/>
        <v>1722.25</v>
      </c>
      <c r="E132">
        <f t="shared" si="9"/>
        <v>-5.3074349999999999</v>
      </c>
      <c r="F132">
        <f t="shared" si="8"/>
        <v>1.0800674199795202</v>
      </c>
      <c r="G132">
        <f t="shared" si="13"/>
        <v>-0.9521774199795201</v>
      </c>
      <c r="H132">
        <f t="shared" si="10"/>
        <v>0.90664183911885543</v>
      </c>
      <c r="I132">
        <f t="shared" si="11"/>
        <v>2.8593916515901505E-3</v>
      </c>
      <c r="J132">
        <f t="shared" si="12"/>
        <v>0.28593916515901507</v>
      </c>
    </row>
    <row r="133" spans="1:10" x14ac:dyDescent="0.3">
      <c r="A133" s="2">
        <v>44248</v>
      </c>
      <c r="B133">
        <v>0.1239</v>
      </c>
      <c r="C133">
        <v>-40.5</v>
      </c>
      <c r="D133">
        <f t="shared" si="7"/>
        <v>1640.25</v>
      </c>
      <c r="E133">
        <f t="shared" si="9"/>
        <v>-5.0179499999999999</v>
      </c>
      <c r="F133">
        <f t="shared" si="8"/>
        <v>1.0744243966535545</v>
      </c>
      <c r="G133">
        <f t="shared" si="13"/>
        <v>-0.95052439665355448</v>
      </c>
      <c r="H133">
        <f t="shared" si="10"/>
        <v>0.9034966286336038</v>
      </c>
      <c r="I133">
        <f t="shared" si="11"/>
        <v>2.8544276175782417E-3</v>
      </c>
      <c r="J133">
        <f t="shared" si="12"/>
        <v>0.28544276175782418</v>
      </c>
    </row>
    <row r="134" spans="1:10" x14ac:dyDescent="0.3">
      <c r="A134" s="2">
        <v>44241</v>
      </c>
      <c r="B134">
        <v>0.12124</v>
      </c>
      <c r="C134">
        <v>-39.5</v>
      </c>
      <c r="D134">
        <f t="shared" si="7"/>
        <v>1560.25</v>
      </c>
      <c r="E134">
        <f t="shared" si="9"/>
        <v>-4.7889800000000005</v>
      </c>
      <c r="F134">
        <f t="shared" si="8"/>
        <v>1.068781373327589</v>
      </c>
      <c r="G134">
        <f t="shared" si="13"/>
        <v>-0.94754137332758903</v>
      </c>
      <c r="H134">
        <f t="shared" si="10"/>
        <v>0.8978346541675335</v>
      </c>
      <c r="I134">
        <f t="shared" si="11"/>
        <v>2.8454695895723395E-3</v>
      </c>
      <c r="J134">
        <f t="shared" si="12"/>
        <v>0.28454695895723398</v>
      </c>
    </row>
    <row r="135" spans="1:10" x14ac:dyDescent="0.3">
      <c r="A135" s="2">
        <v>44234</v>
      </c>
      <c r="B135">
        <v>0.11398999999999999</v>
      </c>
      <c r="C135">
        <v>-38.5</v>
      </c>
      <c r="D135">
        <f t="shared" si="7"/>
        <v>1482.25</v>
      </c>
      <c r="E135">
        <f t="shared" si="9"/>
        <v>-4.3886149999999997</v>
      </c>
      <c r="F135">
        <f t="shared" si="8"/>
        <v>1.0631383500016236</v>
      </c>
      <c r="G135">
        <f t="shared" si="13"/>
        <v>-0.94914835000162356</v>
      </c>
      <c r="H135">
        <f t="shared" si="10"/>
        <v>0.90088259031080453</v>
      </c>
      <c r="I135">
        <f t="shared" si="11"/>
        <v>2.8502953453502207E-3</v>
      </c>
      <c r="J135">
        <f t="shared" si="12"/>
        <v>0.28502953453502206</v>
      </c>
    </row>
    <row r="136" spans="1:10" x14ac:dyDescent="0.3">
      <c r="A136" s="2">
        <v>44227</v>
      </c>
      <c r="B136">
        <v>0.12280000000000001</v>
      </c>
      <c r="C136">
        <v>-37.5</v>
      </c>
      <c r="D136">
        <f t="shared" ref="D136:D199" si="14">C136*C136</f>
        <v>1406.25</v>
      </c>
      <c r="E136">
        <f t="shared" si="9"/>
        <v>-4.6050000000000004</v>
      </c>
      <c r="F136">
        <f t="shared" ref="F136:F199" si="15">$G$3+$G$4*(C136)</f>
        <v>1.0574953266756582</v>
      </c>
      <c r="G136">
        <f t="shared" si="13"/>
        <v>-0.93469532667565813</v>
      </c>
      <c r="H136">
        <f t="shared" si="10"/>
        <v>0.87365535370931524</v>
      </c>
      <c r="I136">
        <f t="shared" si="11"/>
        <v>2.8068928728998744E-3</v>
      </c>
      <c r="J136">
        <f t="shared" si="12"/>
        <v>0.28068928728998743</v>
      </c>
    </row>
    <row r="137" spans="1:10" x14ac:dyDescent="0.3">
      <c r="A137" s="2">
        <v>44220</v>
      </c>
      <c r="B137">
        <v>0.12466000000000001</v>
      </c>
      <c r="C137">
        <v>-36.5</v>
      </c>
      <c r="D137">
        <f t="shared" si="14"/>
        <v>1332.25</v>
      </c>
      <c r="E137">
        <f t="shared" ref="E137:E200" si="16">C137*B137</f>
        <v>-4.55009</v>
      </c>
      <c r="F137">
        <f t="shared" si="15"/>
        <v>1.0518523033496925</v>
      </c>
      <c r="G137">
        <f t="shared" si="13"/>
        <v>-0.92719230334969249</v>
      </c>
      <c r="H137">
        <f t="shared" ref="H137:H200" si="17">G137*G137</f>
        <v>0.85968556739090818</v>
      </c>
      <c r="I137">
        <f t="shared" ref="I137:I200" si="18">ABS(G137)/$G$2</f>
        <v>2.784361271320398E-3</v>
      </c>
      <c r="J137">
        <f t="shared" ref="J137:J200" si="19">I137*100</f>
        <v>0.2784361271320398</v>
      </c>
    </row>
    <row r="138" spans="1:10" x14ac:dyDescent="0.3">
      <c r="A138" s="2">
        <v>44213</v>
      </c>
      <c r="B138">
        <v>0.13536999999999999</v>
      </c>
      <c r="C138">
        <v>-35.5</v>
      </c>
      <c r="D138">
        <f t="shared" si="14"/>
        <v>1260.25</v>
      </c>
      <c r="E138">
        <f t="shared" si="16"/>
        <v>-4.8056349999999997</v>
      </c>
      <c r="F138">
        <f t="shared" si="15"/>
        <v>1.046209280023727</v>
      </c>
      <c r="G138">
        <f t="shared" ref="G138:G201" si="20">B138-F138</f>
        <v>-0.91083928002372705</v>
      </c>
      <c r="H138">
        <f t="shared" si="17"/>
        <v>0.82962819403414145</v>
      </c>
      <c r="I138">
        <f t="shared" si="18"/>
        <v>2.7352530931643456E-3</v>
      </c>
      <c r="J138">
        <f t="shared" si="19"/>
        <v>0.27352530931643454</v>
      </c>
    </row>
    <row r="139" spans="1:10" x14ac:dyDescent="0.3">
      <c r="A139" s="2">
        <v>44206</v>
      </c>
      <c r="B139">
        <v>0.16220000000000001</v>
      </c>
      <c r="C139">
        <v>-34.5</v>
      </c>
      <c r="D139">
        <f t="shared" si="14"/>
        <v>1190.25</v>
      </c>
      <c r="E139">
        <f t="shared" si="16"/>
        <v>-5.5959000000000003</v>
      </c>
      <c r="F139">
        <f t="shared" si="15"/>
        <v>1.0405662566977616</v>
      </c>
      <c r="G139">
        <f t="shared" si="20"/>
        <v>-0.87836625669776158</v>
      </c>
      <c r="H139">
        <f t="shared" si="17"/>
        <v>0.77152728090523803</v>
      </c>
      <c r="I139">
        <f t="shared" si="18"/>
        <v>2.6377365065998848E-3</v>
      </c>
      <c r="J139">
        <f t="shared" si="19"/>
        <v>0.26377365065998848</v>
      </c>
    </row>
    <row r="140" spans="1:10" x14ac:dyDescent="0.3">
      <c r="A140" s="2">
        <v>44199</v>
      </c>
      <c r="B140">
        <v>0.17512</v>
      </c>
      <c r="C140">
        <v>-33.5</v>
      </c>
      <c r="D140">
        <f t="shared" si="14"/>
        <v>1122.25</v>
      </c>
      <c r="E140">
        <f t="shared" si="16"/>
        <v>-5.8665199999999995</v>
      </c>
      <c r="F140">
        <f t="shared" si="15"/>
        <v>1.0349232333717961</v>
      </c>
      <c r="G140">
        <f t="shared" si="20"/>
        <v>-0.85980323337179621</v>
      </c>
      <c r="H140">
        <f t="shared" si="17"/>
        <v>0.73926160011659547</v>
      </c>
      <c r="I140">
        <f t="shared" si="18"/>
        <v>2.5819916918071958E-3</v>
      </c>
      <c r="J140">
        <f t="shared" si="19"/>
        <v>0.25819916918071956</v>
      </c>
    </row>
    <row r="141" spans="1:10" x14ac:dyDescent="0.3">
      <c r="A141" s="2">
        <v>44192</v>
      </c>
      <c r="B141">
        <v>0.13739000000000001</v>
      </c>
      <c r="C141">
        <v>-32.5</v>
      </c>
      <c r="D141">
        <f t="shared" si="14"/>
        <v>1056.25</v>
      </c>
      <c r="E141">
        <f t="shared" si="16"/>
        <v>-4.4651750000000003</v>
      </c>
      <c r="F141">
        <f t="shared" si="15"/>
        <v>1.0292802100458305</v>
      </c>
      <c r="G141">
        <f t="shared" si="20"/>
        <v>-0.89189021004583047</v>
      </c>
      <c r="H141">
        <f t="shared" si="17"/>
        <v>0.79546814677559563</v>
      </c>
      <c r="I141">
        <f t="shared" si="18"/>
        <v>2.6783489791166082E-3</v>
      </c>
      <c r="J141">
        <f t="shared" si="19"/>
        <v>0.26783489791166082</v>
      </c>
    </row>
    <row r="142" spans="1:10" x14ac:dyDescent="0.3">
      <c r="A142" s="2">
        <v>44185</v>
      </c>
      <c r="B142">
        <v>0.13463</v>
      </c>
      <c r="C142">
        <v>-31.5</v>
      </c>
      <c r="D142">
        <f t="shared" si="14"/>
        <v>992.25</v>
      </c>
      <c r="E142">
        <f t="shared" si="16"/>
        <v>-4.2408450000000002</v>
      </c>
      <c r="F142">
        <f t="shared" si="15"/>
        <v>1.023637186719865</v>
      </c>
      <c r="G142">
        <f t="shared" si="20"/>
        <v>-0.88900718671986501</v>
      </c>
      <c r="H142">
        <f t="shared" si="17"/>
        <v>0.79033377803956895</v>
      </c>
      <c r="I142">
        <f t="shared" si="18"/>
        <v>2.6696912514110058E-3</v>
      </c>
      <c r="J142">
        <f t="shared" si="19"/>
        <v>0.2669691251411006</v>
      </c>
    </row>
    <row r="143" spans="1:10" x14ac:dyDescent="0.3">
      <c r="A143" s="2">
        <v>44178</v>
      </c>
      <c r="B143">
        <v>0.14036000000000001</v>
      </c>
      <c r="C143">
        <v>-30.5</v>
      </c>
      <c r="D143">
        <f t="shared" si="14"/>
        <v>930.25</v>
      </c>
      <c r="E143">
        <f t="shared" si="16"/>
        <v>-4.2809800000000005</v>
      </c>
      <c r="F143">
        <f t="shared" si="15"/>
        <v>1.0179941633938996</v>
      </c>
      <c r="G143">
        <f t="shared" si="20"/>
        <v>-0.87763416339389955</v>
      </c>
      <c r="H143">
        <f t="shared" si="17"/>
        <v>0.77024172475610997</v>
      </c>
      <c r="I143">
        <f t="shared" si="18"/>
        <v>2.6355380282099086E-3</v>
      </c>
      <c r="J143">
        <f t="shared" si="19"/>
        <v>0.26355380282099083</v>
      </c>
    </row>
    <row r="144" spans="1:10" x14ac:dyDescent="0.3">
      <c r="A144" s="2">
        <v>44171</v>
      </c>
      <c r="B144">
        <v>0.12202</v>
      </c>
      <c r="C144">
        <v>-29.5</v>
      </c>
      <c r="D144">
        <f t="shared" si="14"/>
        <v>870.25</v>
      </c>
      <c r="E144">
        <f t="shared" si="16"/>
        <v>-3.5995900000000001</v>
      </c>
      <c r="F144">
        <f t="shared" si="15"/>
        <v>1.0123511400679341</v>
      </c>
      <c r="G144">
        <f t="shared" si="20"/>
        <v>-0.89033114006793412</v>
      </c>
      <c r="H144">
        <f t="shared" si="17"/>
        <v>0.79268953897466732</v>
      </c>
      <c r="I144">
        <f t="shared" si="18"/>
        <v>2.6736670872910934E-3</v>
      </c>
      <c r="J144">
        <f t="shared" si="19"/>
        <v>0.26736670872910934</v>
      </c>
    </row>
    <row r="145" spans="1:10" x14ac:dyDescent="0.3">
      <c r="A145" s="2">
        <v>44164</v>
      </c>
      <c r="B145">
        <v>0.10811</v>
      </c>
      <c r="C145">
        <v>-28.5</v>
      </c>
      <c r="D145">
        <f t="shared" si="14"/>
        <v>812.25</v>
      </c>
      <c r="E145">
        <f t="shared" si="16"/>
        <v>-3.0811349999999997</v>
      </c>
      <c r="F145">
        <f t="shared" si="15"/>
        <v>1.0067081167419685</v>
      </c>
      <c r="G145">
        <f t="shared" si="20"/>
        <v>-0.89859811674196843</v>
      </c>
      <c r="H145">
        <f t="shared" si="17"/>
        <v>0.80747857541221235</v>
      </c>
      <c r="I145">
        <f t="shared" si="18"/>
        <v>2.6984928430689743E-3</v>
      </c>
      <c r="J145">
        <f t="shared" si="19"/>
        <v>0.26984928430689742</v>
      </c>
    </row>
    <row r="146" spans="1:10" x14ac:dyDescent="0.3">
      <c r="A146" s="2">
        <v>44157</v>
      </c>
      <c r="B146">
        <v>9.1069999999999998E-2</v>
      </c>
      <c r="C146">
        <v>-27.5</v>
      </c>
      <c r="D146">
        <f t="shared" si="14"/>
        <v>756.25</v>
      </c>
      <c r="E146">
        <f t="shared" si="16"/>
        <v>-2.5044249999999999</v>
      </c>
      <c r="F146">
        <f t="shared" si="15"/>
        <v>1.001065093416003</v>
      </c>
      <c r="G146">
        <f t="shared" si="20"/>
        <v>-0.90999509341600304</v>
      </c>
      <c r="H146">
        <f t="shared" si="17"/>
        <v>0.82809107004120008</v>
      </c>
      <c r="I146">
        <f t="shared" si="18"/>
        <v>2.7327179982462556E-3</v>
      </c>
      <c r="J146">
        <f t="shared" si="19"/>
        <v>0.27327179982462557</v>
      </c>
    </row>
    <row r="147" spans="1:10" x14ac:dyDescent="0.3">
      <c r="A147" s="2">
        <v>44150</v>
      </c>
      <c r="B147">
        <v>8.8550000000000004E-2</v>
      </c>
      <c r="C147">
        <v>-26.5</v>
      </c>
      <c r="D147">
        <f t="shared" si="14"/>
        <v>702.25</v>
      </c>
      <c r="E147">
        <f t="shared" si="16"/>
        <v>-2.3465750000000001</v>
      </c>
      <c r="F147">
        <f t="shared" si="15"/>
        <v>0.99542207009003758</v>
      </c>
      <c r="G147">
        <f t="shared" si="20"/>
        <v>-0.90687207009003756</v>
      </c>
      <c r="H147">
        <f t="shared" si="17"/>
        <v>0.82241695150938998</v>
      </c>
      <c r="I147">
        <f t="shared" si="18"/>
        <v>2.7233395498199326E-3</v>
      </c>
      <c r="J147">
        <f t="shared" si="19"/>
        <v>0.27233395498199325</v>
      </c>
    </row>
    <row r="148" spans="1:10" x14ac:dyDescent="0.3">
      <c r="A148" s="2">
        <v>44143</v>
      </c>
      <c r="B148">
        <v>9.5310000000000006E-2</v>
      </c>
      <c r="C148">
        <v>-25.5</v>
      </c>
      <c r="D148">
        <f t="shared" si="14"/>
        <v>650.25</v>
      </c>
      <c r="E148">
        <f t="shared" si="16"/>
        <v>-2.4304050000000004</v>
      </c>
      <c r="F148">
        <f t="shared" si="15"/>
        <v>0.98977904676407202</v>
      </c>
      <c r="G148">
        <f t="shared" si="20"/>
        <v>-0.89446904676407202</v>
      </c>
      <c r="H148">
        <f t="shared" si="17"/>
        <v>0.80007487561902768</v>
      </c>
      <c r="I148">
        <f t="shared" si="18"/>
        <v>2.6860932335257418E-3</v>
      </c>
      <c r="J148">
        <f t="shared" si="19"/>
        <v>0.2686093233525742</v>
      </c>
    </row>
    <row r="149" spans="1:10" x14ac:dyDescent="0.3">
      <c r="A149" s="2">
        <v>44136</v>
      </c>
      <c r="B149">
        <v>9.5860000000000001E-2</v>
      </c>
      <c r="C149">
        <v>-24.5</v>
      </c>
      <c r="D149">
        <f t="shared" si="14"/>
        <v>600.25</v>
      </c>
      <c r="E149">
        <f t="shared" si="16"/>
        <v>-2.34857</v>
      </c>
      <c r="F149">
        <f t="shared" si="15"/>
        <v>0.98413602343810658</v>
      </c>
      <c r="G149">
        <f t="shared" si="20"/>
        <v>-0.88827602343810663</v>
      </c>
      <c r="H149">
        <f t="shared" si="17"/>
        <v>0.78903429381501577</v>
      </c>
      <c r="I149">
        <f t="shared" si="18"/>
        <v>2.6674955658802001E-3</v>
      </c>
      <c r="J149">
        <f t="shared" si="19"/>
        <v>0.26674955658802002</v>
      </c>
    </row>
    <row r="150" spans="1:10" x14ac:dyDescent="0.3">
      <c r="A150" s="2">
        <v>44129</v>
      </c>
      <c r="B150">
        <v>9.6149999999999999E-2</v>
      </c>
      <c r="C150">
        <v>-23.5</v>
      </c>
      <c r="D150">
        <f t="shared" si="14"/>
        <v>552.25</v>
      </c>
      <c r="E150">
        <f t="shared" si="16"/>
        <v>-2.259525</v>
      </c>
      <c r="F150">
        <f t="shared" si="15"/>
        <v>0.97849300011214102</v>
      </c>
      <c r="G150">
        <f t="shared" si="20"/>
        <v>-0.88234300011214106</v>
      </c>
      <c r="H150">
        <f t="shared" si="17"/>
        <v>0.7785291698468938</v>
      </c>
      <c r="I150">
        <f t="shared" si="18"/>
        <v>2.6496786790154384E-3</v>
      </c>
      <c r="J150">
        <f t="shared" si="19"/>
        <v>0.26496786790154386</v>
      </c>
    </row>
    <row r="151" spans="1:10" x14ac:dyDescent="0.3">
      <c r="A151" s="2">
        <v>44122</v>
      </c>
      <c r="B151">
        <v>0.11711000000000001</v>
      </c>
      <c r="C151">
        <v>-22.5</v>
      </c>
      <c r="D151">
        <f t="shared" si="14"/>
        <v>506.25</v>
      </c>
      <c r="E151">
        <f t="shared" si="16"/>
        <v>-2.6349750000000003</v>
      </c>
      <c r="F151">
        <f t="shared" si="15"/>
        <v>0.97284997678617557</v>
      </c>
      <c r="G151">
        <f t="shared" si="20"/>
        <v>-0.85573997678617553</v>
      </c>
      <c r="H151">
        <f t="shared" si="17"/>
        <v>0.73229090787000428</v>
      </c>
      <c r="I151">
        <f t="shared" si="18"/>
        <v>2.5697897200786051E-3</v>
      </c>
      <c r="J151">
        <f t="shared" si="19"/>
        <v>0.25697897200786052</v>
      </c>
    </row>
    <row r="152" spans="1:10" x14ac:dyDescent="0.3">
      <c r="A152" s="2">
        <v>44115</v>
      </c>
      <c r="B152">
        <v>0.12194000000000001</v>
      </c>
      <c r="C152">
        <v>-21.5</v>
      </c>
      <c r="D152">
        <f t="shared" si="14"/>
        <v>462.25</v>
      </c>
      <c r="E152">
        <f t="shared" si="16"/>
        <v>-2.6217100000000002</v>
      </c>
      <c r="F152">
        <f t="shared" si="15"/>
        <v>0.96720695346021002</v>
      </c>
      <c r="G152">
        <f t="shared" si="20"/>
        <v>-0.84526695346020997</v>
      </c>
      <c r="H152">
        <f t="shared" si="17"/>
        <v>0.7144762226119048</v>
      </c>
      <c r="I152">
        <f t="shared" si="18"/>
        <v>2.5383391995802101E-3</v>
      </c>
      <c r="J152">
        <f t="shared" si="19"/>
        <v>0.25383391995802101</v>
      </c>
    </row>
    <row r="153" spans="1:10" x14ac:dyDescent="0.3">
      <c r="A153" s="2">
        <v>44108</v>
      </c>
      <c r="B153">
        <v>9.6269999999999994E-2</v>
      </c>
      <c r="C153">
        <v>-20.5</v>
      </c>
      <c r="D153">
        <f t="shared" si="14"/>
        <v>420.25</v>
      </c>
      <c r="E153">
        <f t="shared" si="16"/>
        <v>-1.9735349999999998</v>
      </c>
      <c r="F153">
        <f t="shared" si="15"/>
        <v>0.96156393013424457</v>
      </c>
      <c r="G153">
        <f t="shared" si="20"/>
        <v>-0.8652939301342446</v>
      </c>
      <c r="H153">
        <f t="shared" si="17"/>
        <v>0.74873358552716696</v>
      </c>
      <c r="I153">
        <f t="shared" si="18"/>
        <v>2.5984802706734071E-3</v>
      </c>
      <c r="J153">
        <f t="shared" si="19"/>
        <v>0.25984802706734073</v>
      </c>
    </row>
    <row r="154" spans="1:10" x14ac:dyDescent="0.3">
      <c r="A154" s="2">
        <v>44101</v>
      </c>
      <c r="B154">
        <v>9.2230000000000006E-2</v>
      </c>
      <c r="C154">
        <v>-19.5</v>
      </c>
      <c r="D154">
        <f t="shared" si="14"/>
        <v>380.25</v>
      </c>
      <c r="E154">
        <f t="shared" si="16"/>
        <v>-1.7984850000000001</v>
      </c>
      <c r="F154">
        <f t="shared" si="15"/>
        <v>0.95592090680827901</v>
      </c>
      <c r="G154">
        <f t="shared" si="20"/>
        <v>-0.86369090680827898</v>
      </c>
      <c r="H154">
        <f t="shared" si="17"/>
        <v>0.74596198250330725</v>
      </c>
      <c r="I154">
        <f t="shared" si="18"/>
        <v>2.5936663868116488E-3</v>
      </c>
      <c r="J154">
        <f t="shared" si="19"/>
        <v>0.25936663868116488</v>
      </c>
    </row>
    <row r="155" spans="1:10" x14ac:dyDescent="0.3">
      <c r="A155" s="2">
        <v>44094</v>
      </c>
      <c r="B155">
        <v>9.5189999999999997E-2</v>
      </c>
      <c r="C155">
        <v>-18.5</v>
      </c>
      <c r="D155">
        <f t="shared" si="14"/>
        <v>342.25</v>
      </c>
      <c r="E155">
        <f t="shared" si="16"/>
        <v>-1.761015</v>
      </c>
      <c r="F155">
        <f t="shared" si="15"/>
        <v>0.95027788348231357</v>
      </c>
      <c r="G155">
        <f t="shared" si="20"/>
        <v>-0.85508788348231357</v>
      </c>
      <c r="H155">
        <f t="shared" si="17"/>
        <v>0.73117528847826263</v>
      </c>
      <c r="I155">
        <f t="shared" si="18"/>
        <v>2.5678314819288697E-3</v>
      </c>
      <c r="J155">
        <f t="shared" si="19"/>
        <v>0.25678314819288695</v>
      </c>
    </row>
    <row r="156" spans="1:10" x14ac:dyDescent="0.3">
      <c r="A156" s="2">
        <v>44087</v>
      </c>
      <c r="B156">
        <v>0.10145</v>
      </c>
      <c r="C156">
        <v>-17.5</v>
      </c>
      <c r="D156">
        <f t="shared" si="14"/>
        <v>306.25</v>
      </c>
      <c r="E156">
        <f t="shared" si="16"/>
        <v>-1.7753749999999999</v>
      </c>
      <c r="F156">
        <f t="shared" si="15"/>
        <v>0.94463486015634812</v>
      </c>
      <c r="G156">
        <f t="shared" si="20"/>
        <v>-0.84318486015634808</v>
      </c>
      <c r="H156">
        <f t="shared" si="17"/>
        <v>0.7109607083968803</v>
      </c>
      <c r="I156">
        <f t="shared" si="18"/>
        <v>2.5320866671361803E-3</v>
      </c>
      <c r="J156">
        <f t="shared" si="19"/>
        <v>0.25320866671361802</v>
      </c>
    </row>
    <row r="157" spans="1:10" x14ac:dyDescent="0.3">
      <c r="A157" s="2">
        <v>44080</v>
      </c>
      <c r="B157">
        <v>9.7619999999999998E-2</v>
      </c>
      <c r="C157">
        <v>-16.5</v>
      </c>
      <c r="D157">
        <f t="shared" si="14"/>
        <v>272.25</v>
      </c>
      <c r="E157">
        <f t="shared" si="16"/>
        <v>-1.61073</v>
      </c>
      <c r="F157">
        <f t="shared" si="15"/>
        <v>0.93899183683038256</v>
      </c>
      <c r="G157">
        <f t="shared" si="20"/>
        <v>-0.84137183683038252</v>
      </c>
      <c r="H157">
        <f t="shared" si="17"/>
        <v>0.70790656781133188</v>
      </c>
      <c r="I157">
        <f t="shared" si="18"/>
        <v>2.5266421526437912E-3</v>
      </c>
      <c r="J157">
        <f t="shared" si="19"/>
        <v>0.2526642152643791</v>
      </c>
    </row>
    <row r="158" spans="1:10" x14ac:dyDescent="0.3">
      <c r="A158" s="2">
        <v>44073</v>
      </c>
      <c r="B158">
        <v>0.10929999999999999</v>
      </c>
      <c r="C158">
        <v>-15.5</v>
      </c>
      <c r="D158">
        <f t="shared" si="14"/>
        <v>240.25</v>
      </c>
      <c r="E158">
        <f t="shared" si="16"/>
        <v>-1.6941499999999998</v>
      </c>
      <c r="F158">
        <f t="shared" si="15"/>
        <v>0.93334881350441701</v>
      </c>
      <c r="G158">
        <f t="shared" si="20"/>
        <v>-0.82404881350441705</v>
      </c>
      <c r="H158">
        <f t="shared" si="17"/>
        <v>0.67905644703803747</v>
      </c>
      <c r="I158">
        <f t="shared" si="18"/>
        <v>2.4746210615748262E-3</v>
      </c>
      <c r="J158">
        <f t="shared" si="19"/>
        <v>0.24746210615748263</v>
      </c>
    </row>
    <row r="159" spans="1:10" x14ac:dyDescent="0.3">
      <c r="A159" s="2">
        <v>44066</v>
      </c>
      <c r="B159">
        <v>9.8710000000000006E-2</v>
      </c>
      <c r="C159">
        <v>-14.5</v>
      </c>
      <c r="D159">
        <f t="shared" si="14"/>
        <v>210.25</v>
      </c>
      <c r="E159">
        <f t="shared" si="16"/>
        <v>-1.431295</v>
      </c>
      <c r="F159">
        <f t="shared" si="15"/>
        <v>0.92770579017845156</v>
      </c>
      <c r="G159">
        <f t="shared" si="20"/>
        <v>-0.8289957901784516</v>
      </c>
      <c r="H159">
        <f t="shared" si="17"/>
        <v>0.68723402013359536</v>
      </c>
      <c r="I159">
        <f t="shared" si="18"/>
        <v>2.4894768473827373E-3</v>
      </c>
      <c r="J159">
        <f t="shared" si="19"/>
        <v>0.24894768473827372</v>
      </c>
    </row>
    <row r="160" spans="1:10" x14ac:dyDescent="0.3">
      <c r="A160" s="2">
        <v>44059</v>
      </c>
      <c r="B160">
        <v>8.8880000000000001E-2</v>
      </c>
      <c r="C160">
        <v>-13.5</v>
      </c>
      <c r="D160">
        <f t="shared" si="14"/>
        <v>182.25</v>
      </c>
      <c r="E160">
        <f t="shared" si="16"/>
        <v>-1.1998800000000001</v>
      </c>
      <c r="F160">
        <f t="shared" si="15"/>
        <v>0.92206276685248612</v>
      </c>
      <c r="G160">
        <f t="shared" si="20"/>
        <v>-0.83318276685248616</v>
      </c>
      <c r="H160">
        <f t="shared" si="17"/>
        <v>0.69419352297996428</v>
      </c>
      <c r="I160">
        <f t="shared" si="18"/>
        <v>2.5020503509083666E-3</v>
      </c>
      <c r="J160">
        <f t="shared" si="19"/>
        <v>0.25020503509083664</v>
      </c>
    </row>
    <row r="161" spans="1:10" x14ac:dyDescent="0.3">
      <c r="A161" s="2">
        <v>44052</v>
      </c>
      <c r="B161">
        <v>8.7959999999999997E-2</v>
      </c>
      <c r="C161">
        <v>-12.5</v>
      </c>
      <c r="D161">
        <f t="shared" si="14"/>
        <v>156.25</v>
      </c>
      <c r="E161">
        <f t="shared" si="16"/>
        <v>-1.0994999999999999</v>
      </c>
      <c r="F161">
        <f t="shared" si="15"/>
        <v>0.91641974352652056</v>
      </c>
      <c r="G161">
        <f t="shared" si="20"/>
        <v>-0.82845974352652052</v>
      </c>
      <c r="H161">
        <f t="shared" si="17"/>
        <v>0.68634554664402814</v>
      </c>
      <c r="I161">
        <f t="shared" si="18"/>
        <v>2.4878670976772386E-3</v>
      </c>
      <c r="J161">
        <f t="shared" si="19"/>
        <v>0.24878670976772385</v>
      </c>
    </row>
    <row r="162" spans="1:10" x14ac:dyDescent="0.3">
      <c r="A162" s="2">
        <v>44045</v>
      </c>
      <c r="B162">
        <v>7.6079999999999995E-2</v>
      </c>
      <c r="C162">
        <v>-11.5</v>
      </c>
      <c r="D162">
        <f t="shared" si="14"/>
        <v>132.25</v>
      </c>
      <c r="E162">
        <f t="shared" si="16"/>
        <v>-0.87491999999999992</v>
      </c>
      <c r="F162">
        <f t="shared" si="15"/>
        <v>0.91077672020055511</v>
      </c>
      <c r="G162">
        <f t="shared" si="20"/>
        <v>-0.83469672020055508</v>
      </c>
      <c r="H162">
        <f t="shared" si="17"/>
        <v>0.69671861471356378</v>
      </c>
      <c r="I162">
        <f t="shared" si="18"/>
        <v>2.5065967573590243E-3</v>
      </c>
      <c r="J162">
        <f t="shared" si="19"/>
        <v>0.25065967573590242</v>
      </c>
    </row>
    <row r="163" spans="1:10" x14ac:dyDescent="0.3">
      <c r="A163" s="2">
        <v>44038</v>
      </c>
      <c r="B163">
        <v>7.7560000000000004E-2</v>
      </c>
      <c r="C163">
        <v>-10.5</v>
      </c>
      <c r="D163">
        <f t="shared" si="14"/>
        <v>110.25</v>
      </c>
      <c r="E163">
        <f t="shared" si="16"/>
        <v>-0.81437999999999999</v>
      </c>
      <c r="F163">
        <f t="shared" si="15"/>
        <v>0.90513369687458956</v>
      </c>
      <c r="G163">
        <f t="shared" si="20"/>
        <v>-0.82757369687458959</v>
      </c>
      <c r="H163">
        <f t="shared" si="17"/>
        <v>0.68487822375867513</v>
      </c>
      <c r="I163">
        <f t="shared" si="18"/>
        <v>2.4852062969206896E-3</v>
      </c>
      <c r="J163">
        <f t="shared" si="19"/>
        <v>0.24852062969206895</v>
      </c>
    </row>
    <row r="164" spans="1:10" x14ac:dyDescent="0.3">
      <c r="A164" s="2">
        <v>44031</v>
      </c>
      <c r="B164">
        <v>8.2070000000000004E-2</v>
      </c>
      <c r="C164">
        <v>-9.5</v>
      </c>
      <c r="D164">
        <f t="shared" si="14"/>
        <v>90.25</v>
      </c>
      <c r="E164">
        <f t="shared" si="16"/>
        <v>-0.77966500000000005</v>
      </c>
      <c r="F164">
        <f t="shared" si="15"/>
        <v>0.89949067354862411</v>
      </c>
      <c r="G164">
        <f t="shared" si="20"/>
        <v>-0.81742067354862413</v>
      </c>
      <c r="H164">
        <f t="shared" si="17"/>
        <v>0.6681765575446863</v>
      </c>
      <c r="I164">
        <f t="shared" si="18"/>
        <v>2.4547167373832556E-3</v>
      </c>
      <c r="J164">
        <f t="shared" si="19"/>
        <v>0.24547167373832557</v>
      </c>
    </row>
    <row r="165" spans="1:10" x14ac:dyDescent="0.3">
      <c r="A165" s="2">
        <v>44024</v>
      </c>
      <c r="B165">
        <v>8.7120000000000003E-2</v>
      </c>
      <c r="C165">
        <v>-8.5</v>
      </c>
      <c r="D165">
        <f t="shared" si="14"/>
        <v>72.25</v>
      </c>
      <c r="E165">
        <f t="shared" si="16"/>
        <v>-0.74052000000000007</v>
      </c>
      <c r="F165">
        <f t="shared" si="15"/>
        <v>0.89384765022265855</v>
      </c>
      <c r="G165">
        <f t="shared" si="20"/>
        <v>-0.80672765022265858</v>
      </c>
      <c r="H165">
        <f t="shared" si="17"/>
        <v>0.65080950163377216</v>
      </c>
      <c r="I165">
        <f t="shared" si="18"/>
        <v>2.4226055562241999E-3</v>
      </c>
      <c r="J165">
        <f t="shared" si="19"/>
        <v>0.24226055562241999</v>
      </c>
    </row>
    <row r="166" spans="1:10" x14ac:dyDescent="0.3">
      <c r="A166" s="2">
        <v>44017</v>
      </c>
      <c r="B166">
        <v>0.10718</v>
      </c>
      <c r="C166">
        <v>-7.5</v>
      </c>
      <c r="D166">
        <f t="shared" si="14"/>
        <v>56.25</v>
      </c>
      <c r="E166">
        <f t="shared" si="16"/>
        <v>-0.80384999999999995</v>
      </c>
      <c r="F166">
        <f t="shared" si="15"/>
        <v>0.88820462689669311</v>
      </c>
      <c r="G166">
        <f t="shared" si="20"/>
        <v>-0.78102462689669316</v>
      </c>
      <c r="H166">
        <f t="shared" si="17"/>
        <v>0.60999946781911873</v>
      </c>
      <c r="I166">
        <f t="shared" si="18"/>
        <v>2.3454192999900697E-3</v>
      </c>
      <c r="J166">
        <f t="shared" si="19"/>
        <v>0.23454192999900697</v>
      </c>
    </row>
    <row r="167" spans="1:10" x14ac:dyDescent="0.3">
      <c r="A167" s="2">
        <v>44010</v>
      </c>
      <c r="B167">
        <v>9.7229999999999997E-2</v>
      </c>
      <c r="C167">
        <v>-6.5</v>
      </c>
      <c r="D167">
        <f t="shared" si="14"/>
        <v>42.25</v>
      </c>
      <c r="E167">
        <f t="shared" si="16"/>
        <v>-0.63199499999999997</v>
      </c>
      <c r="F167">
        <f t="shared" si="15"/>
        <v>0.88256160357072755</v>
      </c>
      <c r="G167">
        <f t="shared" si="20"/>
        <v>-0.78533160357072751</v>
      </c>
      <c r="H167">
        <f t="shared" si="17"/>
        <v>0.61674572756697033</v>
      </c>
      <c r="I167">
        <f t="shared" si="18"/>
        <v>2.3583531638760587E-3</v>
      </c>
      <c r="J167">
        <f t="shared" si="19"/>
        <v>0.23583531638760585</v>
      </c>
    </row>
    <row r="168" spans="1:10" x14ac:dyDescent="0.3">
      <c r="A168" s="2">
        <v>44003</v>
      </c>
      <c r="B168">
        <v>8.3260000000000001E-2</v>
      </c>
      <c r="C168">
        <v>-5.5</v>
      </c>
      <c r="D168">
        <f t="shared" si="14"/>
        <v>30.25</v>
      </c>
      <c r="E168">
        <f t="shared" si="16"/>
        <v>-0.45793</v>
      </c>
      <c r="F168">
        <f t="shared" si="15"/>
        <v>0.8769185802447621</v>
      </c>
      <c r="G168">
        <f t="shared" si="20"/>
        <v>-0.7936585802447621</v>
      </c>
      <c r="H168">
        <f t="shared" si="17"/>
        <v>0.62989394199613147</v>
      </c>
      <c r="I168">
        <f t="shared" si="18"/>
        <v>2.3833590998341204E-3</v>
      </c>
      <c r="J168">
        <f t="shared" si="19"/>
        <v>0.23833590998341203</v>
      </c>
    </row>
    <row r="169" spans="1:10" x14ac:dyDescent="0.3">
      <c r="A169" s="2">
        <v>43996</v>
      </c>
      <c r="B169">
        <v>7.0389999999999994E-2</v>
      </c>
      <c r="C169">
        <v>-4.5</v>
      </c>
      <c r="D169">
        <f t="shared" si="14"/>
        <v>20.25</v>
      </c>
      <c r="E169">
        <f t="shared" si="16"/>
        <v>-0.31675499999999995</v>
      </c>
      <c r="F169">
        <f t="shared" si="15"/>
        <v>0.87127555691879655</v>
      </c>
      <c r="G169">
        <f t="shared" si="20"/>
        <v>-0.80088555691879659</v>
      </c>
      <c r="H169">
        <f t="shared" si="17"/>
        <v>0.64141767528113103</v>
      </c>
      <c r="I169">
        <f t="shared" si="18"/>
        <v>2.4050617324888786E-3</v>
      </c>
      <c r="J169">
        <f t="shared" si="19"/>
        <v>0.24050617324888784</v>
      </c>
    </row>
    <row r="170" spans="1:10" x14ac:dyDescent="0.3">
      <c r="A170" s="2">
        <v>43989</v>
      </c>
      <c r="B170">
        <v>5.6890000000000003E-2</v>
      </c>
      <c r="C170">
        <v>-3.5</v>
      </c>
      <c r="D170">
        <f t="shared" si="14"/>
        <v>12.25</v>
      </c>
      <c r="E170">
        <f t="shared" si="16"/>
        <v>-0.19911500000000001</v>
      </c>
      <c r="F170">
        <f t="shared" si="15"/>
        <v>0.8656325335928311</v>
      </c>
      <c r="G170">
        <f t="shared" si="20"/>
        <v>-0.8087425335928311</v>
      </c>
      <c r="H170">
        <f t="shared" si="17"/>
        <v>0.65406448564215158</v>
      </c>
      <c r="I170">
        <f t="shared" si="18"/>
        <v>2.4286562570355287E-3</v>
      </c>
      <c r="J170">
        <f t="shared" si="19"/>
        <v>0.24286562570355286</v>
      </c>
    </row>
    <row r="171" spans="1:10" x14ac:dyDescent="0.3">
      <c r="A171" s="2">
        <v>43982</v>
      </c>
      <c r="B171">
        <v>5.0279999999999998E-2</v>
      </c>
      <c r="C171">
        <v>-2.5</v>
      </c>
      <c r="D171">
        <f t="shared" si="14"/>
        <v>6.25</v>
      </c>
      <c r="E171">
        <f t="shared" si="16"/>
        <v>-0.12570000000000001</v>
      </c>
      <c r="F171">
        <f t="shared" si="15"/>
        <v>0.85998951026686554</v>
      </c>
      <c r="G171">
        <f t="shared" si="20"/>
        <v>-0.80970951026686555</v>
      </c>
      <c r="H171">
        <f t="shared" si="17"/>
        <v>0.65562949101660728</v>
      </c>
      <c r="I171">
        <f t="shared" si="18"/>
        <v>2.4315600908914881E-3</v>
      </c>
      <c r="J171">
        <f t="shared" si="19"/>
        <v>0.24315600908914881</v>
      </c>
    </row>
    <row r="172" spans="1:10" x14ac:dyDescent="0.3">
      <c r="A172" s="2">
        <v>43975</v>
      </c>
      <c r="B172">
        <v>4.6059999999999997E-2</v>
      </c>
      <c r="C172">
        <v>-1.5</v>
      </c>
      <c r="D172">
        <f t="shared" si="14"/>
        <v>2.25</v>
      </c>
      <c r="E172">
        <f t="shared" si="16"/>
        <v>-6.9089999999999999E-2</v>
      </c>
      <c r="F172">
        <f t="shared" si="15"/>
        <v>0.8543464869409001</v>
      </c>
      <c r="G172">
        <f t="shared" si="20"/>
        <v>-0.80828648694090011</v>
      </c>
      <c r="H172">
        <f t="shared" si="17"/>
        <v>0.65332704497126193</v>
      </c>
      <c r="I172">
        <f t="shared" si="18"/>
        <v>2.4272867475702707E-3</v>
      </c>
      <c r="J172">
        <f t="shared" si="19"/>
        <v>0.24272867475702709</v>
      </c>
    </row>
    <row r="173" spans="1:10" x14ac:dyDescent="0.3">
      <c r="A173" s="2">
        <v>43968</v>
      </c>
      <c r="B173">
        <v>4.6820000000000001E-2</v>
      </c>
      <c r="C173">
        <v>-0.5</v>
      </c>
      <c r="D173">
        <f t="shared" si="14"/>
        <v>0.25</v>
      </c>
      <c r="E173">
        <f t="shared" si="16"/>
        <v>-2.341E-2</v>
      </c>
      <c r="F173">
        <f t="shared" si="15"/>
        <v>0.84870346361493454</v>
      </c>
      <c r="G173">
        <f t="shared" si="20"/>
        <v>-0.80188346361493457</v>
      </c>
      <c r="H173">
        <f t="shared" si="17"/>
        <v>0.64301708921908407</v>
      </c>
      <c r="I173">
        <f t="shared" si="18"/>
        <v>2.4080584492940978E-3</v>
      </c>
      <c r="J173">
        <f t="shared" si="19"/>
        <v>0.24080584492940979</v>
      </c>
    </row>
    <row r="174" spans="1:10" x14ac:dyDescent="0.3">
      <c r="A174" s="2">
        <v>43961</v>
      </c>
      <c r="B174">
        <v>5.6950000000000001E-2</v>
      </c>
      <c r="C174">
        <v>0.5</v>
      </c>
      <c r="D174">
        <f t="shared" si="14"/>
        <v>0.25</v>
      </c>
      <c r="E174">
        <f t="shared" si="16"/>
        <v>2.8475E-2</v>
      </c>
      <c r="F174">
        <f t="shared" si="15"/>
        <v>0.84306044028896909</v>
      </c>
      <c r="G174">
        <f t="shared" si="20"/>
        <v>-0.78611044028896915</v>
      </c>
      <c r="H174">
        <f t="shared" si="17"/>
        <v>0.61796962433131697</v>
      </c>
      <c r="I174">
        <f t="shared" si="18"/>
        <v>2.3606920128797873E-3</v>
      </c>
      <c r="J174">
        <f t="shared" si="19"/>
        <v>0.23606920128797873</v>
      </c>
    </row>
    <row r="175" spans="1:10" x14ac:dyDescent="0.3">
      <c r="A175" s="2">
        <v>43954</v>
      </c>
      <c r="B175">
        <v>6.0490000000000002E-2</v>
      </c>
      <c r="C175">
        <v>1.5</v>
      </c>
      <c r="D175">
        <f t="shared" si="14"/>
        <v>2.25</v>
      </c>
      <c r="E175">
        <f t="shared" si="16"/>
        <v>9.073500000000001E-2</v>
      </c>
      <c r="F175">
        <f t="shared" si="15"/>
        <v>0.83741741696300354</v>
      </c>
      <c r="G175">
        <f t="shared" si="20"/>
        <v>-0.77692741696300349</v>
      </c>
      <c r="H175">
        <f t="shared" si="17"/>
        <v>0.60361621122880471</v>
      </c>
      <c r="I175">
        <f t="shared" si="18"/>
        <v>2.3331153662552659E-3</v>
      </c>
      <c r="J175">
        <f t="shared" si="19"/>
        <v>0.23331153662552659</v>
      </c>
    </row>
    <row r="176" spans="1:10" x14ac:dyDescent="0.3">
      <c r="A176" s="2">
        <v>43947</v>
      </c>
      <c r="B176">
        <v>6.5460000000000004E-2</v>
      </c>
      <c r="C176">
        <v>2.5</v>
      </c>
      <c r="D176">
        <f t="shared" si="14"/>
        <v>6.25</v>
      </c>
      <c r="E176">
        <f t="shared" si="16"/>
        <v>0.16365000000000002</v>
      </c>
      <c r="F176">
        <f t="shared" si="15"/>
        <v>0.83177439363703809</v>
      </c>
      <c r="G176">
        <f t="shared" si="20"/>
        <v>-0.76631439363703813</v>
      </c>
      <c r="H176">
        <f t="shared" si="17"/>
        <v>0.58723774989530142</v>
      </c>
      <c r="I176">
        <f t="shared" si="18"/>
        <v>2.301244425336451E-3</v>
      </c>
      <c r="J176">
        <f t="shared" si="19"/>
        <v>0.23012444253364511</v>
      </c>
    </row>
    <row r="177" spans="1:10" x14ac:dyDescent="0.3">
      <c r="A177" s="2">
        <v>43940</v>
      </c>
      <c r="B177">
        <v>6.3350000000000004E-2</v>
      </c>
      <c r="C177">
        <v>3.5</v>
      </c>
      <c r="D177">
        <f t="shared" si="14"/>
        <v>12.25</v>
      </c>
      <c r="E177">
        <f t="shared" si="16"/>
        <v>0.22172500000000001</v>
      </c>
      <c r="F177">
        <f t="shared" si="15"/>
        <v>0.82613137031107253</v>
      </c>
      <c r="G177">
        <f t="shared" si="20"/>
        <v>-0.76278137031107252</v>
      </c>
      <c r="H177">
        <f t="shared" si="17"/>
        <v>0.58183541889363755</v>
      </c>
      <c r="I177">
        <f t="shared" si="18"/>
        <v>2.2906347456788964E-3</v>
      </c>
      <c r="J177">
        <f t="shared" si="19"/>
        <v>0.22906347456788964</v>
      </c>
    </row>
    <row r="178" spans="1:10" x14ac:dyDescent="0.3">
      <c r="A178" s="2">
        <v>43933</v>
      </c>
      <c r="B178">
        <v>5.3359999999999998E-2</v>
      </c>
      <c r="C178">
        <v>4.5</v>
      </c>
      <c r="D178">
        <f t="shared" si="14"/>
        <v>20.25</v>
      </c>
      <c r="E178">
        <f t="shared" si="16"/>
        <v>0.24012</v>
      </c>
      <c r="F178">
        <f t="shared" si="15"/>
        <v>0.82048834698510709</v>
      </c>
      <c r="G178">
        <f t="shared" si="20"/>
        <v>-0.76712834698510712</v>
      </c>
      <c r="H178">
        <f t="shared" si="17"/>
        <v>0.58848590074810292</v>
      </c>
      <c r="I178">
        <f t="shared" si="18"/>
        <v>2.3036887296850063E-3</v>
      </c>
      <c r="J178">
        <f t="shared" si="19"/>
        <v>0.23036887296850064</v>
      </c>
    </row>
    <row r="179" spans="1:10" x14ac:dyDescent="0.3">
      <c r="A179" s="2">
        <v>43926</v>
      </c>
      <c r="B179">
        <v>4.7190000000000003E-2</v>
      </c>
      <c r="C179">
        <v>5.5</v>
      </c>
      <c r="D179">
        <f t="shared" si="14"/>
        <v>30.25</v>
      </c>
      <c r="E179">
        <f t="shared" si="16"/>
        <v>0.25954500000000003</v>
      </c>
      <c r="F179">
        <f t="shared" si="15"/>
        <v>0.81484532365914153</v>
      </c>
      <c r="G179">
        <f t="shared" si="20"/>
        <v>-0.76765532365914158</v>
      </c>
      <c r="H179">
        <f t="shared" si="17"/>
        <v>0.58929469594222139</v>
      </c>
      <c r="I179">
        <f t="shared" si="18"/>
        <v>2.3052712422196443E-3</v>
      </c>
      <c r="J179">
        <f t="shared" si="19"/>
        <v>0.23052712422196442</v>
      </c>
    </row>
    <row r="180" spans="1:10" x14ac:dyDescent="0.3">
      <c r="A180" s="2">
        <v>43919</v>
      </c>
      <c r="B180">
        <v>4.7849999999999997E-2</v>
      </c>
      <c r="C180">
        <v>6.5</v>
      </c>
      <c r="D180">
        <f t="shared" si="14"/>
        <v>42.25</v>
      </c>
      <c r="E180">
        <f t="shared" si="16"/>
        <v>0.311025</v>
      </c>
      <c r="F180">
        <f t="shared" si="15"/>
        <v>0.80920230033317608</v>
      </c>
      <c r="G180">
        <f t="shared" si="20"/>
        <v>-0.76135230033317614</v>
      </c>
      <c r="H180">
        <f t="shared" si="17"/>
        <v>0.57965732522261881</v>
      </c>
      <c r="I180">
        <f t="shared" si="18"/>
        <v>2.2863432442437721E-3</v>
      </c>
      <c r="J180">
        <f t="shared" si="19"/>
        <v>0.2286343244243772</v>
      </c>
    </row>
    <row r="181" spans="1:10" x14ac:dyDescent="0.3">
      <c r="A181" s="2">
        <v>43912</v>
      </c>
      <c r="B181">
        <v>5.6270000000000001E-2</v>
      </c>
      <c r="C181">
        <v>7.5</v>
      </c>
      <c r="D181">
        <f t="shared" si="14"/>
        <v>56.25</v>
      </c>
      <c r="E181">
        <f t="shared" si="16"/>
        <v>0.42202499999999998</v>
      </c>
      <c r="F181">
        <f t="shared" si="15"/>
        <v>0.80355927700721053</v>
      </c>
      <c r="G181">
        <f t="shared" si="20"/>
        <v>-0.74728927700721048</v>
      </c>
      <c r="H181">
        <f t="shared" si="17"/>
        <v>0.55844126352995938</v>
      </c>
      <c r="I181">
        <f t="shared" si="18"/>
        <v>2.2441119429645962E-3</v>
      </c>
      <c r="J181">
        <f t="shared" si="19"/>
        <v>0.22441119429645962</v>
      </c>
    </row>
    <row r="182" spans="1:10" x14ac:dyDescent="0.3">
      <c r="A182" s="2">
        <v>43905</v>
      </c>
      <c r="B182">
        <v>6.5530000000000005E-2</v>
      </c>
      <c r="C182">
        <v>8.5</v>
      </c>
      <c r="D182">
        <f t="shared" si="14"/>
        <v>72.25</v>
      </c>
      <c r="E182">
        <f t="shared" si="16"/>
        <v>0.55700500000000008</v>
      </c>
      <c r="F182">
        <f t="shared" si="15"/>
        <v>0.79791625368124508</v>
      </c>
      <c r="G182">
        <f t="shared" si="20"/>
        <v>-0.7323862536812451</v>
      </c>
      <c r="H182">
        <f t="shared" si="17"/>
        <v>0.53638962458124906</v>
      </c>
      <c r="I182">
        <f t="shared" si="18"/>
        <v>2.1993581191628981E-3</v>
      </c>
      <c r="J182">
        <f t="shared" si="19"/>
        <v>0.2199358119162898</v>
      </c>
    </row>
    <row r="183" spans="1:10" x14ac:dyDescent="0.3">
      <c r="A183" s="2">
        <v>43898</v>
      </c>
      <c r="B183">
        <v>7.3459999999999998E-2</v>
      </c>
      <c r="C183">
        <v>9.5</v>
      </c>
      <c r="D183">
        <f t="shared" si="14"/>
        <v>90.25</v>
      </c>
      <c r="E183">
        <f t="shared" si="16"/>
        <v>0.69786999999999999</v>
      </c>
      <c r="F183">
        <f t="shared" si="15"/>
        <v>0.79227323035527952</v>
      </c>
      <c r="G183">
        <f t="shared" si="20"/>
        <v>-0.71881323035527955</v>
      </c>
      <c r="H183">
        <f t="shared" si="17"/>
        <v>0.51669246013379222</v>
      </c>
      <c r="I183">
        <f t="shared" si="18"/>
        <v>2.1585982893551937E-3</v>
      </c>
      <c r="J183">
        <f t="shared" si="19"/>
        <v>0.21585982893551936</v>
      </c>
    </row>
    <row r="184" spans="1:10" x14ac:dyDescent="0.3">
      <c r="A184" s="2">
        <v>43891</v>
      </c>
      <c r="B184">
        <v>8.9700000000000002E-2</v>
      </c>
      <c r="C184">
        <v>10.5</v>
      </c>
      <c r="D184">
        <f t="shared" si="14"/>
        <v>110.25</v>
      </c>
      <c r="E184">
        <f t="shared" si="16"/>
        <v>0.94185000000000008</v>
      </c>
      <c r="F184">
        <f t="shared" si="15"/>
        <v>0.78663020702931408</v>
      </c>
      <c r="G184">
        <f t="shared" si="20"/>
        <v>-0.69693020702931407</v>
      </c>
      <c r="H184">
        <f t="shared" si="17"/>
        <v>0.48571171346992259</v>
      </c>
      <c r="I184">
        <f t="shared" si="18"/>
        <v>2.0928835045925347E-3</v>
      </c>
      <c r="J184">
        <f t="shared" si="19"/>
        <v>0.20928835045925348</v>
      </c>
    </row>
    <row r="185" spans="1:10" x14ac:dyDescent="0.3">
      <c r="A185" s="2">
        <v>43884</v>
      </c>
      <c r="B185">
        <v>0.10841000000000001</v>
      </c>
      <c r="C185">
        <v>11.5</v>
      </c>
      <c r="D185">
        <f t="shared" si="14"/>
        <v>132.25</v>
      </c>
      <c r="E185">
        <f t="shared" si="16"/>
        <v>1.246715</v>
      </c>
      <c r="F185">
        <f t="shared" si="15"/>
        <v>0.78098718370334852</v>
      </c>
      <c r="G185">
        <f t="shared" si="20"/>
        <v>-0.67257718370334851</v>
      </c>
      <c r="H185">
        <f t="shared" si="17"/>
        <v>0.45236006803832779</v>
      </c>
      <c r="I185">
        <f t="shared" si="18"/>
        <v>2.0197513024124581E-3</v>
      </c>
      <c r="J185">
        <f t="shared" si="19"/>
        <v>0.2019751302412458</v>
      </c>
    </row>
    <row r="186" spans="1:10" x14ac:dyDescent="0.3">
      <c r="A186" s="2">
        <v>43877</v>
      </c>
      <c r="B186">
        <v>0.12371</v>
      </c>
      <c r="C186">
        <v>12.5</v>
      </c>
      <c r="D186">
        <f t="shared" si="14"/>
        <v>156.25</v>
      </c>
      <c r="E186">
        <f t="shared" si="16"/>
        <v>1.5463750000000001</v>
      </c>
      <c r="F186">
        <f t="shared" si="15"/>
        <v>0.77534416037738307</v>
      </c>
      <c r="G186">
        <f t="shared" si="20"/>
        <v>-0.65163416037738309</v>
      </c>
      <c r="H186">
        <f t="shared" si="17"/>
        <v>0.42462707897073704</v>
      </c>
      <c r="I186">
        <f t="shared" si="18"/>
        <v>1.9568593404726219E-3</v>
      </c>
      <c r="J186">
        <f t="shared" si="19"/>
        <v>0.1956859340472622</v>
      </c>
    </row>
    <row r="187" spans="1:10" x14ac:dyDescent="0.3">
      <c r="A187" s="2">
        <v>43870</v>
      </c>
      <c r="B187">
        <v>0.12517</v>
      </c>
      <c r="C187">
        <v>13.5</v>
      </c>
      <c r="D187">
        <f t="shared" si="14"/>
        <v>182.25</v>
      </c>
      <c r="E187">
        <f t="shared" si="16"/>
        <v>1.6897950000000002</v>
      </c>
      <c r="F187">
        <f t="shared" si="15"/>
        <v>0.76970113705141752</v>
      </c>
      <c r="G187">
        <f t="shared" si="20"/>
        <v>-0.64453113705141751</v>
      </c>
      <c r="H187">
        <f t="shared" si="17"/>
        <v>0.41542038662879316</v>
      </c>
      <c r="I187">
        <f t="shared" si="18"/>
        <v>1.9355289400943469E-3</v>
      </c>
      <c r="J187">
        <f t="shared" si="19"/>
        <v>0.19355289400943471</v>
      </c>
    </row>
    <row r="188" spans="1:10" x14ac:dyDescent="0.3">
      <c r="A188" s="2">
        <v>43863</v>
      </c>
      <c r="B188">
        <v>0.12366000000000001</v>
      </c>
      <c r="C188">
        <v>14.5</v>
      </c>
      <c r="D188">
        <f t="shared" si="14"/>
        <v>210.25</v>
      </c>
      <c r="E188">
        <f t="shared" si="16"/>
        <v>1.7930700000000002</v>
      </c>
      <c r="F188">
        <f t="shared" si="15"/>
        <v>0.76405811372545207</v>
      </c>
      <c r="G188">
        <f t="shared" si="20"/>
        <v>-0.64039811372545208</v>
      </c>
      <c r="H188">
        <f t="shared" si="17"/>
        <v>0.41010974406311707</v>
      </c>
      <c r="I188">
        <f t="shared" si="18"/>
        <v>1.9231174586349913E-3</v>
      </c>
      <c r="J188">
        <f t="shared" si="19"/>
        <v>0.19231174586349914</v>
      </c>
    </row>
    <row r="189" spans="1:10" x14ac:dyDescent="0.3">
      <c r="A189" s="2">
        <v>43856</v>
      </c>
      <c r="B189">
        <v>0.13672999999999999</v>
      </c>
      <c r="C189">
        <v>15.5</v>
      </c>
      <c r="D189">
        <f t="shared" si="14"/>
        <v>240.25</v>
      </c>
      <c r="E189">
        <f t="shared" si="16"/>
        <v>2.1193149999999998</v>
      </c>
      <c r="F189">
        <f t="shared" si="15"/>
        <v>0.75841509039948662</v>
      </c>
      <c r="G189">
        <f t="shared" si="20"/>
        <v>-0.62168509039948661</v>
      </c>
      <c r="H189">
        <f t="shared" si="17"/>
        <v>0.38649235162501783</v>
      </c>
      <c r="I189">
        <f t="shared" si="18"/>
        <v>1.8669221933918516E-3</v>
      </c>
      <c r="J189">
        <f t="shared" si="19"/>
        <v>0.18669221933918517</v>
      </c>
    </row>
    <row r="190" spans="1:10" x14ac:dyDescent="0.3">
      <c r="A190" s="2">
        <v>43849</v>
      </c>
      <c r="B190">
        <v>0.1386</v>
      </c>
      <c r="C190">
        <v>16.5</v>
      </c>
      <c r="D190">
        <f t="shared" si="14"/>
        <v>272.25</v>
      </c>
      <c r="E190">
        <f t="shared" si="16"/>
        <v>2.2869000000000002</v>
      </c>
      <c r="F190">
        <f t="shared" si="15"/>
        <v>0.75277206707352107</v>
      </c>
      <c r="G190">
        <f t="shared" si="20"/>
        <v>-0.61417206707352112</v>
      </c>
      <c r="H190">
        <f t="shared" si="17"/>
        <v>0.37720732797336171</v>
      </c>
      <c r="I190">
        <f t="shared" si="18"/>
        <v>1.8443605617823457E-3</v>
      </c>
      <c r="J190">
        <f t="shared" si="19"/>
        <v>0.18443605617823455</v>
      </c>
    </row>
    <row r="191" spans="1:10" x14ac:dyDescent="0.3">
      <c r="A191" s="2">
        <v>43842</v>
      </c>
      <c r="B191">
        <v>0.12053999999999999</v>
      </c>
      <c r="C191">
        <v>17.5</v>
      </c>
      <c r="D191">
        <f t="shared" si="14"/>
        <v>306.25</v>
      </c>
      <c r="E191">
        <f t="shared" si="16"/>
        <v>2.1094499999999998</v>
      </c>
      <c r="F191">
        <f t="shared" si="15"/>
        <v>0.74712904374755551</v>
      </c>
      <c r="G191">
        <f t="shared" si="20"/>
        <v>-0.62658904374755553</v>
      </c>
      <c r="H191">
        <f t="shared" si="17"/>
        <v>0.39261382974447606</v>
      </c>
      <c r="I191">
        <f t="shared" si="18"/>
        <v>1.8816487800226893E-3</v>
      </c>
      <c r="J191">
        <f t="shared" si="19"/>
        <v>0.18816487800226894</v>
      </c>
    </row>
    <row r="192" spans="1:10" x14ac:dyDescent="0.3">
      <c r="A192" s="2">
        <v>43835</v>
      </c>
      <c r="B192">
        <v>9.4789999999999999E-2</v>
      </c>
      <c r="C192">
        <v>18.5</v>
      </c>
      <c r="D192">
        <f t="shared" si="14"/>
        <v>342.25</v>
      </c>
      <c r="E192">
        <f t="shared" si="16"/>
        <v>1.7536149999999999</v>
      </c>
      <c r="F192">
        <f t="shared" si="15"/>
        <v>0.74148602042159006</v>
      </c>
      <c r="G192">
        <f t="shared" si="20"/>
        <v>-0.64669602042159002</v>
      </c>
      <c r="H192">
        <f t="shared" si="17"/>
        <v>0.41821574282912161</v>
      </c>
      <c r="I192">
        <f t="shared" si="18"/>
        <v>1.9420300913561262E-3</v>
      </c>
      <c r="J192">
        <f t="shared" si="19"/>
        <v>0.19420300913561261</v>
      </c>
    </row>
    <row r="193" spans="1:10" x14ac:dyDescent="0.3">
      <c r="A193" s="2">
        <v>43828</v>
      </c>
      <c r="B193">
        <v>8.4620000000000001E-2</v>
      </c>
      <c r="C193">
        <v>19.5</v>
      </c>
      <c r="D193">
        <f t="shared" si="14"/>
        <v>380.25</v>
      </c>
      <c r="E193">
        <f t="shared" si="16"/>
        <v>1.6500900000000001</v>
      </c>
      <c r="F193">
        <f t="shared" si="15"/>
        <v>0.73584299709562462</v>
      </c>
      <c r="G193">
        <f t="shared" si="20"/>
        <v>-0.65122299709562459</v>
      </c>
      <c r="H193">
        <f t="shared" si="17"/>
        <v>0.42409139194620787</v>
      </c>
      <c r="I193">
        <f t="shared" si="18"/>
        <v>1.9556246159027767E-3</v>
      </c>
      <c r="J193">
        <f t="shared" si="19"/>
        <v>0.19556246159027768</v>
      </c>
    </row>
    <row r="194" spans="1:10" x14ac:dyDescent="0.3">
      <c r="A194" s="2">
        <v>43821</v>
      </c>
      <c r="B194">
        <v>8.6499999999999994E-2</v>
      </c>
      <c r="C194">
        <v>20.5</v>
      </c>
      <c r="D194">
        <f t="shared" si="14"/>
        <v>420.25</v>
      </c>
      <c r="E194">
        <f t="shared" si="16"/>
        <v>1.7732499999999998</v>
      </c>
      <c r="F194">
        <f t="shared" si="15"/>
        <v>0.73019997376965906</v>
      </c>
      <c r="G194">
        <f t="shared" si="20"/>
        <v>-0.64369997376965904</v>
      </c>
      <c r="H194">
        <f t="shared" si="17"/>
        <v>0.41434965623105974</v>
      </c>
      <c r="I194">
        <f t="shared" si="18"/>
        <v>1.9330329542632404E-3</v>
      </c>
      <c r="J194">
        <f t="shared" si="19"/>
        <v>0.19330329542632405</v>
      </c>
    </row>
    <row r="195" spans="1:10" x14ac:dyDescent="0.3">
      <c r="A195" s="2">
        <v>43814</v>
      </c>
      <c r="B195">
        <v>8.5559999999999997E-2</v>
      </c>
      <c r="C195">
        <v>21.5</v>
      </c>
      <c r="D195">
        <f t="shared" si="14"/>
        <v>462.25</v>
      </c>
      <c r="E195">
        <f t="shared" si="16"/>
        <v>1.83954</v>
      </c>
      <c r="F195">
        <f t="shared" si="15"/>
        <v>0.72455695044369361</v>
      </c>
      <c r="G195">
        <f t="shared" si="20"/>
        <v>-0.63899695044369365</v>
      </c>
      <c r="H195">
        <f t="shared" si="17"/>
        <v>0.40831710267634025</v>
      </c>
      <c r="I195">
        <f t="shared" si="18"/>
        <v>1.9189097610921731E-3</v>
      </c>
      <c r="J195">
        <f t="shared" si="19"/>
        <v>0.19189097610921732</v>
      </c>
    </row>
    <row r="196" spans="1:10" x14ac:dyDescent="0.3">
      <c r="A196" s="2">
        <v>43807</v>
      </c>
      <c r="B196">
        <v>7.8560000000000005E-2</v>
      </c>
      <c r="C196">
        <v>22.5</v>
      </c>
      <c r="D196">
        <f t="shared" si="14"/>
        <v>506.25</v>
      </c>
      <c r="E196">
        <f t="shared" si="16"/>
        <v>1.7676000000000001</v>
      </c>
      <c r="F196">
        <f t="shared" si="15"/>
        <v>0.71891392711772806</v>
      </c>
      <c r="G196">
        <f t="shared" si="20"/>
        <v>-0.64035392711772809</v>
      </c>
      <c r="H196">
        <f t="shared" si="17"/>
        <v>0.41005315197509662</v>
      </c>
      <c r="I196">
        <f t="shared" si="18"/>
        <v>1.9229847661193036E-3</v>
      </c>
      <c r="J196">
        <f t="shared" si="19"/>
        <v>0.19229847661193036</v>
      </c>
    </row>
    <row r="197" spans="1:10" x14ac:dyDescent="0.3">
      <c r="A197" s="2">
        <v>43800</v>
      </c>
      <c r="B197">
        <v>8.2210000000000005E-2</v>
      </c>
      <c r="C197">
        <v>23.5</v>
      </c>
      <c r="D197">
        <f t="shared" si="14"/>
        <v>552.25</v>
      </c>
      <c r="E197">
        <f t="shared" si="16"/>
        <v>1.9319350000000002</v>
      </c>
      <c r="F197">
        <f t="shared" si="15"/>
        <v>0.71327090379176261</v>
      </c>
      <c r="G197">
        <f t="shared" si="20"/>
        <v>-0.63106090379176261</v>
      </c>
      <c r="H197">
        <f t="shared" si="17"/>
        <v>0.39823786429447627</v>
      </c>
      <c r="I197">
        <f t="shared" si="18"/>
        <v>1.8950777891644523E-3</v>
      </c>
      <c r="J197">
        <f t="shared" si="19"/>
        <v>0.18950777891644524</v>
      </c>
    </row>
    <row r="198" spans="1:10" x14ac:dyDescent="0.3">
      <c r="A198" s="2">
        <v>43793</v>
      </c>
      <c r="B198">
        <v>8.4309999999999996E-2</v>
      </c>
      <c r="C198">
        <v>24.5</v>
      </c>
      <c r="D198">
        <f t="shared" si="14"/>
        <v>600.25</v>
      </c>
      <c r="E198">
        <f t="shared" si="16"/>
        <v>2.0655950000000001</v>
      </c>
      <c r="F198">
        <f t="shared" si="15"/>
        <v>0.70762788046579705</v>
      </c>
      <c r="G198">
        <f t="shared" si="20"/>
        <v>-0.62331788046579706</v>
      </c>
      <c r="H198">
        <f t="shared" si="17"/>
        <v>0.38852518010837367</v>
      </c>
      <c r="I198">
        <f t="shared" si="18"/>
        <v>1.8718254668642555E-3</v>
      </c>
      <c r="J198">
        <f t="shared" si="19"/>
        <v>0.18718254668642556</v>
      </c>
    </row>
    <row r="199" spans="1:10" x14ac:dyDescent="0.3">
      <c r="A199" s="2">
        <v>43786</v>
      </c>
      <c r="B199">
        <v>8.9349999999999999E-2</v>
      </c>
      <c r="C199">
        <v>25.5</v>
      </c>
      <c r="D199">
        <f t="shared" si="14"/>
        <v>650.25</v>
      </c>
      <c r="E199">
        <f t="shared" si="16"/>
        <v>2.2784249999999999</v>
      </c>
      <c r="F199">
        <f t="shared" si="15"/>
        <v>0.70198485713983161</v>
      </c>
      <c r="G199">
        <f t="shared" si="20"/>
        <v>-0.61263485713983157</v>
      </c>
      <c r="H199">
        <f t="shared" si="17"/>
        <v>0.37532146818274181</v>
      </c>
      <c r="I199">
        <f t="shared" si="18"/>
        <v>1.83974431573523E-3</v>
      </c>
      <c r="J199">
        <f t="shared" si="19"/>
        <v>0.183974431573523</v>
      </c>
    </row>
    <row r="200" spans="1:10" x14ac:dyDescent="0.3">
      <c r="A200" s="2">
        <v>43779</v>
      </c>
      <c r="B200">
        <v>9.257E-2</v>
      </c>
      <c r="C200">
        <v>26.5</v>
      </c>
      <c r="D200">
        <f t="shared" ref="D200:D263" si="21">C200*C200</f>
        <v>702.25</v>
      </c>
      <c r="E200">
        <f t="shared" si="16"/>
        <v>2.4531049999999999</v>
      </c>
      <c r="F200">
        <f t="shared" ref="F200:F263" si="22">$G$3+$G$4*(C200)</f>
        <v>0.69634183381386605</v>
      </c>
      <c r="G200">
        <f t="shared" si="20"/>
        <v>-0.60377183381386601</v>
      </c>
      <c r="H200">
        <f t="shared" si="17"/>
        <v>0.36454042730695863</v>
      </c>
      <c r="I200">
        <f t="shared" si="18"/>
        <v>1.8131286300716698E-3</v>
      </c>
      <c r="J200">
        <f t="shared" si="19"/>
        <v>0.18131286300716698</v>
      </c>
    </row>
    <row r="201" spans="1:10" x14ac:dyDescent="0.3">
      <c r="A201" s="2">
        <v>43772</v>
      </c>
      <c r="B201">
        <v>9.4969999999999999E-2</v>
      </c>
      <c r="C201">
        <v>27.5</v>
      </c>
      <c r="D201">
        <f t="shared" si="21"/>
        <v>756.25</v>
      </c>
      <c r="E201">
        <f t="shared" ref="E201:E264" si="23">C201*B201</f>
        <v>2.611675</v>
      </c>
      <c r="F201">
        <f t="shared" si="22"/>
        <v>0.69069881048790061</v>
      </c>
      <c r="G201">
        <f t="shared" si="20"/>
        <v>-0.59572881048790061</v>
      </c>
      <c r="H201">
        <f t="shared" ref="H201:H264" si="24">G201*G201</f>
        <v>0.35489281564532899</v>
      </c>
      <c r="I201">
        <f t="shared" ref="I201:I264" si="25">ABS(G201)/$G$2</f>
        <v>1.7889754068705723E-3</v>
      </c>
      <c r="J201">
        <f t="shared" ref="J201:J264" si="26">I201*100</f>
        <v>0.17889754068705724</v>
      </c>
    </row>
    <row r="202" spans="1:10" x14ac:dyDescent="0.3">
      <c r="A202" s="2">
        <v>43765</v>
      </c>
      <c r="B202">
        <v>9.2490000000000003E-2</v>
      </c>
      <c r="C202">
        <v>28.5</v>
      </c>
      <c r="D202">
        <f t="shared" si="21"/>
        <v>812.25</v>
      </c>
      <c r="E202">
        <f t="shared" si="23"/>
        <v>2.6359650000000001</v>
      </c>
      <c r="F202">
        <f t="shared" si="22"/>
        <v>0.68505578716193505</v>
      </c>
      <c r="G202">
        <f t="shared" ref="G202:G265" si="27">B202-F202</f>
        <v>-0.59256578716193509</v>
      </c>
      <c r="H202">
        <f t="shared" si="24"/>
        <v>0.35113421211484375</v>
      </c>
      <c r="I202">
        <f t="shared" si="25"/>
        <v>1.7794768383241294E-3</v>
      </c>
      <c r="J202">
        <f t="shared" si="26"/>
        <v>0.17794768383241294</v>
      </c>
    </row>
    <row r="203" spans="1:10" x14ac:dyDescent="0.3">
      <c r="A203" s="2">
        <v>43758</v>
      </c>
      <c r="B203">
        <v>9.4950000000000007E-2</v>
      </c>
      <c r="C203">
        <v>29.5</v>
      </c>
      <c r="D203">
        <f t="shared" si="21"/>
        <v>870.25</v>
      </c>
      <c r="E203">
        <f t="shared" si="23"/>
        <v>2.8010250000000001</v>
      </c>
      <c r="F203">
        <f t="shared" si="22"/>
        <v>0.6794127638359696</v>
      </c>
      <c r="G203">
        <f t="shared" si="27"/>
        <v>-0.58446276383596962</v>
      </c>
      <c r="H203">
        <f t="shared" si="24"/>
        <v>0.34159672231078042</v>
      </c>
      <c r="I203">
        <f t="shared" si="25"/>
        <v>1.7551434349428517E-3</v>
      </c>
      <c r="J203">
        <f t="shared" si="26"/>
        <v>0.17551434349428519</v>
      </c>
    </row>
    <row r="204" spans="1:10" x14ac:dyDescent="0.3">
      <c r="A204" s="2">
        <v>43751</v>
      </c>
      <c r="B204">
        <v>9.3789999999999998E-2</v>
      </c>
      <c r="C204">
        <v>30.5</v>
      </c>
      <c r="D204">
        <f t="shared" si="21"/>
        <v>930.25</v>
      </c>
      <c r="E204">
        <f t="shared" si="23"/>
        <v>2.860595</v>
      </c>
      <c r="F204">
        <f t="shared" si="22"/>
        <v>0.67376974051000404</v>
      </c>
      <c r="G204">
        <f t="shared" si="27"/>
        <v>-0.579979740510004</v>
      </c>
      <c r="H204">
        <f t="shared" si="24"/>
        <v>0.33637649940205155</v>
      </c>
      <c r="I204">
        <f t="shared" si="25"/>
        <v>1.7416809024324445E-3</v>
      </c>
      <c r="J204">
        <f t="shared" si="26"/>
        <v>0.17416809024324445</v>
      </c>
    </row>
    <row r="205" spans="1:10" x14ac:dyDescent="0.3">
      <c r="A205" s="2">
        <v>43744</v>
      </c>
      <c r="B205">
        <v>0.10235</v>
      </c>
      <c r="C205">
        <v>31.5</v>
      </c>
      <c r="D205">
        <f t="shared" si="21"/>
        <v>992.25</v>
      </c>
      <c r="E205">
        <f t="shared" si="23"/>
        <v>3.2240249999999997</v>
      </c>
      <c r="F205">
        <f t="shared" si="22"/>
        <v>0.6681267171840386</v>
      </c>
      <c r="G205">
        <f t="shared" si="27"/>
        <v>-0.56577671718403866</v>
      </c>
      <c r="H205">
        <f t="shared" si="24"/>
        <v>0.32010329370754764</v>
      </c>
      <c r="I205">
        <f t="shared" si="25"/>
        <v>1.6990291807328487E-3</v>
      </c>
      <c r="J205">
        <f t="shared" si="26"/>
        <v>0.16990291807328486</v>
      </c>
    </row>
    <row r="206" spans="1:10" x14ac:dyDescent="0.3">
      <c r="A206" s="2">
        <v>43737</v>
      </c>
      <c r="B206">
        <v>0.10969</v>
      </c>
      <c r="C206">
        <v>32.5</v>
      </c>
      <c r="D206">
        <f t="shared" si="21"/>
        <v>1056.25</v>
      </c>
      <c r="E206">
        <f t="shared" si="23"/>
        <v>3.5649249999999997</v>
      </c>
      <c r="F206">
        <f t="shared" si="22"/>
        <v>0.66248369385807304</v>
      </c>
      <c r="G206">
        <f t="shared" si="27"/>
        <v>-0.55279369385807309</v>
      </c>
      <c r="H206">
        <f t="shared" si="24"/>
        <v>0.30558086796925304</v>
      </c>
      <c r="I206">
        <f t="shared" si="25"/>
        <v>1.6600411226969161E-3</v>
      </c>
      <c r="J206">
        <f t="shared" si="26"/>
        <v>0.16600411226969161</v>
      </c>
    </row>
    <row r="207" spans="1:10" x14ac:dyDescent="0.3">
      <c r="A207" s="2">
        <v>43730</v>
      </c>
      <c r="B207">
        <v>0.1077</v>
      </c>
      <c r="C207">
        <v>33.5</v>
      </c>
      <c r="D207">
        <f t="shared" si="21"/>
        <v>1122.25</v>
      </c>
      <c r="E207">
        <f t="shared" si="23"/>
        <v>3.6079500000000002</v>
      </c>
      <c r="F207">
        <f t="shared" si="22"/>
        <v>0.6568406705321076</v>
      </c>
      <c r="G207">
        <f t="shared" si="27"/>
        <v>-0.54914067053210758</v>
      </c>
      <c r="H207">
        <f t="shared" si="24"/>
        <v>0.3015554760324527</v>
      </c>
      <c r="I207">
        <f t="shared" si="25"/>
        <v>1.6490710826790017E-3</v>
      </c>
      <c r="J207">
        <f t="shared" si="26"/>
        <v>0.16490710826790017</v>
      </c>
    </row>
    <row r="208" spans="1:10" x14ac:dyDescent="0.3">
      <c r="A208" s="2">
        <v>43723</v>
      </c>
      <c r="B208">
        <v>0.11269</v>
      </c>
      <c r="C208">
        <v>34.5</v>
      </c>
      <c r="D208">
        <f t="shared" si="21"/>
        <v>1190.25</v>
      </c>
      <c r="E208">
        <f t="shared" si="23"/>
        <v>3.8878049999999997</v>
      </c>
      <c r="F208">
        <f t="shared" si="22"/>
        <v>0.65119764720614204</v>
      </c>
      <c r="G208">
        <f t="shared" si="27"/>
        <v>-0.53850764720614208</v>
      </c>
      <c r="H208">
        <f t="shared" si="24"/>
        <v>0.28999048609949479</v>
      </c>
      <c r="I208">
        <f t="shared" si="25"/>
        <v>1.6171400817001265E-3</v>
      </c>
      <c r="J208">
        <f t="shared" si="26"/>
        <v>0.16171400817001264</v>
      </c>
    </row>
    <row r="209" spans="1:10" x14ac:dyDescent="0.3">
      <c r="A209" s="2">
        <v>43716</v>
      </c>
      <c r="B209">
        <v>0.10616</v>
      </c>
      <c r="C209">
        <v>35.5</v>
      </c>
      <c r="D209">
        <f t="shared" si="21"/>
        <v>1260.25</v>
      </c>
      <c r="E209">
        <f t="shared" si="23"/>
        <v>3.7686800000000003</v>
      </c>
      <c r="F209">
        <f t="shared" si="22"/>
        <v>0.64555462388017659</v>
      </c>
      <c r="G209">
        <f t="shared" si="27"/>
        <v>-0.53939462388017656</v>
      </c>
      <c r="H209">
        <f t="shared" si="24"/>
        <v>0.29094656027083715</v>
      </c>
      <c r="I209">
        <f t="shared" si="25"/>
        <v>1.6198036753158455E-3</v>
      </c>
      <c r="J209">
        <f t="shared" si="26"/>
        <v>0.16198036753158454</v>
      </c>
    </row>
    <row r="210" spans="1:10" x14ac:dyDescent="0.3">
      <c r="A210" s="2">
        <v>43709</v>
      </c>
      <c r="B210">
        <v>9.5079999999999998E-2</v>
      </c>
      <c r="C210">
        <v>36.5</v>
      </c>
      <c r="D210">
        <f t="shared" si="21"/>
        <v>1332.25</v>
      </c>
      <c r="E210">
        <f t="shared" si="23"/>
        <v>3.4704199999999998</v>
      </c>
      <c r="F210">
        <f t="shared" si="22"/>
        <v>0.63991160055421104</v>
      </c>
      <c r="G210">
        <f t="shared" si="27"/>
        <v>-0.54483160055421109</v>
      </c>
      <c r="H210">
        <f t="shared" si="24"/>
        <v>0.29684147296246344</v>
      </c>
      <c r="I210">
        <f t="shared" si="25"/>
        <v>1.6361309325952284E-3</v>
      </c>
      <c r="J210">
        <f t="shared" si="26"/>
        <v>0.16361309325952283</v>
      </c>
    </row>
    <row r="211" spans="1:10" x14ac:dyDescent="0.3">
      <c r="A211" s="2">
        <v>43702</v>
      </c>
      <c r="B211">
        <v>9.3439999999999995E-2</v>
      </c>
      <c r="C211">
        <v>37.5</v>
      </c>
      <c r="D211">
        <f t="shared" si="21"/>
        <v>1406.25</v>
      </c>
      <c r="E211">
        <f t="shared" si="23"/>
        <v>3.504</v>
      </c>
      <c r="F211">
        <f t="shared" si="22"/>
        <v>0.63426857722824559</v>
      </c>
      <c r="G211">
        <f t="shared" si="27"/>
        <v>-0.54082857722824562</v>
      </c>
      <c r="H211">
        <f t="shared" si="24"/>
        <v>0.29249554994672844</v>
      </c>
      <c r="I211">
        <f t="shared" si="25"/>
        <v>1.6241098415262631E-3</v>
      </c>
      <c r="J211">
        <f t="shared" si="26"/>
        <v>0.16241098415262631</v>
      </c>
    </row>
    <row r="212" spans="1:10" x14ac:dyDescent="0.3">
      <c r="A212" s="2">
        <v>43695</v>
      </c>
      <c r="B212">
        <v>0.10387</v>
      </c>
      <c r="C212">
        <v>38.5</v>
      </c>
      <c r="D212">
        <f t="shared" si="21"/>
        <v>1482.25</v>
      </c>
      <c r="E212">
        <f t="shared" si="23"/>
        <v>3.9989950000000003</v>
      </c>
      <c r="F212">
        <f t="shared" si="22"/>
        <v>0.62862555390228003</v>
      </c>
      <c r="G212">
        <f t="shared" si="27"/>
        <v>-0.52475555390228001</v>
      </c>
      <c r="H212">
        <f t="shared" si="24"/>
        <v>0.27536839135128871</v>
      </c>
      <c r="I212">
        <f t="shared" si="25"/>
        <v>1.575842504211051E-3</v>
      </c>
      <c r="J212">
        <f t="shared" si="26"/>
        <v>0.1575842504211051</v>
      </c>
    </row>
    <row r="213" spans="1:10" x14ac:dyDescent="0.3">
      <c r="A213" s="2">
        <v>43688</v>
      </c>
      <c r="B213">
        <v>9.6439999999999998E-2</v>
      </c>
      <c r="C213">
        <v>39.5</v>
      </c>
      <c r="D213">
        <f t="shared" si="21"/>
        <v>1560.25</v>
      </c>
      <c r="E213">
        <f t="shared" si="23"/>
        <v>3.80938</v>
      </c>
      <c r="F213">
        <f t="shared" si="22"/>
        <v>0.62298253057631459</v>
      </c>
      <c r="G213">
        <f t="shared" si="27"/>
        <v>-0.52654253057631462</v>
      </c>
      <c r="H213">
        <f t="shared" si="24"/>
        <v>0.2772470365057092</v>
      </c>
      <c r="I213">
        <f t="shared" si="25"/>
        <v>1.5812088005294734E-3</v>
      </c>
      <c r="J213">
        <f t="shared" si="26"/>
        <v>0.15812088005294733</v>
      </c>
    </row>
    <row r="214" spans="1:10" x14ac:dyDescent="0.3">
      <c r="A214" s="2">
        <v>43681</v>
      </c>
      <c r="B214">
        <v>0.10055</v>
      </c>
      <c r="C214">
        <v>40.5</v>
      </c>
      <c r="D214">
        <f t="shared" si="21"/>
        <v>1640.25</v>
      </c>
      <c r="E214">
        <f t="shared" si="23"/>
        <v>4.0722750000000003</v>
      </c>
      <c r="F214">
        <f t="shared" si="22"/>
        <v>0.61733950725034914</v>
      </c>
      <c r="G214">
        <f t="shared" si="27"/>
        <v>-0.51678950725034911</v>
      </c>
      <c r="H214">
        <f t="shared" si="24"/>
        <v>0.26707139480405861</v>
      </c>
      <c r="I214">
        <f t="shared" si="25"/>
        <v>1.5519204421932406E-3</v>
      </c>
      <c r="J214">
        <f t="shared" si="26"/>
        <v>0.15519204421932406</v>
      </c>
    </row>
    <row r="215" spans="1:10" x14ac:dyDescent="0.3">
      <c r="A215" s="2">
        <v>43674</v>
      </c>
      <c r="B215">
        <v>0.11108</v>
      </c>
      <c r="C215">
        <v>41.5</v>
      </c>
      <c r="D215">
        <f t="shared" si="21"/>
        <v>1722.25</v>
      </c>
      <c r="E215">
        <f t="shared" si="23"/>
        <v>4.60982</v>
      </c>
      <c r="F215">
        <f t="shared" si="22"/>
        <v>0.61169648392438358</v>
      </c>
      <c r="G215">
        <f t="shared" si="27"/>
        <v>-0.50061648392438363</v>
      </c>
      <c r="H215">
        <f t="shared" si="24"/>
        <v>0.25061686397681265</v>
      </c>
      <c r="I215">
        <f t="shared" si="25"/>
        <v>1.5033528045777286E-3</v>
      </c>
      <c r="J215">
        <f t="shared" si="26"/>
        <v>0.15033528045777286</v>
      </c>
    </row>
    <row r="216" spans="1:10" x14ac:dyDescent="0.3">
      <c r="A216" s="2">
        <v>43667</v>
      </c>
      <c r="B216">
        <v>0.11541999999999999</v>
      </c>
      <c r="C216">
        <v>42.5</v>
      </c>
      <c r="D216">
        <f t="shared" si="21"/>
        <v>1806.25</v>
      </c>
      <c r="E216">
        <f t="shared" si="23"/>
        <v>4.9053499999999994</v>
      </c>
      <c r="F216">
        <f t="shared" si="22"/>
        <v>0.60605346059841803</v>
      </c>
      <c r="G216">
        <f t="shared" si="27"/>
        <v>-0.49063346059841806</v>
      </c>
      <c r="H216">
        <f t="shared" si="24"/>
        <v>0.24072119265877945</v>
      </c>
      <c r="I216">
        <f t="shared" si="25"/>
        <v>1.4733737555508049E-3</v>
      </c>
      <c r="J216">
        <f t="shared" si="26"/>
        <v>0.1473373755550805</v>
      </c>
    </row>
    <row r="217" spans="1:10" x14ac:dyDescent="0.3">
      <c r="A217" s="2">
        <v>43660</v>
      </c>
      <c r="B217">
        <v>0.13561999999999999</v>
      </c>
      <c r="C217">
        <v>43.5</v>
      </c>
      <c r="D217">
        <f t="shared" si="21"/>
        <v>1892.25</v>
      </c>
      <c r="E217">
        <f t="shared" si="23"/>
        <v>5.89947</v>
      </c>
      <c r="F217">
        <f t="shared" si="22"/>
        <v>0.60041043727245258</v>
      </c>
      <c r="G217">
        <f t="shared" si="27"/>
        <v>-0.46479043727245262</v>
      </c>
      <c r="H217">
        <f t="shared" si="24"/>
        <v>0.2160301505799177</v>
      </c>
      <c r="I217">
        <f t="shared" si="25"/>
        <v>1.3957670788962541E-3</v>
      </c>
      <c r="J217">
        <f t="shared" si="26"/>
        <v>0.13957670788962542</v>
      </c>
    </row>
    <row r="218" spans="1:10" x14ac:dyDescent="0.3">
      <c r="A218" s="2">
        <v>43653</v>
      </c>
      <c r="B218">
        <v>0.12690000000000001</v>
      </c>
      <c r="C218">
        <v>44.5</v>
      </c>
      <c r="D218">
        <f t="shared" si="21"/>
        <v>1980.25</v>
      </c>
      <c r="E218">
        <f t="shared" si="23"/>
        <v>5.6470500000000001</v>
      </c>
      <c r="F218">
        <f t="shared" si="22"/>
        <v>0.59476741394648713</v>
      </c>
      <c r="G218">
        <f t="shared" si="27"/>
        <v>-0.46786741394648712</v>
      </c>
      <c r="H218">
        <f t="shared" si="24"/>
        <v>0.21889991703297354</v>
      </c>
      <c r="I218">
        <f t="shared" si="25"/>
        <v>1.4050072490885499E-3</v>
      </c>
      <c r="J218">
        <f t="shared" si="26"/>
        <v>0.14050072490885498</v>
      </c>
    </row>
    <row r="219" spans="1:10" x14ac:dyDescent="0.3">
      <c r="A219" s="2">
        <v>43646</v>
      </c>
      <c r="B219">
        <v>0.12404</v>
      </c>
      <c r="C219">
        <v>45.5</v>
      </c>
      <c r="D219">
        <f t="shared" si="21"/>
        <v>2070.25</v>
      </c>
      <c r="E219">
        <f t="shared" si="23"/>
        <v>5.6438199999999998</v>
      </c>
      <c r="F219">
        <f t="shared" si="22"/>
        <v>0.58912439062052158</v>
      </c>
      <c r="G219">
        <f t="shared" si="27"/>
        <v>-0.46508439062052159</v>
      </c>
      <c r="H219">
        <f t="shared" si="24"/>
        <v>0.2163034903988619</v>
      </c>
      <c r="I219">
        <f t="shared" si="25"/>
        <v>1.3966498216832479E-3</v>
      </c>
      <c r="J219">
        <f t="shared" si="26"/>
        <v>0.13966498216832479</v>
      </c>
    </row>
    <row r="220" spans="1:10" x14ac:dyDescent="0.3">
      <c r="A220" s="2">
        <v>43639</v>
      </c>
      <c r="B220">
        <v>0.13225000000000001</v>
      </c>
      <c r="C220">
        <v>46.5</v>
      </c>
      <c r="D220">
        <f t="shared" si="21"/>
        <v>2162.25</v>
      </c>
      <c r="E220">
        <f t="shared" si="23"/>
        <v>6.1496250000000003</v>
      </c>
      <c r="F220">
        <f t="shared" si="22"/>
        <v>0.58348136729455602</v>
      </c>
      <c r="G220">
        <f t="shared" si="27"/>
        <v>-0.45123136729455604</v>
      </c>
      <c r="H220">
        <f t="shared" si="24"/>
        <v>0.20360974683051453</v>
      </c>
      <c r="I220">
        <f t="shared" si="25"/>
        <v>1.3550491510347029E-3</v>
      </c>
      <c r="J220">
        <f t="shared" si="26"/>
        <v>0.13550491510347029</v>
      </c>
    </row>
    <row r="221" spans="1:10" x14ac:dyDescent="0.3">
      <c r="A221" s="2">
        <v>43632</v>
      </c>
      <c r="B221">
        <v>0.14893000000000001</v>
      </c>
      <c r="C221">
        <v>47.5</v>
      </c>
      <c r="D221">
        <f t="shared" si="21"/>
        <v>2256.25</v>
      </c>
      <c r="E221">
        <f t="shared" si="23"/>
        <v>7.0741750000000003</v>
      </c>
      <c r="F221">
        <f t="shared" si="22"/>
        <v>0.57783834396859057</v>
      </c>
      <c r="G221">
        <f t="shared" si="27"/>
        <v>-0.42890834396859057</v>
      </c>
      <c r="H221">
        <f t="shared" si="24"/>
        <v>0.1839623675258788</v>
      </c>
      <c r="I221">
        <f t="shared" si="25"/>
        <v>1.2880130449507224E-3</v>
      </c>
      <c r="J221">
        <f t="shared" si="26"/>
        <v>0.12880130449507224</v>
      </c>
    </row>
    <row r="222" spans="1:10" x14ac:dyDescent="0.3">
      <c r="A222" s="2">
        <v>43625</v>
      </c>
      <c r="B222">
        <v>0.16441</v>
      </c>
      <c r="C222">
        <v>48.5</v>
      </c>
      <c r="D222">
        <f t="shared" si="21"/>
        <v>2352.25</v>
      </c>
      <c r="E222">
        <f t="shared" si="23"/>
        <v>7.9738850000000001</v>
      </c>
      <c r="F222">
        <f t="shared" si="22"/>
        <v>0.57219532064262513</v>
      </c>
      <c r="G222">
        <f t="shared" si="27"/>
        <v>-0.40778532064262513</v>
      </c>
      <c r="H222">
        <f t="shared" si="24"/>
        <v>0.16628886773160859</v>
      </c>
      <c r="I222">
        <f t="shared" si="25"/>
        <v>1.2245805424703456E-3</v>
      </c>
      <c r="J222">
        <f t="shared" si="26"/>
        <v>0.12245805424703456</v>
      </c>
    </row>
    <row r="223" spans="1:10" x14ac:dyDescent="0.3">
      <c r="A223" s="2">
        <v>43618</v>
      </c>
      <c r="B223">
        <v>0.17244000000000001</v>
      </c>
      <c r="C223">
        <v>49.5</v>
      </c>
      <c r="D223">
        <f t="shared" si="21"/>
        <v>2450.25</v>
      </c>
      <c r="E223">
        <f t="shared" si="23"/>
        <v>8.5357800000000008</v>
      </c>
      <c r="F223">
        <f t="shared" si="22"/>
        <v>0.56655229731665957</v>
      </c>
      <c r="G223">
        <f t="shared" si="27"/>
        <v>-0.39411229731665953</v>
      </c>
      <c r="H223">
        <f t="shared" si="24"/>
        <v>0.15532450289621505</v>
      </c>
      <c r="I223">
        <f t="shared" si="25"/>
        <v>1.1835204123623409E-3</v>
      </c>
      <c r="J223">
        <f t="shared" si="26"/>
        <v>0.11835204123623408</v>
      </c>
    </row>
    <row r="224" spans="1:10" x14ac:dyDescent="0.3">
      <c r="A224" s="2">
        <v>43611</v>
      </c>
      <c r="B224">
        <v>0.17871000000000001</v>
      </c>
      <c r="C224">
        <v>50.5</v>
      </c>
      <c r="D224">
        <f t="shared" si="21"/>
        <v>2550.25</v>
      </c>
      <c r="E224">
        <f t="shared" si="23"/>
        <v>9.0248550000000005</v>
      </c>
      <c r="F224">
        <f t="shared" si="22"/>
        <v>0.56090927399069401</v>
      </c>
      <c r="G224">
        <f t="shared" si="27"/>
        <v>-0.38219927399069398</v>
      </c>
      <c r="H224">
        <f t="shared" si="24"/>
        <v>0.14607628503901357</v>
      </c>
      <c r="I224">
        <f t="shared" si="25"/>
        <v>1.1477455675396216E-3</v>
      </c>
      <c r="J224">
        <f t="shared" si="26"/>
        <v>0.11477455675396216</v>
      </c>
    </row>
    <row r="225" spans="1:10" x14ac:dyDescent="0.3">
      <c r="A225" s="2">
        <v>43604</v>
      </c>
      <c r="B225">
        <v>0.1749</v>
      </c>
      <c r="C225">
        <v>51.5</v>
      </c>
      <c r="D225">
        <f t="shared" si="21"/>
        <v>2652.25</v>
      </c>
      <c r="E225">
        <f t="shared" si="23"/>
        <v>9.0073500000000006</v>
      </c>
      <c r="F225">
        <f t="shared" si="22"/>
        <v>0.55526625066472857</v>
      </c>
      <c r="G225">
        <f t="shared" si="27"/>
        <v>-0.38036625066472857</v>
      </c>
      <c r="H225">
        <f t="shared" si="24"/>
        <v>0.14467848464474312</v>
      </c>
      <c r="I225">
        <f t="shared" si="25"/>
        <v>1.1422409929871728E-3</v>
      </c>
      <c r="J225">
        <f t="shared" si="26"/>
        <v>0.11422409929871728</v>
      </c>
    </row>
    <row r="226" spans="1:10" x14ac:dyDescent="0.3">
      <c r="A226" s="2">
        <v>43597</v>
      </c>
      <c r="B226">
        <v>0.18709999999999999</v>
      </c>
      <c r="C226">
        <v>52.5</v>
      </c>
      <c r="D226">
        <f t="shared" si="21"/>
        <v>2756.25</v>
      </c>
      <c r="E226">
        <f t="shared" si="23"/>
        <v>9.8227499999999992</v>
      </c>
      <c r="F226">
        <f t="shared" si="22"/>
        <v>0.54962322733876312</v>
      </c>
      <c r="G226">
        <f t="shared" si="27"/>
        <v>-0.36252322733876313</v>
      </c>
      <c r="H226">
        <f t="shared" si="24"/>
        <v>0.13142309036011254</v>
      </c>
      <c r="I226">
        <f t="shared" si="25"/>
        <v>1.088658340356646E-3</v>
      </c>
      <c r="J226">
        <f t="shared" si="26"/>
        <v>0.1088658340356646</v>
      </c>
    </row>
    <row r="227" spans="1:10" x14ac:dyDescent="0.3">
      <c r="A227" s="2">
        <v>43590</v>
      </c>
      <c r="B227">
        <v>0.19452</v>
      </c>
      <c r="C227">
        <v>53.5</v>
      </c>
      <c r="D227">
        <f t="shared" si="21"/>
        <v>2862.25</v>
      </c>
      <c r="E227">
        <f t="shared" si="23"/>
        <v>10.40682</v>
      </c>
      <c r="F227">
        <f t="shared" si="22"/>
        <v>0.54398020401279756</v>
      </c>
      <c r="G227">
        <f t="shared" si="27"/>
        <v>-0.34946020401279754</v>
      </c>
      <c r="H227">
        <f t="shared" si="24"/>
        <v>0.12212243418866607</v>
      </c>
      <c r="I227">
        <f t="shared" si="25"/>
        <v>1.0494300420804731E-3</v>
      </c>
      <c r="J227">
        <f t="shared" si="26"/>
        <v>0.10494300420804731</v>
      </c>
    </row>
    <row r="228" spans="1:10" x14ac:dyDescent="0.3">
      <c r="A228" s="2">
        <v>43583</v>
      </c>
      <c r="B228">
        <v>0.20487</v>
      </c>
      <c r="C228">
        <v>54.5</v>
      </c>
      <c r="D228">
        <f t="shared" si="21"/>
        <v>2970.25</v>
      </c>
      <c r="E228">
        <f t="shared" si="23"/>
        <v>11.165414999999999</v>
      </c>
      <c r="F228">
        <f t="shared" si="22"/>
        <v>0.53833718068683201</v>
      </c>
      <c r="G228">
        <f t="shared" si="27"/>
        <v>-0.33346718068683201</v>
      </c>
      <c r="H228">
        <f t="shared" si="24"/>
        <v>0.11120036059522427</v>
      </c>
      <c r="I228">
        <f t="shared" si="25"/>
        <v>1.0014029450055016E-3</v>
      </c>
      <c r="J228">
        <f t="shared" si="26"/>
        <v>0.10014029450055016</v>
      </c>
    </row>
    <row r="229" spans="1:10" x14ac:dyDescent="0.3">
      <c r="A229" s="2">
        <v>43576</v>
      </c>
      <c r="B229">
        <v>0.22470000000000001</v>
      </c>
      <c r="C229">
        <v>55.5</v>
      </c>
      <c r="D229">
        <f t="shared" si="21"/>
        <v>3080.25</v>
      </c>
      <c r="E229">
        <f t="shared" si="23"/>
        <v>12.47085</v>
      </c>
      <c r="F229">
        <f t="shared" si="22"/>
        <v>0.53269415736086656</v>
      </c>
      <c r="G229">
        <f t="shared" si="27"/>
        <v>-0.30799415736086655</v>
      </c>
      <c r="H229">
        <f t="shared" si="24"/>
        <v>9.4860400968430222E-2</v>
      </c>
      <c r="I229">
        <f t="shared" si="25"/>
        <v>9.2490737946206169E-4</v>
      </c>
      <c r="J229">
        <f t="shared" si="26"/>
        <v>9.2490737946206172E-2</v>
      </c>
    </row>
    <row r="230" spans="1:10" x14ac:dyDescent="0.3">
      <c r="A230" s="2">
        <v>43569</v>
      </c>
      <c r="B230">
        <v>0.22536999999999999</v>
      </c>
      <c r="C230">
        <v>56.5</v>
      </c>
      <c r="D230">
        <f t="shared" si="21"/>
        <v>3192.25</v>
      </c>
      <c r="E230">
        <f t="shared" si="23"/>
        <v>12.733404999999999</v>
      </c>
      <c r="F230">
        <f t="shared" si="22"/>
        <v>0.52705113403490111</v>
      </c>
      <c r="G230">
        <f t="shared" si="27"/>
        <v>-0.30168113403490115</v>
      </c>
      <c r="H230">
        <f t="shared" si="24"/>
        <v>9.1011506632583991E-2</v>
      </c>
      <c r="I230">
        <f t="shared" si="25"/>
        <v>9.0594935145615961E-4</v>
      </c>
      <c r="J230">
        <f t="shared" si="26"/>
        <v>9.0594935145615965E-2</v>
      </c>
    </row>
    <row r="231" spans="1:10" x14ac:dyDescent="0.3">
      <c r="A231" s="2">
        <v>43562</v>
      </c>
      <c r="B231">
        <v>0.23996000000000001</v>
      </c>
      <c r="C231">
        <v>57.5</v>
      </c>
      <c r="D231">
        <f t="shared" si="21"/>
        <v>3306.25</v>
      </c>
      <c r="E231">
        <f t="shared" si="23"/>
        <v>13.797700000000001</v>
      </c>
      <c r="F231">
        <f t="shared" si="22"/>
        <v>0.52140811070893556</v>
      </c>
      <c r="G231">
        <f t="shared" si="27"/>
        <v>-0.28144811070893555</v>
      </c>
      <c r="H231">
        <f t="shared" si="24"/>
        <v>7.9213039021629239E-2</v>
      </c>
      <c r="I231">
        <f t="shared" si="25"/>
        <v>8.4518952164845511E-4</v>
      </c>
      <c r="J231">
        <f t="shared" si="26"/>
        <v>8.4518952164845507E-2</v>
      </c>
    </row>
    <row r="232" spans="1:10" x14ac:dyDescent="0.3">
      <c r="A232" s="2">
        <v>43555</v>
      </c>
      <c r="B232">
        <v>0.24234</v>
      </c>
      <c r="C232">
        <v>58.5</v>
      </c>
      <c r="D232">
        <f t="shared" si="21"/>
        <v>3422.25</v>
      </c>
      <c r="E232">
        <f t="shared" si="23"/>
        <v>14.17689</v>
      </c>
      <c r="F232">
        <f t="shared" si="22"/>
        <v>0.51576508738297</v>
      </c>
      <c r="G232">
        <f t="shared" si="27"/>
        <v>-0.27342508738297</v>
      </c>
      <c r="H232">
        <f t="shared" si="24"/>
        <v>7.4761278410384782E-2</v>
      </c>
      <c r="I232">
        <f t="shared" si="25"/>
        <v>8.2109635850741744E-4</v>
      </c>
      <c r="J232">
        <f t="shared" si="26"/>
        <v>8.2109635850741741E-2</v>
      </c>
    </row>
    <row r="233" spans="1:10" x14ac:dyDescent="0.3">
      <c r="A233" s="2">
        <v>43548</v>
      </c>
      <c r="B233">
        <v>0.26655000000000001</v>
      </c>
      <c r="C233">
        <v>59.5</v>
      </c>
      <c r="D233">
        <f t="shared" si="21"/>
        <v>3540.25</v>
      </c>
      <c r="E233">
        <f t="shared" si="23"/>
        <v>15.859725000000001</v>
      </c>
      <c r="F233">
        <f t="shared" si="22"/>
        <v>0.51012206405700455</v>
      </c>
      <c r="G233">
        <f t="shared" si="27"/>
        <v>-0.24357206405700454</v>
      </c>
      <c r="H233">
        <f t="shared" si="24"/>
        <v>5.9327350388989522E-2</v>
      </c>
      <c r="I233">
        <f t="shared" si="25"/>
        <v>7.3144763981082442E-4</v>
      </c>
      <c r="J233">
        <f t="shared" si="26"/>
        <v>7.3144763981082439E-2</v>
      </c>
    </row>
    <row r="234" spans="1:10" x14ac:dyDescent="0.3">
      <c r="A234" s="2">
        <v>43541</v>
      </c>
      <c r="B234">
        <v>0.25885000000000002</v>
      </c>
      <c r="C234">
        <v>60.5</v>
      </c>
      <c r="D234">
        <f t="shared" si="21"/>
        <v>3660.25</v>
      </c>
      <c r="E234">
        <f t="shared" si="23"/>
        <v>15.660425000000002</v>
      </c>
      <c r="F234">
        <f t="shared" si="22"/>
        <v>0.50447904073103911</v>
      </c>
      <c r="G234">
        <f t="shared" si="27"/>
        <v>-0.24562904073103908</v>
      </c>
      <c r="H234">
        <f t="shared" si="24"/>
        <v>6.0333625650450459E-2</v>
      </c>
      <c r="I234">
        <f t="shared" si="25"/>
        <v>7.3762474694005732E-4</v>
      </c>
      <c r="J234">
        <f t="shared" si="26"/>
        <v>7.3762474694005736E-2</v>
      </c>
    </row>
    <row r="235" spans="1:10" x14ac:dyDescent="0.3">
      <c r="A235" s="2">
        <v>43534</v>
      </c>
      <c r="B235">
        <v>0.22858999999999999</v>
      </c>
      <c r="C235">
        <v>61.5</v>
      </c>
      <c r="D235">
        <f t="shared" si="21"/>
        <v>3782.25</v>
      </c>
      <c r="E235">
        <f t="shared" si="23"/>
        <v>14.058285</v>
      </c>
      <c r="F235">
        <f t="shared" si="22"/>
        <v>0.49883601740507355</v>
      </c>
      <c r="G235">
        <f t="shared" si="27"/>
        <v>-0.27024601740507359</v>
      </c>
      <c r="H235">
        <f t="shared" si="24"/>
        <v>7.3032909923303344E-2</v>
      </c>
      <c r="I235">
        <f t="shared" si="25"/>
        <v>8.1154960181703778E-4</v>
      </c>
      <c r="J235">
        <f t="shared" si="26"/>
        <v>8.1154960181703775E-2</v>
      </c>
    </row>
    <row r="236" spans="1:10" x14ac:dyDescent="0.3">
      <c r="A236" s="2">
        <v>43527</v>
      </c>
      <c r="B236">
        <v>0.20855000000000001</v>
      </c>
      <c r="C236">
        <v>62.5</v>
      </c>
      <c r="D236">
        <f t="shared" si="21"/>
        <v>3906.25</v>
      </c>
      <c r="E236">
        <f t="shared" si="23"/>
        <v>13.034375000000001</v>
      </c>
      <c r="F236">
        <f t="shared" si="22"/>
        <v>0.49319299407910805</v>
      </c>
      <c r="G236">
        <f t="shared" si="27"/>
        <v>-0.28464299407910804</v>
      </c>
      <c r="H236">
        <f t="shared" si="24"/>
        <v>8.1021634078319138E-2</v>
      </c>
      <c r="I236">
        <f t="shared" si="25"/>
        <v>8.5478376600332741E-4</v>
      </c>
      <c r="J236">
        <f t="shared" si="26"/>
        <v>8.5478376600332737E-2</v>
      </c>
    </row>
    <row r="237" spans="1:10" x14ac:dyDescent="0.3">
      <c r="A237" s="2">
        <v>43520</v>
      </c>
      <c r="B237">
        <v>0.21124000000000001</v>
      </c>
      <c r="C237">
        <v>63.5</v>
      </c>
      <c r="D237">
        <f t="shared" si="21"/>
        <v>4032.25</v>
      </c>
      <c r="E237">
        <f t="shared" si="23"/>
        <v>13.413740000000001</v>
      </c>
      <c r="F237">
        <f t="shared" si="22"/>
        <v>0.48754997075314255</v>
      </c>
      <c r="G237">
        <f t="shared" si="27"/>
        <v>-0.27630997075314256</v>
      </c>
      <c r="H237">
        <f t="shared" si="24"/>
        <v>7.63471999376025E-2</v>
      </c>
      <c r="I237">
        <f t="shared" si="25"/>
        <v>8.2975967193135909E-4</v>
      </c>
      <c r="J237">
        <f t="shared" si="26"/>
        <v>8.2975967193135908E-2</v>
      </c>
    </row>
    <row r="238" spans="1:10" x14ac:dyDescent="0.3">
      <c r="A238" s="2">
        <v>43513</v>
      </c>
      <c r="B238">
        <v>0.20876</v>
      </c>
      <c r="C238">
        <v>64.5</v>
      </c>
      <c r="D238">
        <f t="shared" si="21"/>
        <v>4160.25</v>
      </c>
      <c r="E238">
        <f t="shared" si="23"/>
        <v>13.465020000000001</v>
      </c>
      <c r="F238">
        <f t="shared" si="22"/>
        <v>0.4819069474271771</v>
      </c>
      <c r="G238">
        <f t="shared" si="27"/>
        <v>-0.2731469474271771</v>
      </c>
      <c r="H238">
        <f t="shared" si="24"/>
        <v>7.4609254888785045E-2</v>
      </c>
      <c r="I238">
        <f t="shared" si="25"/>
        <v>8.2026110338491627E-4</v>
      </c>
      <c r="J238">
        <f t="shared" si="26"/>
        <v>8.2026110338491623E-2</v>
      </c>
    </row>
    <row r="239" spans="1:10" x14ac:dyDescent="0.3">
      <c r="A239" s="2">
        <v>43506</v>
      </c>
      <c r="B239">
        <v>0.21906999999999999</v>
      </c>
      <c r="C239">
        <v>65.5</v>
      </c>
      <c r="D239">
        <f t="shared" si="21"/>
        <v>4290.25</v>
      </c>
      <c r="E239">
        <f t="shared" si="23"/>
        <v>14.349084999999999</v>
      </c>
      <c r="F239">
        <f t="shared" si="22"/>
        <v>0.4762639241012116</v>
      </c>
      <c r="G239">
        <f t="shared" si="27"/>
        <v>-0.25719392410121161</v>
      </c>
      <c r="H239">
        <f t="shared" si="24"/>
        <v>6.6148714594579799E-2</v>
      </c>
      <c r="I239">
        <f t="shared" si="25"/>
        <v>7.7235412643006493E-4</v>
      </c>
      <c r="J239">
        <f t="shared" si="26"/>
        <v>7.7235412643006499E-2</v>
      </c>
    </row>
    <row r="240" spans="1:10" x14ac:dyDescent="0.3">
      <c r="A240" s="2">
        <v>43499</v>
      </c>
      <c r="B240">
        <v>0.24356</v>
      </c>
      <c r="C240">
        <v>66.5</v>
      </c>
      <c r="D240">
        <f t="shared" si="21"/>
        <v>4422.25</v>
      </c>
      <c r="E240">
        <f t="shared" si="23"/>
        <v>16.196739999999998</v>
      </c>
      <c r="F240">
        <f t="shared" si="22"/>
        <v>0.4706209007752461</v>
      </c>
      <c r="G240">
        <f t="shared" si="27"/>
        <v>-0.2270609007752461</v>
      </c>
      <c r="H240">
        <f t="shared" si="24"/>
        <v>5.1556652660866155E-2</v>
      </c>
      <c r="I240">
        <f t="shared" si="25"/>
        <v>6.8186456689263094E-4</v>
      </c>
      <c r="J240">
        <f t="shared" si="26"/>
        <v>6.8186456689263097E-2</v>
      </c>
    </row>
    <row r="241" spans="1:10" x14ac:dyDescent="0.3">
      <c r="A241" s="2">
        <v>43492</v>
      </c>
      <c r="B241">
        <v>0.25040000000000001</v>
      </c>
      <c r="C241">
        <v>67.5</v>
      </c>
      <c r="D241">
        <f t="shared" si="21"/>
        <v>4556.25</v>
      </c>
      <c r="E241">
        <f t="shared" si="23"/>
        <v>16.902000000000001</v>
      </c>
      <c r="F241">
        <f t="shared" si="22"/>
        <v>0.4649778774492806</v>
      </c>
      <c r="G241">
        <f t="shared" si="27"/>
        <v>-0.21457787744928059</v>
      </c>
      <c r="H241">
        <f t="shared" si="24"/>
        <v>4.6043665490638479E-2</v>
      </c>
      <c r="I241">
        <f t="shared" si="25"/>
        <v>6.443780103582E-4</v>
      </c>
      <c r="J241">
        <f t="shared" si="26"/>
        <v>6.4437801035820003E-2</v>
      </c>
    </row>
    <row r="242" spans="1:10" x14ac:dyDescent="0.3">
      <c r="A242" s="2">
        <v>43485</v>
      </c>
      <c r="B242">
        <v>0.25409999999999999</v>
      </c>
      <c r="C242">
        <v>68.5</v>
      </c>
      <c r="D242">
        <f t="shared" si="21"/>
        <v>4692.25</v>
      </c>
      <c r="E242">
        <f t="shared" si="23"/>
        <v>17.405850000000001</v>
      </c>
      <c r="F242">
        <f t="shared" si="22"/>
        <v>0.4593348541233151</v>
      </c>
      <c r="G242">
        <f t="shared" si="27"/>
        <v>-0.2052348541233151</v>
      </c>
      <c r="H242">
        <f t="shared" si="24"/>
        <v>4.2121345347018432E-2</v>
      </c>
      <c r="I242">
        <f t="shared" si="25"/>
        <v>6.1632088325319851E-4</v>
      </c>
      <c r="J242">
        <f t="shared" si="26"/>
        <v>6.1632088325319849E-2</v>
      </c>
    </row>
    <row r="243" spans="1:10" x14ac:dyDescent="0.3">
      <c r="A243" s="2">
        <v>43478</v>
      </c>
      <c r="B243">
        <v>0.23304</v>
      </c>
      <c r="C243">
        <v>69.5</v>
      </c>
      <c r="D243">
        <f t="shared" si="21"/>
        <v>4830.25</v>
      </c>
      <c r="E243">
        <f t="shared" si="23"/>
        <v>16.196280000000002</v>
      </c>
      <c r="F243">
        <f t="shared" si="22"/>
        <v>0.45369183079734959</v>
      </c>
      <c r="G243">
        <f t="shared" si="27"/>
        <v>-0.2206518307973496</v>
      </c>
      <c r="H243">
        <f t="shared" si="24"/>
        <v>4.8687230434222198E-2</v>
      </c>
      <c r="I243">
        <f t="shared" si="25"/>
        <v>6.6261811050255135E-4</v>
      </c>
      <c r="J243">
        <f t="shared" si="26"/>
        <v>6.6261811050255137E-2</v>
      </c>
    </row>
    <row r="244" spans="1:10" x14ac:dyDescent="0.3">
      <c r="A244" s="2">
        <v>43471</v>
      </c>
      <c r="B244">
        <v>0.23724000000000001</v>
      </c>
      <c r="C244">
        <v>70.5</v>
      </c>
      <c r="D244">
        <f t="shared" si="21"/>
        <v>4970.25</v>
      </c>
      <c r="E244">
        <f t="shared" si="23"/>
        <v>16.72542</v>
      </c>
      <c r="F244">
        <f t="shared" si="22"/>
        <v>0.44804880747138409</v>
      </c>
      <c r="G244">
        <f t="shared" si="27"/>
        <v>-0.21080880747138409</v>
      </c>
      <c r="H244">
        <f t="shared" si="24"/>
        <v>4.4440353307507084E-2</v>
      </c>
      <c r="I244">
        <f t="shared" si="25"/>
        <v>6.3305948189604829E-4</v>
      </c>
      <c r="J244">
        <f t="shared" si="26"/>
        <v>6.3305948189604833E-2</v>
      </c>
    </row>
    <row r="245" spans="1:10" x14ac:dyDescent="0.3">
      <c r="A245" s="2">
        <v>43464</v>
      </c>
      <c r="B245">
        <v>0.24104</v>
      </c>
      <c r="C245">
        <v>71.5</v>
      </c>
      <c r="D245">
        <f t="shared" si="21"/>
        <v>5112.25</v>
      </c>
      <c r="E245">
        <f t="shared" si="23"/>
        <v>17.234359999999999</v>
      </c>
      <c r="F245">
        <f t="shared" si="22"/>
        <v>0.44240578414541859</v>
      </c>
      <c r="G245">
        <f t="shared" si="27"/>
        <v>-0.20136578414541859</v>
      </c>
      <c r="H245">
        <f t="shared" si="24"/>
        <v>4.0548179024499309E-2</v>
      </c>
      <c r="I245">
        <f t="shared" si="25"/>
        <v>6.0470205449074648E-4</v>
      </c>
      <c r="J245">
        <f t="shared" si="26"/>
        <v>6.0470205449074652E-2</v>
      </c>
    </row>
    <row r="246" spans="1:10" x14ac:dyDescent="0.3">
      <c r="A246" s="2">
        <v>43457</v>
      </c>
      <c r="B246">
        <v>0.24174999999999999</v>
      </c>
      <c r="C246">
        <v>72.5</v>
      </c>
      <c r="D246">
        <f t="shared" si="21"/>
        <v>5256.25</v>
      </c>
      <c r="E246">
        <f t="shared" si="23"/>
        <v>17.526875</v>
      </c>
      <c r="F246">
        <f t="shared" si="22"/>
        <v>0.43676276081945309</v>
      </c>
      <c r="G246">
        <f t="shared" si="27"/>
        <v>-0.1950127608194531</v>
      </c>
      <c r="H246">
        <f t="shared" si="24"/>
        <v>3.8029976882425223E-2</v>
      </c>
      <c r="I246">
        <f t="shared" si="25"/>
        <v>5.8562390636472401E-4</v>
      </c>
      <c r="J246">
        <f t="shared" si="26"/>
        <v>5.8562390636472401E-2</v>
      </c>
    </row>
    <row r="247" spans="1:10" x14ac:dyDescent="0.3">
      <c r="A247" s="2">
        <v>43450</v>
      </c>
      <c r="B247">
        <v>0.22255</v>
      </c>
      <c r="C247">
        <v>73.5</v>
      </c>
      <c r="D247">
        <f t="shared" si="21"/>
        <v>5402.25</v>
      </c>
      <c r="E247">
        <f t="shared" si="23"/>
        <v>16.357424999999999</v>
      </c>
      <c r="F247">
        <f t="shared" si="22"/>
        <v>0.43111973749348759</v>
      </c>
      <c r="G247">
        <f t="shared" si="27"/>
        <v>-0.20856973749348759</v>
      </c>
      <c r="H247">
        <f t="shared" si="24"/>
        <v>4.3501335398102324E-2</v>
      </c>
      <c r="I247">
        <f t="shared" si="25"/>
        <v>6.2633554802849129E-4</v>
      </c>
      <c r="J247">
        <f t="shared" si="26"/>
        <v>6.2633554802849128E-2</v>
      </c>
    </row>
    <row r="248" spans="1:10" x14ac:dyDescent="0.3">
      <c r="A248" s="2">
        <v>43443</v>
      </c>
      <c r="B248">
        <v>0.23149</v>
      </c>
      <c r="C248">
        <v>74.5</v>
      </c>
      <c r="D248">
        <f t="shared" si="21"/>
        <v>5550.25</v>
      </c>
      <c r="E248">
        <f t="shared" si="23"/>
        <v>17.246005</v>
      </c>
      <c r="F248">
        <f t="shared" si="22"/>
        <v>0.42547671416752209</v>
      </c>
      <c r="G248">
        <f t="shared" si="27"/>
        <v>-0.19398671416752208</v>
      </c>
      <c r="H248">
        <f t="shared" si="24"/>
        <v>3.7630845273511911E-2</v>
      </c>
      <c r="I248">
        <f t="shared" si="25"/>
        <v>5.8254268518775399E-4</v>
      </c>
      <c r="J248">
        <f t="shared" si="26"/>
        <v>5.8254268518775403E-2</v>
      </c>
    </row>
    <row r="249" spans="1:10" x14ac:dyDescent="0.3">
      <c r="A249" s="2">
        <v>43436</v>
      </c>
      <c r="B249">
        <v>0.24878</v>
      </c>
      <c r="C249">
        <v>75.5</v>
      </c>
      <c r="D249">
        <f t="shared" si="21"/>
        <v>5700.25</v>
      </c>
      <c r="E249">
        <f t="shared" si="23"/>
        <v>18.782890000000002</v>
      </c>
      <c r="F249">
        <f t="shared" si="22"/>
        <v>0.41983369084155658</v>
      </c>
      <c r="G249">
        <f t="shared" si="27"/>
        <v>-0.17105369084155658</v>
      </c>
      <c r="H249">
        <f t="shared" si="24"/>
        <v>2.9259365150518819E-2</v>
      </c>
      <c r="I249">
        <f t="shared" si="25"/>
        <v>5.1367474727194169E-4</v>
      </c>
      <c r="J249">
        <f t="shared" si="26"/>
        <v>5.1367474727194169E-2</v>
      </c>
    </row>
    <row r="250" spans="1:10" x14ac:dyDescent="0.3">
      <c r="A250" s="2">
        <v>43429</v>
      </c>
      <c r="B250">
        <v>0.26480999999999999</v>
      </c>
      <c r="C250">
        <v>76.5</v>
      </c>
      <c r="D250">
        <f t="shared" si="21"/>
        <v>5852.25</v>
      </c>
      <c r="E250">
        <f t="shared" si="23"/>
        <v>20.257964999999999</v>
      </c>
      <c r="F250">
        <f t="shared" si="22"/>
        <v>0.41419066751559108</v>
      </c>
      <c r="G250">
        <f t="shared" si="27"/>
        <v>-0.14938066751559109</v>
      </c>
      <c r="H250">
        <f t="shared" si="24"/>
        <v>2.2314583827403572E-2</v>
      </c>
      <c r="I250">
        <f t="shared" si="25"/>
        <v>4.4859059313991317E-4</v>
      </c>
      <c r="J250">
        <f t="shared" si="26"/>
        <v>4.4859059313991319E-2</v>
      </c>
    </row>
    <row r="251" spans="1:10" x14ac:dyDescent="0.3">
      <c r="A251" s="2">
        <v>43422</v>
      </c>
      <c r="B251">
        <v>0.25974999999999998</v>
      </c>
      <c r="C251">
        <v>77.5</v>
      </c>
      <c r="D251">
        <f t="shared" si="21"/>
        <v>6006.25</v>
      </c>
      <c r="E251">
        <f t="shared" si="23"/>
        <v>20.130624999999998</v>
      </c>
      <c r="F251">
        <f t="shared" si="22"/>
        <v>0.40854764418962558</v>
      </c>
      <c r="G251">
        <f t="shared" si="27"/>
        <v>-0.1487976441896256</v>
      </c>
      <c r="H251">
        <f t="shared" si="24"/>
        <v>2.2140738916382421E-2</v>
      </c>
      <c r="I251">
        <f t="shared" si="25"/>
        <v>4.4683977234121803E-4</v>
      </c>
      <c r="J251">
        <f t="shared" si="26"/>
        <v>4.4683977234121805E-2</v>
      </c>
    </row>
    <row r="252" spans="1:10" x14ac:dyDescent="0.3">
      <c r="A252" s="2">
        <v>43415</v>
      </c>
      <c r="B252">
        <v>0.26571</v>
      </c>
      <c r="C252">
        <v>78.5</v>
      </c>
      <c r="D252">
        <f t="shared" si="21"/>
        <v>6162.25</v>
      </c>
      <c r="E252">
        <f t="shared" si="23"/>
        <v>20.858235000000001</v>
      </c>
      <c r="F252">
        <f t="shared" si="22"/>
        <v>0.40290462086366008</v>
      </c>
      <c r="G252">
        <f t="shared" si="27"/>
        <v>-0.13719462086366008</v>
      </c>
      <c r="H252">
        <f t="shared" si="24"/>
        <v>1.8822363993923431E-2</v>
      </c>
      <c r="I252">
        <f t="shared" si="25"/>
        <v>4.1199585844942967E-4</v>
      </c>
      <c r="J252">
        <f t="shared" si="26"/>
        <v>4.1199585844942967E-2</v>
      </c>
    </row>
    <row r="253" spans="1:10" x14ac:dyDescent="0.3">
      <c r="A253" s="2">
        <v>43408</v>
      </c>
      <c r="B253">
        <v>0.24804999999999999</v>
      </c>
      <c r="C253">
        <v>79.5</v>
      </c>
      <c r="D253">
        <f t="shared" si="21"/>
        <v>6320.25</v>
      </c>
      <c r="E253">
        <f t="shared" si="23"/>
        <v>19.719974999999998</v>
      </c>
      <c r="F253">
        <f t="shared" si="22"/>
        <v>0.39726159753769458</v>
      </c>
      <c r="G253">
        <f t="shared" si="27"/>
        <v>-0.14921159753769458</v>
      </c>
      <c r="H253">
        <f t="shared" si="24"/>
        <v>2.2264100839750944E-2</v>
      </c>
      <c r="I253">
        <f t="shared" si="25"/>
        <v>4.480828754885723E-4</v>
      </c>
      <c r="J253">
        <f t="shared" si="26"/>
        <v>4.4808287548857233E-2</v>
      </c>
    </row>
    <row r="254" spans="1:10" x14ac:dyDescent="0.3">
      <c r="A254" s="2">
        <v>43401</v>
      </c>
      <c r="B254">
        <v>0.23719999999999999</v>
      </c>
      <c r="C254">
        <v>80.5</v>
      </c>
      <c r="D254">
        <f t="shared" si="21"/>
        <v>6480.25</v>
      </c>
      <c r="E254">
        <f t="shared" si="23"/>
        <v>19.0946</v>
      </c>
      <c r="F254">
        <f t="shared" si="22"/>
        <v>0.39161857421172908</v>
      </c>
      <c r="G254">
        <f t="shared" si="27"/>
        <v>-0.15441857421172908</v>
      </c>
      <c r="H254">
        <f t="shared" si="24"/>
        <v>2.3845096061583283E-2</v>
      </c>
      <c r="I254">
        <f t="shared" si="25"/>
        <v>4.6371944207726452E-4</v>
      </c>
      <c r="J254">
        <f t="shared" si="26"/>
        <v>4.6371944207726452E-2</v>
      </c>
    </row>
    <row r="255" spans="1:10" x14ac:dyDescent="0.3">
      <c r="A255" s="2">
        <v>43394</v>
      </c>
      <c r="B255">
        <v>0.26146000000000003</v>
      </c>
      <c r="C255">
        <v>81.5</v>
      </c>
      <c r="D255">
        <f t="shared" si="21"/>
        <v>6642.25</v>
      </c>
      <c r="E255">
        <f t="shared" si="23"/>
        <v>21.308990000000001</v>
      </c>
      <c r="F255">
        <f t="shared" si="22"/>
        <v>0.38597555088576357</v>
      </c>
      <c r="G255">
        <f t="shared" si="27"/>
        <v>-0.12451555088576355</v>
      </c>
      <c r="H255">
        <f t="shared" si="24"/>
        <v>1.5504122412385172E-2</v>
      </c>
      <c r="I255">
        <f t="shared" si="25"/>
        <v>3.7392057323052118E-4</v>
      </c>
      <c r="J255">
        <f t="shared" si="26"/>
        <v>3.7392057323052119E-2</v>
      </c>
    </row>
    <row r="256" spans="1:10" x14ac:dyDescent="0.3">
      <c r="A256" s="2">
        <v>43387</v>
      </c>
      <c r="B256">
        <v>0.25046000000000002</v>
      </c>
      <c r="C256">
        <v>82.5</v>
      </c>
      <c r="D256">
        <f t="shared" si="21"/>
        <v>6806.25</v>
      </c>
      <c r="E256">
        <f t="shared" si="23"/>
        <v>20.662950000000002</v>
      </c>
      <c r="F256">
        <f t="shared" si="22"/>
        <v>0.38033252755979807</v>
      </c>
      <c r="G256">
        <f t="shared" si="27"/>
        <v>-0.12987252755979806</v>
      </c>
      <c r="H256">
        <f t="shared" si="24"/>
        <v>1.6866873414770507E-2</v>
      </c>
      <c r="I256">
        <f t="shared" si="25"/>
        <v>3.9000759026966382E-4</v>
      </c>
      <c r="J256">
        <f t="shared" si="26"/>
        <v>3.9000759026966383E-2</v>
      </c>
    </row>
    <row r="257" spans="1:10" x14ac:dyDescent="0.3">
      <c r="A257" s="2">
        <v>43380</v>
      </c>
      <c r="B257">
        <v>0.2487</v>
      </c>
      <c r="C257">
        <v>83.5</v>
      </c>
      <c r="D257">
        <f t="shared" si="21"/>
        <v>6972.25</v>
      </c>
      <c r="E257">
        <f t="shared" si="23"/>
        <v>20.766449999999999</v>
      </c>
      <c r="F257">
        <f t="shared" si="22"/>
        <v>0.37468950423383257</v>
      </c>
      <c r="G257">
        <f t="shared" si="27"/>
        <v>-0.12598950423383257</v>
      </c>
      <c r="H257">
        <f t="shared" si="24"/>
        <v>1.5873355177086913E-2</v>
      </c>
      <c r="I257">
        <f t="shared" si="25"/>
        <v>3.7834685956105878E-4</v>
      </c>
      <c r="J257">
        <f t="shared" si="26"/>
        <v>3.7834685956105875E-2</v>
      </c>
    </row>
    <row r="258" spans="1:10" x14ac:dyDescent="0.3">
      <c r="A258" s="2">
        <v>43373</v>
      </c>
      <c r="B258">
        <v>0.24259</v>
      </c>
      <c r="C258">
        <v>84.5</v>
      </c>
      <c r="D258">
        <f t="shared" si="21"/>
        <v>7140.25</v>
      </c>
      <c r="E258">
        <f t="shared" si="23"/>
        <v>20.498854999999999</v>
      </c>
      <c r="F258">
        <f t="shared" si="22"/>
        <v>0.36904648090786707</v>
      </c>
      <c r="G258">
        <f t="shared" si="27"/>
        <v>-0.12645648090786707</v>
      </c>
      <c r="H258">
        <f t="shared" si="24"/>
        <v>1.5991241563601748E-2</v>
      </c>
      <c r="I258">
        <f t="shared" si="25"/>
        <v>3.7974919191551671E-4</v>
      </c>
      <c r="J258">
        <f t="shared" si="26"/>
        <v>3.7974919191551673E-2</v>
      </c>
    </row>
    <row r="259" spans="1:10" x14ac:dyDescent="0.3">
      <c r="A259" s="2">
        <v>43366</v>
      </c>
      <c r="B259">
        <v>0.28010000000000002</v>
      </c>
      <c r="C259">
        <v>85.5</v>
      </c>
      <c r="D259">
        <f t="shared" si="21"/>
        <v>7310.25</v>
      </c>
      <c r="E259">
        <f t="shared" si="23"/>
        <v>23.948550000000001</v>
      </c>
      <c r="F259">
        <f t="shared" si="22"/>
        <v>0.36340345758190157</v>
      </c>
      <c r="G259">
        <f t="shared" si="27"/>
        <v>-8.3303457581901552E-2</v>
      </c>
      <c r="H259">
        <f t="shared" si="24"/>
        <v>6.9394660450996714E-3</v>
      </c>
      <c r="I259">
        <f t="shared" si="25"/>
        <v>2.5016053327898367E-4</v>
      </c>
      <c r="J259">
        <f t="shared" si="26"/>
        <v>2.5016053327898368E-2</v>
      </c>
    </row>
    <row r="260" spans="1:10" x14ac:dyDescent="0.3">
      <c r="A260" s="2">
        <v>43359</v>
      </c>
      <c r="B260">
        <v>0.30647999999999997</v>
      </c>
      <c r="C260">
        <v>86.5</v>
      </c>
      <c r="D260">
        <f t="shared" si="21"/>
        <v>7482.25</v>
      </c>
      <c r="E260">
        <f t="shared" si="23"/>
        <v>26.510519999999996</v>
      </c>
      <c r="F260">
        <f t="shared" si="22"/>
        <v>0.35776043425593607</v>
      </c>
      <c r="G260">
        <f t="shared" si="27"/>
        <v>-5.1280434255936092E-2</v>
      </c>
      <c r="H260">
        <f t="shared" si="24"/>
        <v>2.6296829374773839E-3</v>
      </c>
      <c r="I260">
        <f t="shared" si="25"/>
        <v>1.5399529806587415E-4</v>
      </c>
      <c r="J260">
        <f t="shared" si="26"/>
        <v>1.5399529806587415E-2</v>
      </c>
    </row>
    <row r="261" spans="1:10" x14ac:dyDescent="0.3">
      <c r="A261" s="2">
        <v>43352</v>
      </c>
      <c r="B261">
        <v>0.31043999999999999</v>
      </c>
      <c r="C261">
        <v>87.5</v>
      </c>
      <c r="D261">
        <f t="shared" si="21"/>
        <v>7656.25</v>
      </c>
      <c r="E261">
        <f t="shared" si="23"/>
        <v>27.163499999999999</v>
      </c>
      <c r="F261">
        <f t="shared" si="22"/>
        <v>0.35211741092997056</v>
      </c>
      <c r="G261">
        <f t="shared" si="27"/>
        <v>-4.1677410929970571E-2</v>
      </c>
      <c r="H261">
        <f t="shared" si="24"/>
        <v>1.7370065818256303E-3</v>
      </c>
      <c r="I261">
        <f t="shared" si="25"/>
        <v>1.251573901800918E-4</v>
      </c>
      <c r="J261">
        <f t="shared" si="26"/>
        <v>1.2515739018009181E-2</v>
      </c>
    </row>
    <row r="262" spans="1:10" x14ac:dyDescent="0.3">
      <c r="A262" s="2">
        <v>43345</v>
      </c>
      <c r="B262">
        <v>0.33938000000000001</v>
      </c>
      <c r="C262">
        <v>88.5</v>
      </c>
      <c r="D262">
        <f t="shared" si="21"/>
        <v>7832.25</v>
      </c>
      <c r="E262">
        <f t="shared" si="23"/>
        <v>30.035130000000002</v>
      </c>
      <c r="F262">
        <f t="shared" si="22"/>
        <v>0.34647438760400506</v>
      </c>
      <c r="G262">
        <f t="shared" si="27"/>
        <v>-7.094387604005048E-3</v>
      </c>
      <c r="H262">
        <f t="shared" si="24"/>
        <v>5.0330335475860485E-5</v>
      </c>
      <c r="I262">
        <f t="shared" si="25"/>
        <v>2.1304467279294439E-5</v>
      </c>
      <c r="J262">
        <f t="shared" si="26"/>
        <v>2.130446727929444E-3</v>
      </c>
    </row>
    <row r="263" spans="1:10" x14ac:dyDescent="0.3">
      <c r="A263" s="2">
        <v>43338</v>
      </c>
      <c r="B263">
        <v>0.32158999999999999</v>
      </c>
      <c r="C263">
        <v>89.5</v>
      </c>
      <c r="D263">
        <f t="shared" si="21"/>
        <v>8010.25</v>
      </c>
      <c r="E263">
        <f t="shared" si="23"/>
        <v>28.782304999999997</v>
      </c>
      <c r="F263">
        <f t="shared" si="22"/>
        <v>0.34083136427803962</v>
      </c>
      <c r="G263">
        <f t="shared" si="27"/>
        <v>-1.924136427803963E-2</v>
      </c>
      <c r="H263">
        <f t="shared" si="24"/>
        <v>3.7023009928021955E-4</v>
      </c>
      <c r="I263">
        <f t="shared" si="25"/>
        <v>5.7781874708827716E-5</v>
      </c>
      <c r="J263">
        <f t="shared" si="26"/>
        <v>5.7781874708827717E-3</v>
      </c>
    </row>
    <row r="264" spans="1:10" x14ac:dyDescent="0.3">
      <c r="A264" s="2">
        <v>43331</v>
      </c>
      <c r="B264">
        <v>0.29418</v>
      </c>
      <c r="C264">
        <v>90.5</v>
      </c>
      <c r="D264">
        <f t="shared" ref="D264:D327" si="28">C264*C264</f>
        <v>8190.25</v>
      </c>
      <c r="E264">
        <f t="shared" si="23"/>
        <v>26.623290000000001</v>
      </c>
      <c r="F264">
        <f t="shared" ref="F264:F327" si="29">$G$3+$G$4*(C264)</f>
        <v>0.33518834095207406</v>
      </c>
      <c r="G264">
        <f t="shared" si="27"/>
        <v>-4.1008340952074063E-2</v>
      </c>
      <c r="H264">
        <f t="shared" si="24"/>
        <v>1.6816840276415545E-3</v>
      </c>
      <c r="I264">
        <f t="shared" si="25"/>
        <v>1.2314817102724944E-4</v>
      </c>
      <c r="J264">
        <f t="shared" si="26"/>
        <v>1.2314817102724945E-2</v>
      </c>
    </row>
    <row r="265" spans="1:10" x14ac:dyDescent="0.3">
      <c r="A265" s="2">
        <v>43324</v>
      </c>
      <c r="B265">
        <v>0.31830999999999998</v>
      </c>
      <c r="C265">
        <v>91.5</v>
      </c>
      <c r="D265">
        <f t="shared" si="28"/>
        <v>8372.25</v>
      </c>
      <c r="E265">
        <f t="shared" ref="E265:E328" si="30">C265*B265</f>
        <v>29.125364999999999</v>
      </c>
      <c r="F265">
        <f t="shared" si="29"/>
        <v>0.32954531762610861</v>
      </c>
      <c r="G265">
        <f t="shared" si="27"/>
        <v>-1.1235317626108632E-2</v>
      </c>
      <c r="H265">
        <f t="shared" ref="H265:H328" si="31">G265*G265</f>
        <v>1.262323621595473E-4</v>
      </c>
      <c r="I265">
        <f t="shared" ref="I265:I328" si="32">ABS(G265)/$G$2</f>
        <v>3.3739692570896794E-5</v>
      </c>
      <c r="J265">
        <f t="shared" ref="J265:J328" si="33">I265*100</f>
        <v>3.3739692570896795E-3</v>
      </c>
    </row>
    <row r="266" spans="1:10" x14ac:dyDescent="0.3">
      <c r="A266" s="2">
        <v>43317</v>
      </c>
      <c r="B266">
        <v>0.36108000000000001</v>
      </c>
      <c r="C266">
        <v>92.5</v>
      </c>
      <c r="D266">
        <f t="shared" si="28"/>
        <v>8556.25</v>
      </c>
      <c r="E266">
        <f t="shared" si="30"/>
        <v>33.399900000000002</v>
      </c>
      <c r="F266">
        <f t="shared" si="29"/>
        <v>0.32390229430014306</v>
      </c>
      <c r="G266">
        <f t="shared" ref="G266:G329" si="34">B266-F266</f>
        <v>3.7177705699856956E-2</v>
      </c>
      <c r="H266">
        <f t="shared" si="31"/>
        <v>1.3821818011051765E-3</v>
      </c>
      <c r="I266">
        <f t="shared" si="32"/>
        <v>1.116447618614323E-4</v>
      </c>
      <c r="J266">
        <f t="shared" si="33"/>
        <v>1.1164476186143231E-2</v>
      </c>
    </row>
    <row r="267" spans="1:10" x14ac:dyDescent="0.3">
      <c r="A267" s="2">
        <v>43310</v>
      </c>
      <c r="B267">
        <v>0.28416000000000002</v>
      </c>
      <c r="C267">
        <v>93.5</v>
      </c>
      <c r="D267">
        <f t="shared" si="28"/>
        <v>8742.25</v>
      </c>
      <c r="E267">
        <f t="shared" si="30"/>
        <v>26.568960000000001</v>
      </c>
      <c r="F267">
        <f t="shared" si="29"/>
        <v>0.31825927097417761</v>
      </c>
      <c r="G267">
        <f t="shared" si="34"/>
        <v>-3.4099270974177587E-2</v>
      </c>
      <c r="H267">
        <f t="shared" si="31"/>
        <v>1.1627602809703901E-3</v>
      </c>
      <c r="I267">
        <f t="shared" si="32"/>
        <v>1.0240021313566842E-4</v>
      </c>
      <c r="J267">
        <f t="shared" si="33"/>
        <v>1.0240021313566843E-2</v>
      </c>
    </row>
    <row r="268" spans="1:10" x14ac:dyDescent="0.3">
      <c r="A268" s="2">
        <v>43303</v>
      </c>
      <c r="B268">
        <v>0.28727999999999998</v>
      </c>
      <c r="C268">
        <v>94.5</v>
      </c>
      <c r="D268">
        <f t="shared" si="28"/>
        <v>8930.25</v>
      </c>
      <c r="E268">
        <f t="shared" si="30"/>
        <v>27.147959999999998</v>
      </c>
      <c r="F268">
        <f t="shared" si="29"/>
        <v>0.31261624764821205</v>
      </c>
      <c r="G268">
        <f t="shared" si="34"/>
        <v>-2.5336247648212074E-2</v>
      </c>
      <c r="H268">
        <f t="shared" si="31"/>
        <v>6.4192544489153182E-4</v>
      </c>
      <c r="I268">
        <f t="shared" si="32"/>
        <v>7.6084827772408627E-5</v>
      </c>
      <c r="J268">
        <f t="shared" si="33"/>
        <v>7.6084827772408626E-3</v>
      </c>
    </row>
    <row r="269" spans="1:10" x14ac:dyDescent="0.3">
      <c r="A269" s="2">
        <v>43296</v>
      </c>
      <c r="B269">
        <v>0.32274000000000003</v>
      </c>
      <c r="C269">
        <v>95.5</v>
      </c>
      <c r="D269">
        <f t="shared" si="28"/>
        <v>9120.25</v>
      </c>
      <c r="E269">
        <f t="shared" si="30"/>
        <v>30.821670000000001</v>
      </c>
      <c r="F269">
        <f t="shared" si="29"/>
        <v>0.30697322432224661</v>
      </c>
      <c r="G269">
        <f t="shared" si="34"/>
        <v>1.576677567775342E-2</v>
      </c>
      <c r="H269">
        <f t="shared" si="31"/>
        <v>2.4859121527259678E-4</v>
      </c>
      <c r="I269">
        <f t="shared" si="32"/>
        <v>4.7347674707968226E-5</v>
      </c>
      <c r="J269">
        <f t="shared" si="33"/>
        <v>4.7347674707968225E-3</v>
      </c>
    </row>
    <row r="270" spans="1:10" x14ac:dyDescent="0.3">
      <c r="A270" s="2">
        <v>43289</v>
      </c>
      <c r="B270">
        <v>0.30830000000000002</v>
      </c>
      <c r="C270">
        <v>96.5</v>
      </c>
      <c r="D270">
        <f t="shared" si="28"/>
        <v>9312.25</v>
      </c>
      <c r="E270">
        <f t="shared" si="30"/>
        <v>29.750950000000003</v>
      </c>
      <c r="F270">
        <f t="shared" si="29"/>
        <v>0.30133020099628105</v>
      </c>
      <c r="G270">
        <f t="shared" si="34"/>
        <v>6.9697990037189683E-3</v>
      </c>
      <c r="H270">
        <f t="shared" si="31"/>
        <v>4.8578098152241924E-5</v>
      </c>
      <c r="I270">
        <f t="shared" si="32"/>
        <v>2.0930327338495402E-5</v>
      </c>
      <c r="J270">
        <f t="shared" si="33"/>
        <v>2.09303273384954E-3</v>
      </c>
    </row>
    <row r="271" spans="1:10" x14ac:dyDescent="0.3">
      <c r="A271" s="2">
        <v>43282</v>
      </c>
      <c r="B271">
        <v>0.33516000000000001</v>
      </c>
      <c r="C271">
        <v>97.5</v>
      </c>
      <c r="D271">
        <f t="shared" si="28"/>
        <v>9506.25</v>
      </c>
      <c r="E271">
        <f t="shared" si="30"/>
        <v>32.678100000000001</v>
      </c>
      <c r="F271">
        <f t="shared" si="29"/>
        <v>0.2956871776703156</v>
      </c>
      <c r="G271">
        <f t="shared" si="34"/>
        <v>3.9472822329684409E-2</v>
      </c>
      <c r="H271">
        <f t="shared" si="31"/>
        <v>1.558103702670832E-3</v>
      </c>
      <c r="I271">
        <f t="shared" si="32"/>
        <v>1.1853700399304627E-4</v>
      </c>
      <c r="J271">
        <f t="shared" si="33"/>
        <v>1.1853700399304628E-2</v>
      </c>
    </row>
    <row r="272" spans="1:10" x14ac:dyDescent="0.3">
      <c r="A272" s="2">
        <v>43275</v>
      </c>
      <c r="B272">
        <v>0.34917999999999999</v>
      </c>
      <c r="C272">
        <v>98.5</v>
      </c>
      <c r="D272">
        <f t="shared" si="28"/>
        <v>9702.25</v>
      </c>
      <c r="E272">
        <f t="shared" si="30"/>
        <v>34.39423</v>
      </c>
      <c r="F272">
        <f t="shared" si="29"/>
        <v>0.29004415434435005</v>
      </c>
      <c r="G272">
        <f t="shared" si="34"/>
        <v>5.9135845655649943E-2</v>
      </c>
      <c r="H272">
        <f t="shared" si="31"/>
        <v>3.4970482414088521E-3</v>
      </c>
      <c r="I272">
        <f t="shared" si="32"/>
        <v>1.7758512208903887E-4</v>
      </c>
      <c r="J272">
        <f t="shared" si="33"/>
        <v>1.7758512208903888E-2</v>
      </c>
    </row>
    <row r="273" spans="1:10" x14ac:dyDescent="0.3">
      <c r="A273" s="2">
        <v>43268</v>
      </c>
      <c r="B273">
        <v>0.38052999999999998</v>
      </c>
      <c r="C273">
        <v>99.5</v>
      </c>
      <c r="D273">
        <f t="shared" si="28"/>
        <v>9900.25</v>
      </c>
      <c r="E273">
        <f t="shared" si="30"/>
        <v>37.862735000000001</v>
      </c>
      <c r="F273">
        <f t="shared" si="29"/>
        <v>0.2844011310183846</v>
      </c>
      <c r="G273">
        <f t="shared" si="34"/>
        <v>9.6128868981615379E-2</v>
      </c>
      <c r="H273">
        <f t="shared" si="31"/>
        <v>9.2407594516845746E-3</v>
      </c>
      <c r="I273">
        <f t="shared" si="32"/>
        <v>2.8867528222707321E-4</v>
      </c>
      <c r="J273">
        <f t="shared" si="33"/>
        <v>2.8867528222707321E-2</v>
      </c>
    </row>
    <row r="274" spans="1:10" x14ac:dyDescent="0.3">
      <c r="A274" s="2">
        <v>43261</v>
      </c>
      <c r="B274">
        <v>0.33156999999999998</v>
      </c>
      <c r="C274">
        <v>100.5</v>
      </c>
      <c r="D274">
        <f t="shared" si="28"/>
        <v>10100.25</v>
      </c>
      <c r="E274">
        <f t="shared" si="30"/>
        <v>33.322784999999996</v>
      </c>
      <c r="F274">
        <f t="shared" si="29"/>
        <v>0.27875810769241904</v>
      </c>
      <c r="G274">
        <f t="shared" si="34"/>
        <v>5.2811892307580932E-2</v>
      </c>
      <c r="H274">
        <f t="shared" si="31"/>
        <v>2.7890959691075261E-3</v>
      </c>
      <c r="I274">
        <f t="shared" si="32"/>
        <v>1.5859427119393674E-4</v>
      </c>
      <c r="J274">
        <f t="shared" si="33"/>
        <v>1.5859427119393674E-2</v>
      </c>
    </row>
    <row r="275" spans="1:10" x14ac:dyDescent="0.3">
      <c r="A275" s="2">
        <v>43254</v>
      </c>
      <c r="B275">
        <v>0.36886000000000002</v>
      </c>
      <c r="C275">
        <v>101.5</v>
      </c>
      <c r="D275">
        <f t="shared" si="28"/>
        <v>10302.25</v>
      </c>
      <c r="E275">
        <f t="shared" si="30"/>
        <v>37.43929</v>
      </c>
      <c r="F275">
        <f t="shared" si="29"/>
        <v>0.2731150843664536</v>
      </c>
      <c r="G275">
        <f t="shared" si="34"/>
        <v>9.5744915633546424E-2</v>
      </c>
      <c r="H275">
        <f t="shared" si="31"/>
        <v>9.1670888696749227E-3</v>
      </c>
      <c r="I275">
        <f t="shared" si="32"/>
        <v>2.8752226916980907E-4</v>
      </c>
      <c r="J275">
        <f t="shared" si="33"/>
        <v>2.8752226916980907E-2</v>
      </c>
    </row>
    <row r="276" spans="1:10" x14ac:dyDescent="0.3">
      <c r="A276" s="2">
        <v>43247</v>
      </c>
      <c r="B276">
        <v>0.40855000000000002</v>
      </c>
      <c r="C276">
        <v>102.5</v>
      </c>
      <c r="D276">
        <f t="shared" si="28"/>
        <v>10506.25</v>
      </c>
      <c r="E276">
        <f t="shared" si="30"/>
        <v>41.876375000000003</v>
      </c>
      <c r="F276">
        <f t="shared" si="29"/>
        <v>0.26747206104048804</v>
      </c>
      <c r="G276">
        <f t="shared" si="34"/>
        <v>0.14107793895951198</v>
      </c>
      <c r="H276">
        <f t="shared" si="31"/>
        <v>1.9902984861063788E-2</v>
      </c>
      <c r="I276">
        <f t="shared" si="32"/>
        <v>4.2365747435288886E-4</v>
      </c>
      <c r="J276">
        <f t="shared" si="33"/>
        <v>4.2365747435288884E-2</v>
      </c>
    </row>
    <row r="277" spans="1:10" x14ac:dyDescent="0.3">
      <c r="A277" s="2">
        <v>43240</v>
      </c>
      <c r="B277">
        <v>0.45591999999999999</v>
      </c>
      <c r="C277">
        <v>103.5</v>
      </c>
      <c r="D277">
        <f t="shared" si="28"/>
        <v>10712.25</v>
      </c>
      <c r="E277">
        <f t="shared" si="30"/>
        <v>47.187719999999999</v>
      </c>
      <c r="F277">
        <f t="shared" si="29"/>
        <v>0.26182903771452259</v>
      </c>
      <c r="G277">
        <f t="shared" si="34"/>
        <v>0.1940909622854774</v>
      </c>
      <c r="H277">
        <f t="shared" si="31"/>
        <v>3.7671301640902606E-2</v>
      </c>
      <c r="I277">
        <f t="shared" si="32"/>
        <v>5.8285574259903127E-4</v>
      </c>
      <c r="J277">
        <f t="shared" si="33"/>
        <v>5.8285574259903127E-2</v>
      </c>
    </row>
    <row r="278" spans="1:10" x14ac:dyDescent="0.3">
      <c r="A278" s="2">
        <v>43233</v>
      </c>
      <c r="B278">
        <v>0.48619000000000001</v>
      </c>
      <c r="C278">
        <v>104.5</v>
      </c>
      <c r="D278">
        <f t="shared" si="28"/>
        <v>10920.25</v>
      </c>
      <c r="E278">
        <f t="shared" si="30"/>
        <v>50.806854999999999</v>
      </c>
      <c r="F278">
        <f t="shared" si="29"/>
        <v>0.25618601438855704</v>
      </c>
      <c r="G278">
        <f t="shared" si="34"/>
        <v>0.23000398561144297</v>
      </c>
      <c r="H278">
        <f t="shared" si="31"/>
        <v>5.2901833397148865E-2</v>
      </c>
      <c r="I278">
        <f t="shared" si="32"/>
        <v>6.9070265949382279E-4</v>
      </c>
      <c r="J278">
        <f t="shared" si="33"/>
        <v>6.9070265949382273E-2</v>
      </c>
    </row>
    <row r="279" spans="1:10" x14ac:dyDescent="0.3">
      <c r="A279" s="2">
        <v>43226</v>
      </c>
      <c r="B279">
        <v>0.50065000000000004</v>
      </c>
      <c r="C279">
        <v>105.5</v>
      </c>
      <c r="D279">
        <f t="shared" si="28"/>
        <v>11130.25</v>
      </c>
      <c r="E279">
        <f t="shared" si="30"/>
        <v>52.818575000000003</v>
      </c>
      <c r="F279">
        <f t="shared" si="29"/>
        <v>0.25054299106259159</v>
      </c>
      <c r="G279">
        <f t="shared" si="34"/>
        <v>0.25010700893740845</v>
      </c>
      <c r="H279">
        <f t="shared" si="31"/>
        <v>6.2553515919616914E-2</v>
      </c>
      <c r="I279">
        <f t="shared" si="32"/>
        <v>7.5107209891113653E-4</v>
      </c>
      <c r="J279">
        <f t="shared" si="33"/>
        <v>7.5107209891113649E-2</v>
      </c>
    </row>
    <row r="280" spans="1:10" x14ac:dyDescent="0.3">
      <c r="A280" s="2">
        <v>43219</v>
      </c>
      <c r="B280">
        <v>0.54622000000000004</v>
      </c>
      <c r="C280">
        <v>106.5</v>
      </c>
      <c r="D280">
        <f t="shared" si="28"/>
        <v>11342.25</v>
      </c>
      <c r="E280">
        <f t="shared" si="30"/>
        <v>58.172430000000006</v>
      </c>
      <c r="F280">
        <f t="shared" si="29"/>
        <v>0.24489996773662603</v>
      </c>
      <c r="G280">
        <f t="shared" si="34"/>
        <v>0.301320032263374</v>
      </c>
      <c r="H280">
        <f t="shared" si="31"/>
        <v>9.0793761843200746E-2</v>
      </c>
      <c r="I280">
        <f t="shared" si="32"/>
        <v>9.048649617518739E-4</v>
      </c>
      <c r="J280">
        <f t="shared" si="33"/>
        <v>9.0486496175187392E-2</v>
      </c>
    </row>
    <row r="281" spans="1:10" x14ac:dyDescent="0.3">
      <c r="A281" s="2">
        <v>43212</v>
      </c>
      <c r="B281">
        <v>0.53490000000000004</v>
      </c>
      <c r="C281">
        <v>107.5</v>
      </c>
      <c r="D281">
        <f t="shared" si="28"/>
        <v>11556.25</v>
      </c>
      <c r="E281">
        <f t="shared" si="30"/>
        <v>57.501750000000001</v>
      </c>
      <c r="F281">
        <f t="shared" si="29"/>
        <v>0.23925694441066059</v>
      </c>
      <c r="G281">
        <f t="shared" si="34"/>
        <v>0.29564305558933945</v>
      </c>
      <c r="H281">
        <f t="shared" si="31"/>
        <v>8.7404816318201253E-2</v>
      </c>
      <c r="I281">
        <f t="shared" si="32"/>
        <v>8.8781698375177008E-4</v>
      </c>
      <c r="J281">
        <f t="shared" si="33"/>
        <v>8.8781698375177007E-2</v>
      </c>
    </row>
    <row r="282" spans="1:10" x14ac:dyDescent="0.3">
      <c r="A282" s="2">
        <v>43205</v>
      </c>
      <c r="B282">
        <v>0.56721999999999995</v>
      </c>
      <c r="C282">
        <v>108.5</v>
      </c>
      <c r="D282">
        <f t="shared" si="28"/>
        <v>11772.25</v>
      </c>
      <c r="E282">
        <f t="shared" si="30"/>
        <v>61.543369999999996</v>
      </c>
      <c r="F282">
        <f t="shared" si="29"/>
        <v>0.23361392108469503</v>
      </c>
      <c r="G282">
        <f t="shared" si="34"/>
        <v>0.33360607891530492</v>
      </c>
      <c r="H282">
        <f t="shared" si="31"/>
        <v>0.11129301588924465</v>
      </c>
      <c r="I282">
        <f t="shared" si="32"/>
        <v>1.0018200568027175E-3</v>
      </c>
      <c r="J282">
        <f t="shared" si="33"/>
        <v>0.10018200568027175</v>
      </c>
    </row>
    <row r="283" spans="1:10" x14ac:dyDescent="0.3">
      <c r="A283" s="2">
        <v>43198</v>
      </c>
      <c r="B283">
        <v>0.57064000000000004</v>
      </c>
      <c r="C283">
        <v>109.5</v>
      </c>
      <c r="D283">
        <f t="shared" si="28"/>
        <v>11990.25</v>
      </c>
      <c r="E283">
        <f t="shared" si="30"/>
        <v>62.485080000000004</v>
      </c>
      <c r="F283">
        <f t="shared" si="29"/>
        <v>0.22797089775872958</v>
      </c>
      <c r="G283">
        <f t="shared" si="34"/>
        <v>0.34266910224127045</v>
      </c>
      <c r="H283">
        <f t="shared" si="31"/>
        <v>0.11742211363083827</v>
      </c>
      <c r="I283">
        <f t="shared" si="32"/>
        <v>1.0290363430668782E-3</v>
      </c>
      <c r="J283">
        <f t="shared" si="33"/>
        <v>0.10290363430668782</v>
      </c>
    </row>
    <row r="284" spans="1:10" x14ac:dyDescent="0.3">
      <c r="A284" s="2">
        <v>43191</v>
      </c>
      <c r="B284">
        <v>0.53037999999999996</v>
      </c>
      <c r="C284">
        <v>110.5</v>
      </c>
      <c r="D284">
        <f t="shared" si="28"/>
        <v>12210.25</v>
      </c>
      <c r="E284">
        <f t="shared" si="30"/>
        <v>58.606989999999996</v>
      </c>
      <c r="F284">
        <f t="shared" si="29"/>
        <v>0.22232787443276403</v>
      </c>
      <c r="G284">
        <f t="shared" si="34"/>
        <v>0.30805212556723593</v>
      </c>
      <c r="H284">
        <f t="shared" si="31"/>
        <v>9.4896112066492094E-2</v>
      </c>
      <c r="I284">
        <f t="shared" si="32"/>
        <v>9.250814581598677E-4</v>
      </c>
      <c r="J284">
        <f t="shared" si="33"/>
        <v>9.2508145815986764E-2</v>
      </c>
    </row>
    <row r="285" spans="1:10" x14ac:dyDescent="0.3">
      <c r="A285" s="2">
        <v>43184</v>
      </c>
      <c r="B285">
        <v>0.54230999999999996</v>
      </c>
      <c r="C285">
        <v>111.5</v>
      </c>
      <c r="D285">
        <f t="shared" si="28"/>
        <v>12432.25</v>
      </c>
      <c r="E285">
        <f t="shared" si="30"/>
        <v>60.467564999999993</v>
      </c>
      <c r="F285">
        <f t="shared" si="29"/>
        <v>0.21668485110679858</v>
      </c>
      <c r="G285">
        <f t="shared" si="34"/>
        <v>0.32562514889320138</v>
      </c>
      <c r="H285">
        <f t="shared" si="31"/>
        <v>0.10603173759171956</v>
      </c>
      <c r="I285">
        <f t="shared" si="32"/>
        <v>9.7785329997958381E-4</v>
      </c>
      <c r="J285">
        <f t="shared" si="33"/>
        <v>9.7785329997958387E-2</v>
      </c>
    </row>
    <row r="286" spans="1:10" x14ac:dyDescent="0.3">
      <c r="A286" s="2">
        <v>43177</v>
      </c>
      <c r="B286">
        <v>0.59077999999999997</v>
      </c>
      <c r="C286">
        <v>112.5</v>
      </c>
      <c r="D286">
        <f t="shared" si="28"/>
        <v>12656.25</v>
      </c>
      <c r="E286">
        <f t="shared" si="30"/>
        <v>66.46275</v>
      </c>
      <c r="F286">
        <f t="shared" si="29"/>
        <v>0.21104182778083314</v>
      </c>
      <c r="G286">
        <f t="shared" si="34"/>
        <v>0.37973817221916684</v>
      </c>
      <c r="H286">
        <f t="shared" si="31"/>
        <v>0.14420107944035362</v>
      </c>
      <c r="I286">
        <f t="shared" si="32"/>
        <v>1.1403548715290296E-3</v>
      </c>
      <c r="J286">
        <f t="shared" si="33"/>
        <v>0.11403548715290296</v>
      </c>
    </row>
    <row r="287" spans="1:10" x14ac:dyDescent="0.3">
      <c r="A287" s="2">
        <v>43170</v>
      </c>
      <c r="B287">
        <v>0.57108000000000003</v>
      </c>
      <c r="C287">
        <v>113.5</v>
      </c>
      <c r="D287">
        <f t="shared" si="28"/>
        <v>12882.25</v>
      </c>
      <c r="E287">
        <f t="shared" si="30"/>
        <v>64.817580000000007</v>
      </c>
      <c r="F287">
        <f t="shared" si="29"/>
        <v>0.20539880445486758</v>
      </c>
      <c r="G287">
        <f t="shared" si="34"/>
        <v>0.36568119554513245</v>
      </c>
      <c r="H287">
        <f t="shared" si="31"/>
        <v>0.1337227367753174</v>
      </c>
      <c r="I287">
        <f t="shared" si="32"/>
        <v>1.0981417283637612E-3</v>
      </c>
      <c r="J287">
        <f t="shared" si="33"/>
        <v>0.10981417283637612</v>
      </c>
    </row>
    <row r="288" spans="1:10" x14ac:dyDescent="0.3">
      <c r="A288" s="2">
        <v>43163</v>
      </c>
      <c r="B288">
        <v>0.61860000000000004</v>
      </c>
      <c r="C288">
        <v>114.5</v>
      </c>
      <c r="D288">
        <f t="shared" si="28"/>
        <v>13110.25</v>
      </c>
      <c r="E288">
        <f t="shared" si="30"/>
        <v>70.829700000000003</v>
      </c>
      <c r="F288">
        <f t="shared" si="29"/>
        <v>0.19975578112890213</v>
      </c>
      <c r="G288">
        <f t="shared" si="34"/>
        <v>0.41884421887109791</v>
      </c>
      <c r="H288">
        <f t="shared" si="31"/>
        <v>0.17543047968174016</v>
      </c>
      <c r="I288">
        <f t="shared" si="32"/>
        <v>1.2577904470603542E-3</v>
      </c>
      <c r="J288">
        <f t="shared" si="33"/>
        <v>0.12577904470603543</v>
      </c>
    </row>
    <row r="289" spans="1:10" x14ac:dyDescent="0.3">
      <c r="A289" s="2">
        <v>43156</v>
      </c>
      <c r="B289">
        <v>0.61792000000000002</v>
      </c>
      <c r="C289">
        <v>115.5</v>
      </c>
      <c r="D289">
        <f t="shared" si="28"/>
        <v>13340.25</v>
      </c>
      <c r="E289">
        <f t="shared" si="30"/>
        <v>71.369759999999999</v>
      </c>
      <c r="F289">
        <f t="shared" si="29"/>
        <v>0.19411275780293658</v>
      </c>
      <c r="G289">
        <f t="shared" si="34"/>
        <v>0.42380724219706345</v>
      </c>
      <c r="H289">
        <f t="shared" si="31"/>
        <v>0.1796125785386804</v>
      </c>
      <c r="I289">
        <f t="shared" si="32"/>
        <v>1.2726944210122025E-3</v>
      </c>
      <c r="J289">
        <f t="shared" si="33"/>
        <v>0.12726944210122026</v>
      </c>
    </row>
    <row r="290" spans="1:10" x14ac:dyDescent="0.3">
      <c r="A290" s="2">
        <v>43149</v>
      </c>
      <c r="B290">
        <v>0.64681</v>
      </c>
      <c r="C290">
        <v>116.5</v>
      </c>
      <c r="D290">
        <f t="shared" si="28"/>
        <v>13572.25</v>
      </c>
      <c r="E290">
        <f t="shared" si="30"/>
        <v>75.353364999999997</v>
      </c>
      <c r="F290">
        <f t="shared" si="29"/>
        <v>0.18846973447697113</v>
      </c>
      <c r="G290">
        <f t="shared" si="34"/>
        <v>0.45834026552302887</v>
      </c>
      <c r="H290">
        <f t="shared" si="31"/>
        <v>0.21007579899972059</v>
      </c>
      <c r="I290">
        <f t="shared" si="32"/>
        <v>1.3763971937628494E-3</v>
      </c>
      <c r="J290">
        <f t="shared" si="33"/>
        <v>0.13763971937628494</v>
      </c>
    </row>
    <row r="291" spans="1:10" x14ac:dyDescent="0.3">
      <c r="A291" s="2">
        <v>43142</v>
      </c>
      <c r="B291">
        <v>0.69406999999999996</v>
      </c>
      <c r="C291">
        <v>117.5</v>
      </c>
      <c r="D291">
        <f t="shared" si="28"/>
        <v>13806.25</v>
      </c>
      <c r="E291">
        <f t="shared" si="30"/>
        <v>81.553224999999998</v>
      </c>
      <c r="F291">
        <f t="shared" si="29"/>
        <v>0.18282671115100557</v>
      </c>
      <c r="G291">
        <f t="shared" si="34"/>
        <v>0.51124328884899439</v>
      </c>
      <c r="H291">
        <f t="shared" si="31"/>
        <v>0.26136970039313634</v>
      </c>
      <c r="I291">
        <f t="shared" si="32"/>
        <v>1.5352651316786617E-3</v>
      </c>
      <c r="J291">
        <f t="shared" si="33"/>
        <v>0.15352651316786617</v>
      </c>
    </row>
    <row r="292" spans="1:10" x14ac:dyDescent="0.3">
      <c r="A292" s="2">
        <v>43135</v>
      </c>
      <c r="B292">
        <v>0.68135000000000001</v>
      </c>
      <c r="C292">
        <v>118.5</v>
      </c>
      <c r="D292">
        <f t="shared" si="28"/>
        <v>14042.25</v>
      </c>
      <c r="E292">
        <f t="shared" si="30"/>
        <v>80.739975000000001</v>
      </c>
      <c r="F292">
        <f t="shared" si="29"/>
        <v>0.17718368782504013</v>
      </c>
      <c r="G292">
        <f t="shared" si="34"/>
        <v>0.50416631217495989</v>
      </c>
      <c r="H292">
        <f t="shared" si="31"/>
        <v>0.2541836703320991</v>
      </c>
      <c r="I292">
        <f t="shared" si="32"/>
        <v>1.5140129494743541E-3</v>
      </c>
      <c r="J292">
        <f t="shared" si="33"/>
        <v>0.1514012949474354</v>
      </c>
    </row>
    <row r="293" spans="1:10" x14ac:dyDescent="0.3">
      <c r="A293" s="2">
        <v>43128</v>
      </c>
      <c r="B293">
        <v>0.74533000000000005</v>
      </c>
      <c r="C293">
        <v>119.5</v>
      </c>
      <c r="D293">
        <f t="shared" si="28"/>
        <v>14280.25</v>
      </c>
      <c r="E293">
        <f t="shared" si="30"/>
        <v>89.066935000000001</v>
      </c>
      <c r="F293">
        <f t="shared" si="29"/>
        <v>0.17154066449907457</v>
      </c>
      <c r="G293">
        <f t="shared" si="34"/>
        <v>0.57378933550092548</v>
      </c>
      <c r="H293">
        <f t="shared" si="31"/>
        <v>0.3292342015345936</v>
      </c>
      <c r="I293">
        <f t="shared" si="32"/>
        <v>1.7230910976003767E-3</v>
      </c>
      <c r="J293">
        <f t="shared" si="33"/>
        <v>0.17230910976003766</v>
      </c>
    </row>
    <row r="294" spans="1:10" x14ac:dyDescent="0.3">
      <c r="A294" s="2">
        <v>43121</v>
      </c>
      <c r="B294">
        <v>0.74592999999999998</v>
      </c>
      <c r="C294">
        <v>120.5</v>
      </c>
      <c r="D294">
        <f t="shared" si="28"/>
        <v>14520.25</v>
      </c>
      <c r="E294">
        <f t="shared" si="30"/>
        <v>89.884564999999995</v>
      </c>
      <c r="F294">
        <f t="shared" si="29"/>
        <v>0.16589764117310912</v>
      </c>
      <c r="G294">
        <f t="shared" si="34"/>
        <v>0.58003235882689086</v>
      </c>
      <c r="H294">
        <f t="shared" si="31"/>
        <v>0.33643753728628706</v>
      </c>
      <c r="I294">
        <f t="shared" si="32"/>
        <v>1.7418389153960687E-3</v>
      </c>
      <c r="J294">
        <f t="shared" si="33"/>
        <v>0.17418389153960687</v>
      </c>
    </row>
    <row r="295" spans="1:10" x14ac:dyDescent="0.3">
      <c r="A295" s="2">
        <v>43114</v>
      </c>
      <c r="B295">
        <v>0.78666000000000003</v>
      </c>
      <c r="C295">
        <v>121.5</v>
      </c>
      <c r="D295">
        <f t="shared" si="28"/>
        <v>14762.25</v>
      </c>
      <c r="E295">
        <f t="shared" si="30"/>
        <v>95.579189999999997</v>
      </c>
      <c r="F295">
        <f t="shared" si="29"/>
        <v>0.16025461784714357</v>
      </c>
      <c r="G295">
        <f t="shared" si="34"/>
        <v>0.62640538215285646</v>
      </c>
      <c r="H295">
        <f t="shared" si="31"/>
        <v>0.39238370279006612</v>
      </c>
      <c r="I295">
        <f t="shared" si="32"/>
        <v>1.8810972437022717E-3</v>
      </c>
      <c r="J295">
        <f t="shared" si="33"/>
        <v>0.18810972437022716</v>
      </c>
    </row>
    <row r="296" spans="1:10" x14ac:dyDescent="0.3">
      <c r="A296" s="2">
        <v>43107</v>
      </c>
      <c r="B296">
        <v>0.86722999999999995</v>
      </c>
      <c r="C296">
        <v>122.5</v>
      </c>
      <c r="D296">
        <f t="shared" si="28"/>
        <v>15006.25</v>
      </c>
      <c r="E296">
        <f t="shared" si="30"/>
        <v>106.23567499999999</v>
      </c>
      <c r="F296">
        <f t="shared" si="29"/>
        <v>0.15461159452117812</v>
      </c>
      <c r="G296">
        <f t="shared" si="34"/>
        <v>0.71261840547882183</v>
      </c>
      <c r="H296">
        <f t="shared" si="31"/>
        <v>0.50782499182717855</v>
      </c>
      <c r="I296">
        <f t="shared" si="32"/>
        <v>2.1399952116481135E-3</v>
      </c>
      <c r="J296">
        <f t="shared" si="33"/>
        <v>0.21399952116481136</v>
      </c>
    </row>
    <row r="297" spans="1:10" x14ac:dyDescent="0.3">
      <c r="A297" s="2">
        <v>43100</v>
      </c>
      <c r="B297">
        <v>0.77837000000000001</v>
      </c>
      <c r="C297">
        <v>123.5</v>
      </c>
      <c r="D297">
        <f t="shared" si="28"/>
        <v>15252.25</v>
      </c>
      <c r="E297">
        <f t="shared" si="30"/>
        <v>96.128695000000008</v>
      </c>
      <c r="F297">
        <f t="shared" si="29"/>
        <v>0.14896857119521256</v>
      </c>
      <c r="G297">
        <f t="shared" si="34"/>
        <v>0.62940142880478744</v>
      </c>
      <c r="H297">
        <f t="shared" si="31"/>
        <v>0.39614615858150792</v>
      </c>
      <c r="I297">
        <f t="shared" si="32"/>
        <v>1.8900943807951575E-3</v>
      </c>
      <c r="J297">
        <f t="shared" si="33"/>
        <v>0.18900943807951576</v>
      </c>
    </row>
    <row r="298" spans="1:10" x14ac:dyDescent="0.3">
      <c r="A298" s="2">
        <v>43093</v>
      </c>
      <c r="B298">
        <v>0.75605</v>
      </c>
      <c r="C298">
        <v>124.5</v>
      </c>
      <c r="D298">
        <f t="shared" si="28"/>
        <v>15500.25</v>
      </c>
      <c r="E298">
        <f t="shared" si="30"/>
        <v>94.128225</v>
      </c>
      <c r="F298">
        <f t="shared" si="29"/>
        <v>0.14332554786924712</v>
      </c>
      <c r="G298">
        <f t="shared" si="34"/>
        <v>0.61272445213075288</v>
      </c>
      <c r="H298">
        <f t="shared" si="31"/>
        <v>0.37543125423893126</v>
      </c>
      <c r="I298">
        <f t="shared" si="32"/>
        <v>1.8400133697620206E-3</v>
      </c>
      <c r="J298">
        <f t="shared" si="33"/>
        <v>0.18400133697620205</v>
      </c>
    </row>
    <row r="299" spans="1:10" x14ac:dyDescent="0.3">
      <c r="A299" s="2">
        <v>43086</v>
      </c>
      <c r="B299">
        <v>0.76304000000000005</v>
      </c>
      <c r="C299">
        <v>125.5</v>
      </c>
      <c r="D299">
        <f t="shared" si="28"/>
        <v>15750.25</v>
      </c>
      <c r="E299">
        <f t="shared" si="30"/>
        <v>95.761520000000004</v>
      </c>
      <c r="F299">
        <f t="shared" si="29"/>
        <v>0.13768252454328156</v>
      </c>
      <c r="G299">
        <f t="shared" si="34"/>
        <v>0.62535747545671849</v>
      </c>
      <c r="H299">
        <f t="shared" si="31"/>
        <v>0.39107197210960026</v>
      </c>
      <c r="I299">
        <f t="shared" si="32"/>
        <v>1.8779503767469023E-3</v>
      </c>
      <c r="J299">
        <f t="shared" si="33"/>
        <v>0.18779503767469022</v>
      </c>
    </row>
    <row r="300" spans="1:10" x14ac:dyDescent="0.3">
      <c r="A300" s="2">
        <v>43079</v>
      </c>
      <c r="B300">
        <v>0.76875000000000004</v>
      </c>
      <c r="C300">
        <v>126.5</v>
      </c>
      <c r="D300">
        <f t="shared" si="28"/>
        <v>16002.25</v>
      </c>
      <c r="E300">
        <f t="shared" si="30"/>
        <v>97.246875000000003</v>
      </c>
      <c r="F300">
        <f t="shared" si="29"/>
        <v>0.13203950121731611</v>
      </c>
      <c r="G300">
        <f t="shared" si="34"/>
        <v>0.63671049878268393</v>
      </c>
      <c r="H300">
        <f t="shared" si="31"/>
        <v>0.40540025926009415</v>
      </c>
      <c r="I300">
        <f t="shared" si="32"/>
        <v>1.9120435398879397E-3</v>
      </c>
      <c r="J300">
        <f t="shared" si="33"/>
        <v>0.19120435398879396</v>
      </c>
    </row>
    <row r="301" spans="1:10" x14ac:dyDescent="0.3">
      <c r="A301" s="2">
        <v>43072</v>
      </c>
      <c r="B301">
        <v>0.75892999999999999</v>
      </c>
      <c r="C301">
        <v>127.5</v>
      </c>
      <c r="D301">
        <f t="shared" si="28"/>
        <v>16256.25</v>
      </c>
      <c r="E301">
        <f t="shared" si="30"/>
        <v>96.763575000000003</v>
      </c>
      <c r="F301">
        <f t="shared" si="29"/>
        <v>0.12639647789135056</v>
      </c>
      <c r="G301">
        <f t="shared" si="34"/>
        <v>0.63253352210864944</v>
      </c>
      <c r="H301">
        <f t="shared" si="31"/>
        <v>0.40009865659117333</v>
      </c>
      <c r="I301">
        <f t="shared" si="32"/>
        <v>1.8995000663923406E-3</v>
      </c>
      <c r="J301">
        <f t="shared" si="33"/>
        <v>0.18995000663923406</v>
      </c>
    </row>
    <row r="302" spans="1:10" x14ac:dyDescent="0.3">
      <c r="A302" s="2">
        <v>43065</v>
      </c>
      <c r="B302">
        <v>0.77510000000000001</v>
      </c>
      <c r="C302">
        <v>128.5</v>
      </c>
      <c r="D302">
        <f t="shared" si="28"/>
        <v>16512.25</v>
      </c>
      <c r="E302">
        <f t="shared" si="30"/>
        <v>99.600350000000006</v>
      </c>
      <c r="F302">
        <f t="shared" si="29"/>
        <v>0.12075345456538511</v>
      </c>
      <c r="G302">
        <f t="shared" si="34"/>
        <v>0.6543465454346149</v>
      </c>
      <c r="H302">
        <f t="shared" si="31"/>
        <v>0.42816940152221455</v>
      </c>
      <c r="I302">
        <f t="shared" si="32"/>
        <v>1.9650046409447897E-3</v>
      </c>
      <c r="J302">
        <f t="shared" si="33"/>
        <v>0.19650046409447897</v>
      </c>
    </row>
    <row r="303" spans="1:10" x14ac:dyDescent="0.3">
      <c r="A303" s="2">
        <v>43058</v>
      </c>
      <c r="B303">
        <v>0.77068000000000003</v>
      </c>
      <c r="C303">
        <v>129.5</v>
      </c>
      <c r="D303">
        <f t="shared" si="28"/>
        <v>16770.25</v>
      </c>
      <c r="E303">
        <f t="shared" si="30"/>
        <v>99.803060000000002</v>
      </c>
      <c r="F303">
        <f t="shared" si="29"/>
        <v>0.11511043123941955</v>
      </c>
      <c r="G303">
        <f t="shared" si="34"/>
        <v>0.65556956876058048</v>
      </c>
      <c r="H303">
        <f t="shared" si="31"/>
        <v>0.42977145948493345</v>
      </c>
      <c r="I303">
        <f t="shared" si="32"/>
        <v>1.968677383665407E-3</v>
      </c>
      <c r="J303">
        <f t="shared" si="33"/>
        <v>0.1968677383665407</v>
      </c>
    </row>
    <row r="304" spans="1:10" x14ac:dyDescent="0.3">
      <c r="A304" s="2">
        <v>43051</v>
      </c>
      <c r="B304">
        <v>0.77110999999999996</v>
      </c>
      <c r="C304">
        <v>130.5</v>
      </c>
      <c r="D304">
        <f t="shared" si="28"/>
        <v>17030.25</v>
      </c>
      <c r="E304">
        <f t="shared" si="30"/>
        <v>100.62985499999999</v>
      </c>
      <c r="F304">
        <f t="shared" si="29"/>
        <v>0.10946740791345411</v>
      </c>
      <c r="G304">
        <f t="shared" si="34"/>
        <v>0.66164259208654586</v>
      </c>
      <c r="H304">
        <f t="shared" si="31"/>
        <v>0.4377709196630033</v>
      </c>
      <c r="I304">
        <f t="shared" si="32"/>
        <v>1.9869146909505882E-3</v>
      </c>
      <c r="J304">
        <f t="shared" si="33"/>
        <v>0.19869146909505883</v>
      </c>
    </row>
    <row r="305" spans="1:10" x14ac:dyDescent="0.3">
      <c r="A305" s="2">
        <v>43044</v>
      </c>
      <c r="B305">
        <v>0.65110000000000001</v>
      </c>
      <c r="C305">
        <v>131.5</v>
      </c>
      <c r="D305">
        <f t="shared" si="28"/>
        <v>17292.25</v>
      </c>
      <c r="E305">
        <f t="shared" si="30"/>
        <v>85.619650000000007</v>
      </c>
      <c r="F305">
        <f t="shared" si="29"/>
        <v>0.10382438458748855</v>
      </c>
      <c r="G305">
        <f t="shared" si="34"/>
        <v>0.54727561541251146</v>
      </c>
      <c r="H305">
        <f t="shared" si="31"/>
        <v>0.29951059922514317</v>
      </c>
      <c r="I305">
        <f t="shared" si="32"/>
        <v>1.6434703165540885E-3</v>
      </c>
      <c r="J305">
        <f t="shared" si="33"/>
        <v>0.16434703165540884</v>
      </c>
    </row>
    <row r="306" spans="1:10" x14ac:dyDescent="0.3">
      <c r="A306" s="2">
        <v>43037</v>
      </c>
      <c r="B306">
        <v>0.60719999999999996</v>
      </c>
      <c r="C306">
        <v>132.5</v>
      </c>
      <c r="D306">
        <f t="shared" si="28"/>
        <v>17556.25</v>
      </c>
      <c r="E306">
        <f t="shared" si="30"/>
        <v>80.453999999999994</v>
      </c>
      <c r="F306">
        <f t="shared" si="29"/>
        <v>9.8181361261523104E-2</v>
      </c>
      <c r="G306">
        <f t="shared" si="34"/>
        <v>0.50901863873847686</v>
      </c>
      <c r="H306">
        <f t="shared" si="31"/>
        <v>0.25909997458317202</v>
      </c>
      <c r="I306">
        <f t="shared" si="32"/>
        <v>1.5285845007161466E-3</v>
      </c>
      <c r="J306">
        <f t="shared" si="33"/>
        <v>0.15285845007161467</v>
      </c>
    </row>
    <row r="307" spans="1:10" x14ac:dyDescent="0.3">
      <c r="A307" s="2">
        <v>43030</v>
      </c>
      <c r="B307">
        <v>0.60558999999999996</v>
      </c>
      <c r="C307">
        <v>133.5</v>
      </c>
      <c r="D307">
        <f t="shared" si="28"/>
        <v>17822.25</v>
      </c>
      <c r="E307">
        <f t="shared" si="30"/>
        <v>80.846264999999988</v>
      </c>
      <c r="F307">
        <f t="shared" si="29"/>
        <v>9.2538337935557546E-2</v>
      </c>
      <c r="G307">
        <f t="shared" si="34"/>
        <v>0.51305166206444242</v>
      </c>
      <c r="H307">
        <f t="shared" si="31"/>
        <v>0.26322200794708683</v>
      </c>
      <c r="I307">
        <f t="shared" si="32"/>
        <v>1.5406956818752025E-3</v>
      </c>
      <c r="J307">
        <f t="shared" si="33"/>
        <v>0.15406956818752024</v>
      </c>
    </row>
    <row r="308" spans="1:10" x14ac:dyDescent="0.3">
      <c r="A308" s="2">
        <v>43023</v>
      </c>
      <c r="B308">
        <v>0.65146999999999999</v>
      </c>
      <c r="C308">
        <v>134.5</v>
      </c>
      <c r="D308">
        <f t="shared" si="28"/>
        <v>18090.25</v>
      </c>
      <c r="E308">
        <f t="shared" si="30"/>
        <v>87.622714999999999</v>
      </c>
      <c r="F308">
        <f t="shared" si="29"/>
        <v>8.68953146095921E-2</v>
      </c>
      <c r="G308">
        <f t="shared" si="34"/>
        <v>0.56457468539040789</v>
      </c>
      <c r="H308">
        <f t="shared" si="31"/>
        <v>0.31874457538367806</v>
      </c>
      <c r="I308">
        <f t="shared" si="32"/>
        <v>1.6954194756468705E-3</v>
      </c>
      <c r="J308">
        <f t="shared" si="33"/>
        <v>0.16954194756468705</v>
      </c>
    </row>
    <row r="309" spans="1:10" x14ac:dyDescent="0.3">
      <c r="A309" s="2">
        <v>43016</v>
      </c>
      <c r="B309">
        <v>0.57955000000000001</v>
      </c>
      <c r="C309">
        <v>135.5</v>
      </c>
      <c r="D309">
        <f t="shared" si="28"/>
        <v>18360.25</v>
      </c>
      <c r="E309">
        <f t="shared" si="30"/>
        <v>78.529025000000004</v>
      </c>
      <c r="F309">
        <f t="shared" si="29"/>
        <v>8.1252291283626543E-2</v>
      </c>
      <c r="G309">
        <f t="shared" si="34"/>
        <v>0.49829770871637347</v>
      </c>
      <c r="H309">
        <f t="shared" si="31"/>
        <v>0.24830060651198776</v>
      </c>
      <c r="I309">
        <f t="shared" si="32"/>
        <v>1.4963895156647853E-3</v>
      </c>
      <c r="J309">
        <f t="shared" si="33"/>
        <v>0.14963895156647852</v>
      </c>
    </row>
    <row r="310" spans="1:10" x14ac:dyDescent="0.3">
      <c r="A310" s="2">
        <v>43009</v>
      </c>
      <c r="B310">
        <v>0.56847999999999999</v>
      </c>
      <c r="C310">
        <v>136.5</v>
      </c>
      <c r="D310">
        <f t="shared" si="28"/>
        <v>18632.25</v>
      </c>
      <c r="E310">
        <f t="shared" si="30"/>
        <v>77.597520000000003</v>
      </c>
      <c r="F310">
        <f t="shared" si="29"/>
        <v>7.5609267957661097E-2</v>
      </c>
      <c r="G310">
        <f t="shared" si="34"/>
        <v>0.49287073204233889</v>
      </c>
      <c r="H310">
        <f t="shared" si="31"/>
        <v>0.24292155850395103</v>
      </c>
      <c r="I310">
        <f t="shared" si="32"/>
        <v>1.4800922884154321E-3</v>
      </c>
      <c r="J310">
        <f t="shared" si="33"/>
        <v>0.14800922884154322</v>
      </c>
    </row>
    <row r="311" spans="1:10" x14ac:dyDescent="0.3">
      <c r="A311" s="2">
        <v>43002</v>
      </c>
      <c r="B311">
        <v>0.62746000000000002</v>
      </c>
      <c r="C311">
        <v>137.5</v>
      </c>
      <c r="D311">
        <f t="shared" si="28"/>
        <v>18906.25</v>
      </c>
      <c r="E311">
        <f t="shared" si="30"/>
        <v>86.275750000000002</v>
      </c>
      <c r="F311">
        <f t="shared" si="29"/>
        <v>6.996624463169554E-2</v>
      </c>
      <c r="G311">
        <f t="shared" si="34"/>
        <v>0.55749375536830448</v>
      </c>
      <c r="H311">
        <f t="shared" si="31"/>
        <v>0.31079928727465495</v>
      </c>
      <c r="I311">
        <f t="shared" si="32"/>
        <v>1.6741554215264399E-3</v>
      </c>
      <c r="J311">
        <f t="shared" si="33"/>
        <v>0.16741554215264398</v>
      </c>
    </row>
    <row r="312" spans="1:10" x14ac:dyDescent="0.3">
      <c r="A312" s="2">
        <v>42995</v>
      </c>
      <c r="B312">
        <v>0.67288999999999999</v>
      </c>
      <c r="C312">
        <v>138.5</v>
      </c>
      <c r="D312">
        <f t="shared" si="28"/>
        <v>19182.25</v>
      </c>
      <c r="E312">
        <f t="shared" si="30"/>
        <v>93.195264999999992</v>
      </c>
      <c r="F312">
        <f t="shared" si="29"/>
        <v>6.4323221305730094E-2</v>
      </c>
      <c r="G312">
        <f t="shared" si="34"/>
        <v>0.60856677869426989</v>
      </c>
      <c r="H312">
        <f t="shared" si="31"/>
        <v>0.37035352413032047</v>
      </c>
      <c r="I312">
        <f t="shared" si="32"/>
        <v>1.8275278639467564E-3</v>
      </c>
      <c r="J312">
        <f t="shared" si="33"/>
        <v>0.18275278639467563</v>
      </c>
    </row>
    <row r="313" spans="1:10" x14ac:dyDescent="0.3">
      <c r="A313" s="2">
        <v>42988</v>
      </c>
      <c r="B313">
        <v>0.68893000000000004</v>
      </c>
      <c r="C313">
        <v>139.5</v>
      </c>
      <c r="D313">
        <f t="shared" si="28"/>
        <v>19460.25</v>
      </c>
      <c r="E313">
        <f t="shared" si="30"/>
        <v>96.10573500000001</v>
      </c>
      <c r="F313">
        <f t="shared" si="29"/>
        <v>5.8680197979764537E-2</v>
      </c>
      <c r="G313">
        <f t="shared" si="34"/>
        <v>0.63024980202023551</v>
      </c>
      <c r="H313">
        <f t="shared" si="31"/>
        <v>0.39721481294654604</v>
      </c>
      <c r="I313">
        <f t="shared" si="32"/>
        <v>1.8926420481088153E-3</v>
      </c>
      <c r="J313">
        <f t="shared" si="33"/>
        <v>0.18926420481088152</v>
      </c>
    </row>
    <row r="314" spans="1:10" x14ac:dyDescent="0.3">
      <c r="A314" s="2">
        <v>42981</v>
      </c>
      <c r="B314">
        <v>0.66517999999999999</v>
      </c>
      <c r="C314">
        <v>140.5</v>
      </c>
      <c r="D314">
        <f t="shared" si="28"/>
        <v>19740.25</v>
      </c>
      <c r="E314">
        <f t="shared" si="30"/>
        <v>93.457790000000003</v>
      </c>
      <c r="F314">
        <f t="shared" si="29"/>
        <v>5.3037174653799091E-2</v>
      </c>
      <c r="G314">
        <f t="shared" si="34"/>
        <v>0.6121428253462009</v>
      </c>
      <c r="H314">
        <f t="shared" si="31"/>
        <v>0.3747188386228294</v>
      </c>
      <c r="I314">
        <f t="shared" si="32"/>
        <v>1.838266742781384E-3</v>
      </c>
      <c r="J314">
        <f t="shared" si="33"/>
        <v>0.1838266742781384</v>
      </c>
    </row>
    <row r="315" spans="1:10" x14ac:dyDescent="0.3">
      <c r="A315" s="2">
        <v>42974</v>
      </c>
      <c r="B315">
        <v>0.67776000000000003</v>
      </c>
      <c r="C315">
        <v>141.5</v>
      </c>
      <c r="D315">
        <f t="shared" si="28"/>
        <v>20022.25</v>
      </c>
      <c r="E315">
        <f t="shared" si="30"/>
        <v>95.903040000000004</v>
      </c>
      <c r="F315">
        <f t="shared" si="29"/>
        <v>4.7394151327833534E-2</v>
      </c>
      <c r="G315">
        <f t="shared" si="34"/>
        <v>0.6303658486721665</v>
      </c>
      <c r="H315">
        <f t="shared" si="31"/>
        <v>0.39736110317218071</v>
      </c>
      <c r="I315">
        <f t="shared" si="32"/>
        <v>1.8929905365530526E-3</v>
      </c>
      <c r="J315">
        <f t="shared" si="33"/>
        <v>0.18929905365530525</v>
      </c>
    </row>
    <row r="316" spans="1:10" x14ac:dyDescent="0.3">
      <c r="A316" s="2">
        <v>42967</v>
      </c>
      <c r="B316">
        <v>0.66317999999999999</v>
      </c>
      <c r="C316">
        <v>142.5</v>
      </c>
      <c r="D316">
        <f t="shared" si="28"/>
        <v>20306.25</v>
      </c>
      <c r="E316">
        <f t="shared" si="30"/>
        <v>94.503150000000005</v>
      </c>
      <c r="F316">
        <f t="shared" si="29"/>
        <v>4.1751128001868087E-2</v>
      </c>
      <c r="G316">
        <f t="shared" si="34"/>
        <v>0.6214288719981319</v>
      </c>
      <c r="H316">
        <f t="shared" si="31"/>
        <v>0.38617384295287061</v>
      </c>
      <c r="I316">
        <f t="shared" si="32"/>
        <v>1.8661527687631589E-3</v>
      </c>
      <c r="J316">
        <f t="shared" si="33"/>
        <v>0.18661527687631588</v>
      </c>
    </row>
    <row r="317" spans="1:10" x14ac:dyDescent="0.3">
      <c r="A317" s="2">
        <v>42960</v>
      </c>
      <c r="B317">
        <v>0.68677999999999995</v>
      </c>
      <c r="C317">
        <v>143.5</v>
      </c>
      <c r="D317">
        <f t="shared" si="28"/>
        <v>20592.25</v>
      </c>
      <c r="E317">
        <f t="shared" si="30"/>
        <v>98.552929999999989</v>
      </c>
      <c r="F317">
        <f t="shared" si="29"/>
        <v>3.610810467590253E-2</v>
      </c>
      <c r="G317">
        <f t="shared" si="34"/>
        <v>0.65067189532409742</v>
      </c>
      <c r="H317">
        <f t="shared" si="31"/>
        <v>0.42337391536465319</v>
      </c>
      <c r="I317">
        <f t="shared" si="32"/>
        <v>1.9539696556279203E-3</v>
      </c>
      <c r="J317">
        <f t="shared" si="33"/>
        <v>0.19539696556279204</v>
      </c>
    </row>
    <row r="318" spans="1:10" x14ac:dyDescent="0.3">
      <c r="A318" s="2">
        <v>42953</v>
      </c>
      <c r="B318">
        <v>0.72160000000000002</v>
      </c>
      <c r="C318">
        <v>144.5</v>
      </c>
      <c r="D318">
        <f t="shared" si="28"/>
        <v>20880.25</v>
      </c>
      <c r="E318">
        <f t="shared" si="30"/>
        <v>104.27120000000001</v>
      </c>
      <c r="F318">
        <f t="shared" si="29"/>
        <v>3.0465081349937084E-2</v>
      </c>
      <c r="G318">
        <f t="shared" si="34"/>
        <v>0.69113491865006293</v>
      </c>
      <c r="H318">
        <f t="shared" si="31"/>
        <v>0.47766747577742913</v>
      </c>
      <c r="I318">
        <f t="shared" si="32"/>
        <v>2.0754802361863754E-3</v>
      </c>
      <c r="J318">
        <f t="shared" si="33"/>
        <v>0.20754802361863753</v>
      </c>
    </row>
    <row r="319" spans="1:10" x14ac:dyDescent="0.3">
      <c r="A319" s="2">
        <v>42946</v>
      </c>
      <c r="B319">
        <v>0.70576000000000005</v>
      </c>
      <c r="C319">
        <v>145.5</v>
      </c>
      <c r="D319">
        <f t="shared" si="28"/>
        <v>21170.25</v>
      </c>
      <c r="E319">
        <f t="shared" si="30"/>
        <v>102.68808000000001</v>
      </c>
      <c r="F319">
        <f t="shared" si="29"/>
        <v>2.4822058023971638E-2</v>
      </c>
      <c r="G319">
        <f t="shared" si="34"/>
        <v>0.68093794197602842</v>
      </c>
      <c r="H319">
        <f t="shared" si="31"/>
        <v>0.46367648082254903</v>
      </c>
      <c r="I319">
        <f t="shared" si="32"/>
        <v>2.0448586846126978E-3</v>
      </c>
      <c r="J319">
        <f t="shared" si="33"/>
        <v>0.20448586846126979</v>
      </c>
    </row>
    <row r="320" spans="1:10" x14ac:dyDescent="0.3">
      <c r="A320" s="2">
        <v>42939</v>
      </c>
      <c r="B320">
        <v>0.75478000000000001</v>
      </c>
      <c r="C320">
        <v>146.5</v>
      </c>
      <c r="D320">
        <f t="shared" si="28"/>
        <v>21462.25</v>
      </c>
      <c r="E320">
        <f t="shared" si="30"/>
        <v>110.57527</v>
      </c>
      <c r="F320">
        <f t="shared" si="29"/>
        <v>1.9179034698006081E-2</v>
      </c>
      <c r="G320">
        <f t="shared" si="34"/>
        <v>0.73560096530199393</v>
      </c>
      <c r="H320">
        <f t="shared" si="31"/>
        <v>0.54110878015322528</v>
      </c>
      <c r="I320">
        <f t="shared" si="32"/>
        <v>2.2090119078137954E-3</v>
      </c>
      <c r="J320">
        <f t="shared" si="33"/>
        <v>0.22090119078137954</v>
      </c>
    </row>
    <row r="321" spans="1:10" x14ac:dyDescent="0.3">
      <c r="A321" s="2">
        <v>42932</v>
      </c>
      <c r="B321">
        <v>0.74822</v>
      </c>
      <c r="C321">
        <v>147.5</v>
      </c>
      <c r="D321">
        <f t="shared" si="28"/>
        <v>21756.25</v>
      </c>
      <c r="E321">
        <f t="shared" si="30"/>
        <v>110.36245</v>
      </c>
      <c r="F321">
        <f t="shared" si="29"/>
        <v>1.3536011372040635E-2</v>
      </c>
      <c r="G321">
        <f t="shared" si="34"/>
        <v>0.73468398862795936</v>
      </c>
      <c r="H321">
        <f t="shared" si="31"/>
        <v>0.53976056314628751</v>
      </c>
      <c r="I321">
        <f t="shared" si="32"/>
        <v>2.2062582241079861E-3</v>
      </c>
      <c r="J321">
        <f t="shared" si="33"/>
        <v>0.22062582241079862</v>
      </c>
    </row>
    <row r="322" spans="1:10" x14ac:dyDescent="0.3">
      <c r="A322" s="2">
        <v>42925</v>
      </c>
      <c r="B322">
        <v>0.74107999999999996</v>
      </c>
      <c r="C322">
        <v>148.5</v>
      </c>
      <c r="D322">
        <f t="shared" si="28"/>
        <v>22052.25</v>
      </c>
      <c r="E322">
        <f t="shared" si="30"/>
        <v>110.05037999999999</v>
      </c>
      <c r="F322">
        <f t="shared" si="29"/>
        <v>7.8929880460750779E-3</v>
      </c>
      <c r="G322">
        <f t="shared" si="34"/>
        <v>0.73318701195392488</v>
      </c>
      <c r="H322">
        <f t="shared" si="31"/>
        <v>0.53756319449792478</v>
      </c>
      <c r="I322">
        <f t="shared" si="32"/>
        <v>2.201762798660435E-3</v>
      </c>
      <c r="J322">
        <f t="shared" si="33"/>
        <v>0.22017627986604349</v>
      </c>
    </row>
    <row r="323" spans="1:10" x14ac:dyDescent="0.3">
      <c r="A323" s="2">
        <v>42918</v>
      </c>
      <c r="B323">
        <v>0.71108000000000005</v>
      </c>
      <c r="C323">
        <v>149.5</v>
      </c>
      <c r="D323">
        <f t="shared" si="28"/>
        <v>22350.25</v>
      </c>
      <c r="E323">
        <f t="shared" si="30"/>
        <v>106.30646</v>
      </c>
      <c r="F323">
        <f t="shared" si="29"/>
        <v>2.2499647201096318E-3</v>
      </c>
      <c r="G323">
        <f t="shared" si="34"/>
        <v>0.70883003527989041</v>
      </c>
      <c r="H323">
        <f t="shared" si="31"/>
        <v>0.50244001891489065</v>
      </c>
      <c r="I323">
        <f t="shared" si="32"/>
        <v>2.1286187245642355E-3</v>
      </c>
      <c r="J323">
        <f t="shared" si="33"/>
        <v>0.21286187245642355</v>
      </c>
    </row>
    <row r="324" spans="1:10" x14ac:dyDescent="0.3">
      <c r="A324" s="2">
        <v>42911</v>
      </c>
      <c r="B324">
        <v>0.72819</v>
      </c>
      <c r="C324">
        <v>150.5</v>
      </c>
      <c r="D324">
        <f t="shared" si="28"/>
        <v>22650.25</v>
      </c>
      <c r="E324">
        <f t="shared" si="30"/>
        <v>109.592595</v>
      </c>
      <c r="F324">
        <f t="shared" si="29"/>
        <v>-3.3930586058559253E-3</v>
      </c>
      <c r="G324">
        <f t="shared" si="34"/>
        <v>0.73158305860585593</v>
      </c>
      <c r="H324">
        <f t="shared" si="31"/>
        <v>0.53521377163909922</v>
      </c>
      <c r="I324">
        <f t="shared" si="32"/>
        <v>2.1969461219395075E-3</v>
      </c>
      <c r="J324">
        <f t="shared" si="33"/>
        <v>0.21969461219395076</v>
      </c>
    </row>
    <row r="325" spans="1:10" x14ac:dyDescent="0.3">
      <c r="A325" s="2">
        <v>42904</v>
      </c>
      <c r="B325">
        <v>0.82381000000000004</v>
      </c>
      <c r="C325">
        <v>151.5</v>
      </c>
      <c r="D325">
        <f t="shared" si="28"/>
        <v>22952.25</v>
      </c>
      <c r="E325">
        <f t="shared" si="30"/>
        <v>124.807215</v>
      </c>
      <c r="F325">
        <f t="shared" si="29"/>
        <v>-9.0360819318213714E-3</v>
      </c>
      <c r="G325">
        <f t="shared" si="34"/>
        <v>0.83284608193182141</v>
      </c>
      <c r="H325">
        <f t="shared" si="31"/>
        <v>0.69363259618918616</v>
      </c>
      <c r="I325">
        <f t="shared" si="32"/>
        <v>2.5010392850805447E-3</v>
      </c>
      <c r="J325">
        <f t="shared" si="33"/>
        <v>0.25010392850805446</v>
      </c>
    </row>
    <row r="326" spans="1:10" x14ac:dyDescent="0.3">
      <c r="A326" s="2">
        <v>42897</v>
      </c>
      <c r="B326">
        <v>0.71699999999999997</v>
      </c>
      <c r="C326">
        <v>152.5</v>
      </c>
      <c r="D326">
        <f t="shared" si="28"/>
        <v>23256.25</v>
      </c>
      <c r="E326">
        <f t="shared" si="30"/>
        <v>109.3425</v>
      </c>
      <c r="F326">
        <f t="shared" si="29"/>
        <v>-1.4679105257786929E-2</v>
      </c>
      <c r="G326">
        <f t="shared" si="34"/>
        <v>0.7316791052577869</v>
      </c>
      <c r="H326">
        <f t="shared" si="31"/>
        <v>0.53535431307083559</v>
      </c>
      <c r="I326">
        <f t="shared" si="32"/>
        <v>2.1972345503236844E-3</v>
      </c>
      <c r="J326">
        <f t="shared" si="33"/>
        <v>0.21972345503236843</v>
      </c>
    </row>
    <row r="327" spans="1:10" x14ac:dyDescent="0.3">
      <c r="A327" s="2">
        <v>42890</v>
      </c>
      <c r="B327">
        <v>0.78646000000000005</v>
      </c>
      <c r="C327">
        <v>153.5</v>
      </c>
      <c r="D327">
        <f t="shared" si="28"/>
        <v>23562.25</v>
      </c>
      <c r="E327">
        <f t="shared" si="30"/>
        <v>120.72161000000001</v>
      </c>
      <c r="F327">
        <f t="shared" si="29"/>
        <v>-2.0322128583752375E-2</v>
      </c>
      <c r="G327">
        <f t="shared" si="34"/>
        <v>0.80678212858375242</v>
      </c>
      <c r="H327">
        <f t="shared" si="31"/>
        <v>0.65089740300213039</v>
      </c>
      <c r="I327">
        <f t="shared" si="32"/>
        <v>2.4227691549061634E-3</v>
      </c>
      <c r="J327">
        <f t="shared" si="33"/>
        <v>0.24227691549061633</v>
      </c>
    </row>
    <row r="328" spans="1:10" x14ac:dyDescent="0.3">
      <c r="A328" s="2">
        <v>42883</v>
      </c>
      <c r="B328">
        <v>0.87573000000000001</v>
      </c>
      <c r="C328">
        <v>154.5</v>
      </c>
      <c r="D328">
        <f t="shared" ref="D328:D340" si="35">C328*C328</f>
        <v>23870.25</v>
      </c>
      <c r="E328">
        <f t="shared" si="30"/>
        <v>135.300285</v>
      </c>
      <c r="F328">
        <f t="shared" ref="F328:F340" si="36">$G$3+$G$4*(C328)</f>
        <v>-2.5965151909717932E-2</v>
      </c>
      <c r="G328">
        <f t="shared" si="34"/>
        <v>0.90169515190971794</v>
      </c>
      <c r="H328">
        <f t="shared" si="31"/>
        <v>0.81305414697748934</v>
      </c>
      <c r="I328">
        <f t="shared" si="32"/>
        <v>2.707793248978132E-3</v>
      </c>
      <c r="J328">
        <f t="shared" si="33"/>
        <v>0.2707793248978132</v>
      </c>
    </row>
    <row r="329" spans="1:10" x14ac:dyDescent="0.3">
      <c r="A329" s="2">
        <v>42876</v>
      </c>
      <c r="B329">
        <v>0.94562999999999997</v>
      </c>
      <c r="C329">
        <v>155.5</v>
      </c>
      <c r="D329">
        <f t="shared" si="35"/>
        <v>24180.25</v>
      </c>
      <c r="E329">
        <f t="shared" ref="E329:E340" si="37">C329*B329</f>
        <v>147.04546500000001</v>
      </c>
      <c r="F329">
        <f t="shared" si="36"/>
        <v>-3.1608175235683378E-2</v>
      </c>
      <c r="G329">
        <f t="shared" si="34"/>
        <v>0.97723817523568335</v>
      </c>
      <c r="H329">
        <f t="shared" ref="H329:H340" si="38">G329*G329</f>
        <v>0.9549944511379681</v>
      </c>
      <c r="I329">
        <f t="shared" ref="I329:I340" si="39">ABS(G329)/$G$2</f>
        <v>2.934649174881932E-3</v>
      </c>
      <c r="J329">
        <f t="shared" ref="J329:J340" si="40">I329*100</f>
        <v>0.2934649174881932</v>
      </c>
    </row>
    <row r="330" spans="1:10" x14ac:dyDescent="0.3">
      <c r="A330" s="2">
        <v>42869</v>
      </c>
      <c r="B330">
        <v>0.98436000000000001</v>
      </c>
      <c r="C330">
        <v>156.5</v>
      </c>
      <c r="D330">
        <f t="shared" si="35"/>
        <v>24492.25</v>
      </c>
      <c r="E330">
        <f t="shared" si="37"/>
        <v>154.05234000000002</v>
      </c>
      <c r="F330">
        <f t="shared" si="36"/>
        <v>-3.7251198561648935E-2</v>
      </c>
      <c r="G330">
        <f t="shared" ref="G330:G340" si="41">B330-F330</f>
        <v>1.0216111985616489</v>
      </c>
      <c r="H330">
        <f t="shared" si="38"/>
        <v>1.0436894410265689</v>
      </c>
      <c r="I330">
        <f t="shared" si="39"/>
        <v>3.0679014971821288E-3</v>
      </c>
      <c r="J330">
        <f t="shared" si="40"/>
        <v>0.30679014971821289</v>
      </c>
    </row>
    <row r="331" spans="1:10" x14ac:dyDescent="0.3">
      <c r="A331" s="2">
        <v>42862</v>
      </c>
      <c r="B331">
        <v>1.0624100000000001</v>
      </c>
      <c r="C331">
        <v>157.5</v>
      </c>
      <c r="D331">
        <f t="shared" si="35"/>
        <v>24806.25</v>
      </c>
      <c r="E331">
        <f t="shared" si="37"/>
        <v>167.32957500000001</v>
      </c>
      <c r="F331">
        <f t="shared" si="36"/>
        <v>-4.2894221887614381E-2</v>
      </c>
      <c r="G331">
        <f t="shared" si="41"/>
        <v>1.1053042218876143</v>
      </c>
      <c r="H331">
        <f t="shared" si="38"/>
        <v>1.2216974229225845</v>
      </c>
      <c r="I331">
        <f t="shared" si="39"/>
        <v>3.3192318975604033E-3</v>
      </c>
      <c r="J331">
        <f t="shared" si="40"/>
        <v>0.33192318975604035</v>
      </c>
    </row>
    <row r="332" spans="1:10" x14ac:dyDescent="0.3">
      <c r="A332" s="2">
        <v>42855</v>
      </c>
      <c r="B332">
        <v>1.0564</v>
      </c>
      <c r="C332">
        <v>158.5</v>
      </c>
      <c r="D332">
        <f t="shared" si="35"/>
        <v>25122.25</v>
      </c>
      <c r="E332">
        <f t="shared" si="37"/>
        <v>167.43940000000001</v>
      </c>
      <c r="F332">
        <f t="shared" si="36"/>
        <v>-4.8537245213579938E-2</v>
      </c>
      <c r="G332">
        <f t="shared" si="41"/>
        <v>1.1049372452135799</v>
      </c>
      <c r="H332">
        <f t="shared" si="38"/>
        <v>1.2208863158601748</v>
      </c>
      <c r="I332">
        <f t="shared" si="39"/>
        <v>3.3181298655062461E-3</v>
      </c>
      <c r="J332">
        <f t="shared" si="40"/>
        <v>0.33181298655062463</v>
      </c>
    </row>
    <row r="333" spans="1:10" x14ac:dyDescent="0.3">
      <c r="A333" s="2">
        <v>42848</v>
      </c>
      <c r="B333">
        <v>0.93183000000000005</v>
      </c>
      <c r="C333">
        <v>159.5</v>
      </c>
      <c r="D333">
        <f t="shared" si="35"/>
        <v>25440.25</v>
      </c>
      <c r="E333">
        <f t="shared" si="37"/>
        <v>148.62688500000002</v>
      </c>
      <c r="F333">
        <f t="shared" si="36"/>
        <v>-5.4180268539545384E-2</v>
      </c>
      <c r="G333">
        <f t="shared" si="41"/>
        <v>0.98601026853954543</v>
      </c>
      <c r="H333">
        <f t="shared" si="38"/>
        <v>0.97221624966542652</v>
      </c>
      <c r="I333">
        <f t="shared" si="39"/>
        <v>2.9609917974160525E-3</v>
      </c>
      <c r="J333">
        <f t="shared" si="40"/>
        <v>0.29609917974160527</v>
      </c>
    </row>
    <row r="334" spans="1:10" x14ac:dyDescent="0.3">
      <c r="A334" s="2">
        <v>42841</v>
      </c>
      <c r="B334">
        <v>1.0305500000000001</v>
      </c>
      <c r="C334">
        <v>160.5</v>
      </c>
      <c r="D334">
        <f t="shared" si="35"/>
        <v>25760.25</v>
      </c>
      <c r="E334">
        <f t="shared" si="37"/>
        <v>165.40327500000001</v>
      </c>
      <c r="F334">
        <f t="shared" si="36"/>
        <v>-5.9823291865510941E-2</v>
      </c>
      <c r="G334">
        <f t="shared" si="41"/>
        <v>1.0903732918655109</v>
      </c>
      <c r="H334">
        <f t="shared" si="38"/>
        <v>1.1889139156136306</v>
      </c>
      <c r="I334">
        <f t="shared" si="39"/>
        <v>3.2743942698663991E-3</v>
      </c>
      <c r="J334">
        <f t="shared" si="40"/>
        <v>0.32743942698663991</v>
      </c>
    </row>
    <row r="335" spans="1:10" x14ac:dyDescent="0.3">
      <c r="A335" s="2">
        <v>42834</v>
      </c>
      <c r="B335">
        <v>1.0273699999999999</v>
      </c>
      <c r="C335">
        <v>161.5</v>
      </c>
      <c r="D335">
        <f t="shared" si="35"/>
        <v>26082.25</v>
      </c>
      <c r="E335">
        <f t="shared" si="37"/>
        <v>165.92025499999997</v>
      </c>
      <c r="F335">
        <f t="shared" si="36"/>
        <v>-6.5466315191476387E-2</v>
      </c>
      <c r="G335">
        <f t="shared" si="41"/>
        <v>1.0928363151914762</v>
      </c>
      <c r="H335">
        <f t="shared" si="38"/>
        <v>1.1942912118012834</v>
      </c>
      <c r="I335">
        <f t="shared" si="39"/>
        <v>3.2817907363107391E-3</v>
      </c>
      <c r="J335">
        <f t="shared" si="40"/>
        <v>0.3281790736310739</v>
      </c>
    </row>
    <row r="336" spans="1:10" x14ac:dyDescent="0.3">
      <c r="A336" s="2">
        <v>42827</v>
      </c>
      <c r="B336">
        <v>1.13931</v>
      </c>
      <c r="C336">
        <v>162.5</v>
      </c>
      <c r="D336">
        <f t="shared" si="35"/>
        <v>26406.25</v>
      </c>
      <c r="E336">
        <f t="shared" si="37"/>
        <v>185.13787500000001</v>
      </c>
      <c r="F336">
        <f t="shared" si="36"/>
        <v>-7.1109338517441945E-2</v>
      </c>
      <c r="G336">
        <f t="shared" si="41"/>
        <v>1.210419338517442</v>
      </c>
      <c r="H336">
        <f t="shared" si="38"/>
        <v>1.4651149750570018</v>
      </c>
      <c r="I336">
        <f t="shared" si="39"/>
        <v>3.6348929084607869E-3</v>
      </c>
      <c r="J336">
        <f t="shared" si="40"/>
        <v>0.36348929084607867</v>
      </c>
    </row>
    <row r="337" spans="1:10" x14ac:dyDescent="0.3">
      <c r="A337" s="2">
        <v>42820</v>
      </c>
      <c r="B337">
        <v>1.21092</v>
      </c>
      <c r="C337">
        <v>163.5</v>
      </c>
      <c r="D337">
        <f t="shared" si="35"/>
        <v>26732.25</v>
      </c>
      <c r="E337">
        <f t="shared" si="37"/>
        <v>197.98542</v>
      </c>
      <c r="F337">
        <f t="shared" si="36"/>
        <v>-7.6752361843407391E-2</v>
      </c>
      <c r="G337">
        <f t="shared" si="41"/>
        <v>1.2876723618434074</v>
      </c>
      <c r="H337">
        <f t="shared" si="38"/>
        <v>1.6581001114553791</v>
      </c>
      <c r="I337">
        <f t="shared" si="39"/>
        <v>3.866883969499722E-3</v>
      </c>
      <c r="J337">
        <f t="shared" si="40"/>
        <v>0.3866883969499722</v>
      </c>
    </row>
    <row r="338" spans="1:10" x14ac:dyDescent="0.3">
      <c r="A338" s="2">
        <v>42813</v>
      </c>
      <c r="B338">
        <v>0.94857000000000002</v>
      </c>
      <c r="C338">
        <v>164.5</v>
      </c>
      <c r="D338">
        <f t="shared" si="35"/>
        <v>27060.25</v>
      </c>
      <c r="E338">
        <f t="shared" si="37"/>
        <v>156.03976500000002</v>
      </c>
      <c r="F338">
        <f t="shared" si="36"/>
        <v>-8.2395385169372948E-2</v>
      </c>
      <c r="G338">
        <f t="shared" si="41"/>
        <v>1.030965385169373</v>
      </c>
      <c r="H338">
        <f t="shared" si="38"/>
        <v>1.0628896254174336</v>
      </c>
      <c r="I338">
        <f t="shared" si="39"/>
        <v>3.0959921476557749E-3</v>
      </c>
      <c r="J338">
        <f t="shared" si="40"/>
        <v>0.3095992147655775</v>
      </c>
    </row>
    <row r="339" spans="1:10" x14ac:dyDescent="0.3">
      <c r="A339" s="2">
        <v>42806</v>
      </c>
      <c r="B339">
        <v>0.76927999999999996</v>
      </c>
      <c r="C339">
        <v>165.5</v>
      </c>
      <c r="D339">
        <f t="shared" si="35"/>
        <v>27390.25</v>
      </c>
      <c r="E339">
        <f t="shared" si="37"/>
        <v>127.31583999999999</v>
      </c>
      <c r="F339">
        <f t="shared" si="36"/>
        <v>-8.8038408495338394E-2</v>
      </c>
      <c r="G339">
        <f t="shared" si="41"/>
        <v>0.85731840849533836</v>
      </c>
      <c r="H339">
        <f t="shared" si="38"/>
        <v>0.73499485354497984</v>
      </c>
      <c r="I339">
        <f t="shared" si="39"/>
        <v>2.5745297552412561E-3</v>
      </c>
      <c r="J339">
        <f t="shared" si="40"/>
        <v>0.2574529755241256</v>
      </c>
    </row>
    <row r="340" spans="1:10" x14ac:dyDescent="0.3">
      <c r="A340" s="2">
        <v>42799</v>
      </c>
      <c r="B340">
        <v>0.60204000000000002</v>
      </c>
      <c r="C340">
        <v>166.5</v>
      </c>
      <c r="D340">
        <f t="shared" si="35"/>
        <v>27722.25</v>
      </c>
      <c r="E340">
        <f t="shared" si="37"/>
        <v>100.23966</v>
      </c>
      <c r="F340">
        <f t="shared" si="36"/>
        <v>-9.3681431821303951E-2</v>
      </c>
      <c r="G340">
        <f t="shared" si="41"/>
        <v>0.69572143182130397</v>
      </c>
      <c r="H340">
        <f t="shared" si="38"/>
        <v>0.4840283106954853</v>
      </c>
      <c r="I340">
        <f t="shared" si="39"/>
        <v>2.0892535490129246E-3</v>
      </c>
      <c r="J340">
        <f t="shared" si="40"/>
        <v>0.20892535490129246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DHL(LSM)</vt:lpstr>
      <vt:lpstr>FEDEX(LSM)</vt:lpstr>
      <vt:lpstr>JITFIN (LSM)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WeSchool3</dc:creator>
  <cp:lastModifiedBy>Dillon O'Connor</cp:lastModifiedBy>
  <dcterms:created xsi:type="dcterms:W3CDTF">2023-08-04T04:44:59Z</dcterms:created>
  <dcterms:modified xsi:type="dcterms:W3CDTF">2023-08-08T18:22:42Z</dcterms:modified>
</cp:coreProperties>
</file>